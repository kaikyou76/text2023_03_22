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0japan\システム開発演習\基本設計\データベース設計\"/>
    </mc:Choice>
  </mc:AlternateContent>
  <xr:revisionPtr revIDLastSave="0" documentId="13_ncr:1_{C9159890-D408-4FF3-A9E2-03CD0ACDF5EC}" xr6:coauthVersionLast="47" xr6:coauthVersionMax="47" xr10:uidLastSave="{00000000-0000-0000-0000-000000000000}"/>
  <bookViews>
    <workbookView xWindow="-110" yWindow="-110" windowWidth="19420" windowHeight="10300" tabRatio="899" activeTab="7" xr2:uid="{00000000-000D-0000-FFFF-FFFF00000000}"/>
  </bookViews>
  <sheets>
    <sheet name="テーブル一覧" sheetId="1" r:id="rId1"/>
    <sheet name="大会マスタ" sheetId="59" r:id="rId2"/>
    <sheet name="主催者マスタ" sheetId="63" r:id="rId3"/>
    <sheet name="エントリ枠" sheetId="64" r:id="rId4"/>
    <sheet name="大会サービス" sheetId="65" r:id="rId5"/>
    <sheet name="大会アイテム" sheetId="66" r:id="rId6"/>
    <sheet name="参加申込み" sheetId="67" r:id="rId7"/>
    <sheet name="会員マスタ" sheetId="68" r:id="rId8"/>
    <sheet name="会員ポイント" sheetId="69" r:id="rId9"/>
    <sheet name="パラメータマスタ" sheetId="70" r:id="rId10"/>
    <sheet name="ドメイン定義" sheetId="60" r:id="rId11"/>
  </sheets>
  <functionGroups builtInGroupCount="19"/>
  <definedNames>
    <definedName name="_xlnm._FilterDatabase" localSheetId="10" hidden="1">ドメイン定義!$B$3:$J$47</definedName>
    <definedName name="インデックス開始位置" localSheetId="3">エントリ枠!$B$34</definedName>
    <definedName name="インデックス開始位置" localSheetId="9">パラメータマスタ!$B$31</definedName>
    <definedName name="インデックス開始位置" localSheetId="8">会員ポイント!$B$31</definedName>
    <definedName name="インデックス開始位置" localSheetId="7">会員マスタ!$B$31</definedName>
    <definedName name="インデックス開始位置" localSheetId="6">参加申込み!$B$32</definedName>
    <definedName name="インデックス開始位置" localSheetId="2">主催者マスタ!$B$33</definedName>
    <definedName name="インデックス開始位置" localSheetId="5">大会アイテム!$B$31</definedName>
    <definedName name="インデックス開始位置" localSheetId="4">大会サービス!$B$31</definedName>
    <definedName name="インデックス開始位置">大会マスタ!$B$36</definedName>
  </definedNames>
  <calcPr calcId="191029"/>
  <customWorkbookViews>
    <customWorkbookView name="岡本由浩 - 個人用ビュー" guid="{95FDAE0E-128E-46E4-BD67-A7D7A7EF6B4A}" mergeInterval="0" personalView="1" xWindow="1964" yWindow="-138" windowWidth="1017" windowHeight="1490" tabRatio="899" activeSheetId="19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8" l="1"/>
  <c r="B20" i="70"/>
  <c r="C5" i="65"/>
  <c r="A14" i="59"/>
  <c r="C18" i="65"/>
  <c r="C19" i="67"/>
  <c r="B16" i="70"/>
  <c r="C16" i="70"/>
  <c r="D16" i="70"/>
  <c r="E16" i="70"/>
  <c r="F16" i="70"/>
  <c r="G16" i="70"/>
  <c r="B17" i="70"/>
  <c r="C17" i="70"/>
  <c r="D17" i="70"/>
  <c r="E17" i="70"/>
  <c r="F17" i="70"/>
  <c r="G17" i="70"/>
  <c r="B18" i="70"/>
  <c r="C18" i="70"/>
  <c r="D18" i="70"/>
  <c r="E18" i="70"/>
  <c r="F18" i="70"/>
  <c r="G18" i="70"/>
  <c r="B19" i="70"/>
  <c r="C19" i="70"/>
  <c r="D19" i="70"/>
  <c r="E19" i="70"/>
  <c r="F19" i="70"/>
  <c r="G19" i="70"/>
  <c r="C20" i="70"/>
  <c r="D20" i="70"/>
  <c r="E20" i="70"/>
  <c r="F20" i="70"/>
  <c r="G20" i="70"/>
  <c r="B16" i="69"/>
  <c r="C16" i="69"/>
  <c r="D16" i="69"/>
  <c r="E16" i="69"/>
  <c r="F16" i="69"/>
  <c r="G16" i="69"/>
  <c r="B17" i="69"/>
  <c r="C17" i="69"/>
  <c r="D17" i="69"/>
  <c r="E17" i="69"/>
  <c r="F17" i="69"/>
  <c r="G17" i="69"/>
  <c r="B18" i="69"/>
  <c r="C18" i="69"/>
  <c r="D18" i="69"/>
  <c r="E18" i="69"/>
  <c r="F18" i="69"/>
  <c r="G18" i="69"/>
  <c r="B19" i="69"/>
  <c r="C19" i="69"/>
  <c r="D19" i="69"/>
  <c r="E19" i="69"/>
  <c r="F19" i="69"/>
  <c r="G19" i="69"/>
  <c r="B20" i="69"/>
  <c r="C20" i="69"/>
  <c r="D20" i="69"/>
  <c r="E20" i="69"/>
  <c r="F20" i="69"/>
  <c r="G20" i="69"/>
  <c r="A16" i="64" l="1"/>
  <c r="B16" i="64"/>
  <c r="C16" i="64"/>
  <c r="D16" i="64"/>
  <c r="E16" i="64"/>
  <c r="F16" i="64"/>
  <c r="G16" i="64"/>
  <c r="B19" i="64"/>
  <c r="C19" i="64"/>
  <c r="D19" i="64"/>
  <c r="E19" i="64"/>
  <c r="F19" i="64"/>
  <c r="G19" i="64"/>
  <c r="B20" i="64"/>
  <c r="C20" i="64"/>
  <c r="D20" i="64"/>
  <c r="E20" i="64"/>
  <c r="F20" i="64"/>
  <c r="G20" i="64"/>
  <c r="A19" i="64"/>
  <c r="A20" i="64"/>
  <c r="A20" i="67"/>
  <c r="B20" i="67"/>
  <c r="C20" i="67"/>
  <c r="D20" i="67"/>
  <c r="E20" i="67"/>
  <c r="F20" i="67"/>
  <c r="G20" i="67"/>
  <c r="B34" i="64"/>
  <c r="B32" i="67"/>
  <c r="A32" i="70"/>
  <c r="A33" i="70" s="1"/>
  <c r="A34" i="70" s="1"/>
  <c r="A35" i="70" s="1"/>
  <c r="A36" i="70" s="1"/>
  <c r="A27" i="70"/>
  <c r="A26" i="70"/>
  <c r="A25" i="70"/>
  <c r="A24" i="70"/>
  <c r="A23" i="70"/>
  <c r="A22" i="70"/>
  <c r="A21" i="70"/>
  <c r="A20" i="70"/>
  <c r="A19" i="70"/>
  <c r="A18" i="70"/>
  <c r="A17" i="70"/>
  <c r="A16" i="70"/>
  <c r="G15" i="70"/>
  <c r="F15" i="70"/>
  <c r="E15" i="70"/>
  <c r="D15" i="70"/>
  <c r="C15" i="70"/>
  <c r="B15" i="70"/>
  <c r="A15" i="70"/>
  <c r="G14" i="70"/>
  <c r="F14" i="70"/>
  <c r="E14" i="70"/>
  <c r="D14" i="70"/>
  <c r="C14" i="70"/>
  <c r="B14" i="70"/>
  <c r="A14" i="70"/>
  <c r="C5" i="70"/>
  <c r="F3" i="70"/>
  <c r="A32" i="69"/>
  <c r="A33" i="69" s="1"/>
  <c r="A34" i="69" s="1"/>
  <c r="A35" i="69" s="1"/>
  <c r="A36" i="69" s="1"/>
  <c r="A27" i="69"/>
  <c r="A26" i="69"/>
  <c r="A25" i="69"/>
  <c r="A24" i="69"/>
  <c r="A23" i="69"/>
  <c r="A22" i="69"/>
  <c r="A21" i="69"/>
  <c r="A20" i="69"/>
  <c r="A19" i="69"/>
  <c r="A18" i="69"/>
  <c r="A17" i="69"/>
  <c r="A16" i="69"/>
  <c r="G15" i="69"/>
  <c r="F15" i="69"/>
  <c r="E15" i="69"/>
  <c r="D15" i="69"/>
  <c r="C15" i="69"/>
  <c r="B15" i="69"/>
  <c r="A15" i="69"/>
  <c r="G14" i="69"/>
  <c r="F14" i="69"/>
  <c r="E14" i="69"/>
  <c r="D14" i="69"/>
  <c r="C14" i="69"/>
  <c r="B14" i="69"/>
  <c r="A14" i="69"/>
  <c r="C5" i="69"/>
  <c r="F3" i="69"/>
  <c r="A32" i="68"/>
  <c r="A33" i="68" s="1"/>
  <c r="A34" i="68" s="1"/>
  <c r="A35" i="68" s="1"/>
  <c r="A36" i="68" s="1"/>
  <c r="A27" i="68"/>
  <c r="A26" i="68"/>
  <c r="A25" i="68"/>
  <c r="A24" i="68"/>
  <c r="G23" i="68"/>
  <c r="F23" i="68"/>
  <c r="E23" i="68"/>
  <c r="D23" i="68"/>
  <c r="C23" i="68"/>
  <c r="B23" i="68"/>
  <c r="A23" i="68"/>
  <c r="G22" i="68"/>
  <c r="F22" i="68"/>
  <c r="E22" i="68"/>
  <c r="D22" i="68"/>
  <c r="C22" i="68"/>
  <c r="B22" i="68"/>
  <c r="A22" i="68"/>
  <c r="G21" i="68"/>
  <c r="F21" i="68"/>
  <c r="E21" i="68"/>
  <c r="D21" i="68"/>
  <c r="C21" i="68"/>
  <c r="B21" i="68"/>
  <c r="A21" i="68"/>
  <c r="G20" i="68"/>
  <c r="F20" i="68"/>
  <c r="E20" i="68"/>
  <c r="D20" i="68"/>
  <c r="C20" i="68"/>
  <c r="B20" i="68"/>
  <c r="A20" i="68"/>
  <c r="G19" i="68"/>
  <c r="F19" i="68"/>
  <c r="E19" i="68"/>
  <c r="D19" i="68"/>
  <c r="C19" i="68"/>
  <c r="B19" i="68"/>
  <c r="A19" i="68"/>
  <c r="G18" i="68"/>
  <c r="F18" i="68"/>
  <c r="E18" i="68"/>
  <c r="D18" i="68"/>
  <c r="C18" i="68"/>
  <c r="B18" i="68"/>
  <c r="A18" i="68"/>
  <c r="G17" i="68"/>
  <c r="F17" i="68"/>
  <c r="E17" i="68"/>
  <c r="D17" i="68"/>
  <c r="C17" i="68"/>
  <c r="B17" i="68"/>
  <c r="A17" i="68"/>
  <c r="G16" i="68"/>
  <c r="F16" i="68"/>
  <c r="E16" i="68"/>
  <c r="D16" i="68"/>
  <c r="C16" i="68"/>
  <c r="B16" i="68"/>
  <c r="A16" i="68"/>
  <c r="G15" i="68"/>
  <c r="F15" i="68"/>
  <c r="E15" i="68"/>
  <c r="D15" i="68"/>
  <c r="C15" i="68"/>
  <c r="B15" i="68"/>
  <c r="A15" i="68"/>
  <c r="G14" i="68"/>
  <c r="F14" i="68"/>
  <c r="E14" i="68"/>
  <c r="D14" i="68"/>
  <c r="C14" i="68"/>
  <c r="B14" i="68"/>
  <c r="A14" i="68"/>
  <c r="F3" i="68"/>
  <c r="B22" i="67"/>
  <c r="C22" i="67"/>
  <c r="D22" i="67"/>
  <c r="E22" i="67"/>
  <c r="F22" i="67"/>
  <c r="G22" i="67"/>
  <c r="B23" i="67"/>
  <c r="C23" i="67"/>
  <c r="D23" i="67"/>
  <c r="E23" i="67"/>
  <c r="F23" i="67"/>
  <c r="G23" i="67"/>
  <c r="B24" i="67"/>
  <c r="C24" i="67"/>
  <c r="D24" i="67"/>
  <c r="E24" i="67"/>
  <c r="F24" i="67"/>
  <c r="G24" i="67"/>
  <c r="B25" i="67"/>
  <c r="C25" i="67"/>
  <c r="D25" i="67"/>
  <c r="E25" i="67"/>
  <c r="F25" i="67"/>
  <c r="G25" i="67"/>
  <c r="B26" i="67"/>
  <c r="C26" i="67"/>
  <c r="D26" i="67"/>
  <c r="E26" i="67"/>
  <c r="F26" i="67"/>
  <c r="G26" i="67"/>
  <c r="A33" i="67"/>
  <c r="A34" i="67" s="1"/>
  <c r="A35" i="67" s="1"/>
  <c r="A36" i="67" s="1"/>
  <c r="A37" i="67" s="1"/>
  <c r="A28" i="67"/>
  <c r="A27" i="67"/>
  <c r="A26" i="67"/>
  <c r="A25" i="67"/>
  <c r="A24" i="67"/>
  <c r="A23" i="67"/>
  <c r="A22" i="67"/>
  <c r="G21" i="67"/>
  <c r="F21" i="67"/>
  <c r="E21" i="67"/>
  <c r="D21" i="67"/>
  <c r="C21" i="67"/>
  <c r="B21" i="67"/>
  <c r="A21" i="67"/>
  <c r="G19" i="67"/>
  <c r="F19" i="67"/>
  <c r="E19" i="67"/>
  <c r="D19" i="67"/>
  <c r="B19" i="67"/>
  <c r="A19" i="67"/>
  <c r="G18" i="67"/>
  <c r="F18" i="67"/>
  <c r="E18" i="67"/>
  <c r="D18" i="67"/>
  <c r="C18" i="67"/>
  <c r="B18" i="67"/>
  <c r="A18" i="67"/>
  <c r="G17" i="67"/>
  <c r="F17" i="67"/>
  <c r="E17" i="67"/>
  <c r="D17" i="67"/>
  <c r="C17" i="67"/>
  <c r="B17" i="67"/>
  <c r="A17" i="67"/>
  <c r="G16" i="67"/>
  <c r="F16" i="67"/>
  <c r="E16" i="67"/>
  <c r="D16" i="67"/>
  <c r="C16" i="67"/>
  <c r="B16" i="67"/>
  <c r="A16" i="67"/>
  <c r="G15" i="67"/>
  <c r="F15" i="67"/>
  <c r="E15" i="67"/>
  <c r="D15" i="67"/>
  <c r="C15" i="67"/>
  <c r="B15" i="67"/>
  <c r="A15" i="67"/>
  <c r="G14" i="67"/>
  <c r="F14" i="67"/>
  <c r="E14" i="67"/>
  <c r="D14" i="67"/>
  <c r="C14" i="67"/>
  <c r="B14" i="67"/>
  <c r="A14" i="67"/>
  <c r="C5" i="67"/>
  <c r="F3" i="67"/>
  <c r="A32" i="66"/>
  <c r="A33" i="66" s="1"/>
  <c r="A34" i="66" s="1"/>
  <c r="A35" i="66" s="1"/>
  <c r="A36" i="66" s="1"/>
  <c r="A27" i="66"/>
  <c r="A26" i="66"/>
  <c r="A25" i="66"/>
  <c r="A24" i="66"/>
  <c r="A23" i="66"/>
  <c r="A22" i="66"/>
  <c r="A21" i="66"/>
  <c r="G20" i="66"/>
  <c r="F20" i="66"/>
  <c r="E20" i="66"/>
  <c r="D20" i="66"/>
  <c r="C20" i="66"/>
  <c r="B20" i="66"/>
  <c r="A20" i="66"/>
  <c r="G19" i="66"/>
  <c r="F19" i="66"/>
  <c r="E19" i="66"/>
  <c r="D19" i="66"/>
  <c r="C19" i="66"/>
  <c r="B19" i="66"/>
  <c r="A19" i="66"/>
  <c r="G18" i="66"/>
  <c r="F18" i="66"/>
  <c r="E18" i="66"/>
  <c r="D18" i="66"/>
  <c r="C18" i="66"/>
  <c r="B18" i="66"/>
  <c r="A18" i="66"/>
  <c r="G17" i="66"/>
  <c r="F17" i="66"/>
  <c r="E17" i="66"/>
  <c r="D17" i="66"/>
  <c r="C17" i="66"/>
  <c r="B17" i="66"/>
  <c r="A17" i="66"/>
  <c r="G16" i="66"/>
  <c r="F16" i="66"/>
  <c r="E16" i="66"/>
  <c r="D16" i="66"/>
  <c r="C16" i="66"/>
  <c r="B16" i="66"/>
  <c r="A16" i="66"/>
  <c r="G15" i="66"/>
  <c r="F15" i="66"/>
  <c r="E15" i="66"/>
  <c r="D15" i="66"/>
  <c r="C15" i="66"/>
  <c r="B15" i="66"/>
  <c r="A15" i="66"/>
  <c r="G14" i="66"/>
  <c r="F14" i="66"/>
  <c r="E14" i="66"/>
  <c r="D14" i="66"/>
  <c r="C14" i="66"/>
  <c r="B14" i="66"/>
  <c r="A14" i="66"/>
  <c r="C5" i="66"/>
  <c r="F3" i="66"/>
  <c r="A32" i="65"/>
  <c r="A33" i="65" s="1"/>
  <c r="A34" i="65" s="1"/>
  <c r="A35" i="65" s="1"/>
  <c r="A36" i="65" s="1"/>
  <c r="A27" i="65"/>
  <c r="A26" i="65"/>
  <c r="A25" i="65"/>
  <c r="A24" i="65"/>
  <c r="A23" i="65"/>
  <c r="A22" i="65"/>
  <c r="A21" i="65"/>
  <c r="G20" i="65"/>
  <c r="F20" i="65"/>
  <c r="E20" i="65"/>
  <c r="D20" i="65"/>
  <c r="C20" i="65"/>
  <c r="B20" i="65"/>
  <c r="A20" i="65"/>
  <c r="G19" i="65"/>
  <c r="F19" i="65"/>
  <c r="E19" i="65"/>
  <c r="D19" i="65"/>
  <c r="C19" i="65"/>
  <c r="B19" i="65"/>
  <c r="A19" i="65"/>
  <c r="G18" i="65"/>
  <c r="F18" i="65"/>
  <c r="E18" i="65"/>
  <c r="D18" i="65"/>
  <c r="B18" i="65"/>
  <c r="A18" i="65"/>
  <c r="G17" i="65"/>
  <c r="F17" i="65"/>
  <c r="E17" i="65"/>
  <c r="D17" i="65"/>
  <c r="C17" i="65"/>
  <c r="B17" i="65"/>
  <c r="A17" i="65"/>
  <c r="G16" i="65"/>
  <c r="F16" i="65"/>
  <c r="E16" i="65"/>
  <c r="D16" i="65"/>
  <c r="C16" i="65"/>
  <c r="B16" i="65"/>
  <c r="A16" i="65"/>
  <c r="G15" i="65"/>
  <c r="F15" i="65"/>
  <c r="E15" i="65"/>
  <c r="D15" i="65"/>
  <c r="C15" i="65"/>
  <c r="B15" i="65"/>
  <c r="A15" i="65"/>
  <c r="G14" i="65"/>
  <c r="F14" i="65"/>
  <c r="E14" i="65"/>
  <c r="D14" i="65"/>
  <c r="C14" i="65"/>
  <c r="B14" i="65"/>
  <c r="A14" i="65"/>
  <c r="F3" i="65"/>
  <c r="B26" i="64"/>
  <c r="C26" i="64"/>
  <c r="D26" i="64"/>
  <c r="E26" i="64"/>
  <c r="F26" i="64"/>
  <c r="G26" i="64"/>
  <c r="B27" i="64"/>
  <c r="C27" i="64"/>
  <c r="D27" i="64"/>
  <c r="E27" i="64"/>
  <c r="F27" i="64"/>
  <c r="G27" i="64"/>
  <c r="A26" i="64"/>
  <c r="A27" i="64"/>
  <c r="A28" i="64"/>
  <c r="B23" i="63"/>
  <c r="C23" i="63"/>
  <c r="D23" i="63"/>
  <c r="E23" i="63"/>
  <c r="F23" i="63"/>
  <c r="G23" i="63"/>
  <c r="B24" i="63"/>
  <c r="C24" i="63"/>
  <c r="D24" i="63"/>
  <c r="E24" i="63"/>
  <c r="F24" i="63"/>
  <c r="G24" i="63"/>
  <c r="B25" i="63"/>
  <c r="C25" i="63"/>
  <c r="D25" i="63"/>
  <c r="E25" i="63"/>
  <c r="F25" i="63"/>
  <c r="G25" i="63"/>
  <c r="B26" i="63"/>
  <c r="C26" i="63"/>
  <c r="D26" i="63"/>
  <c r="E26" i="63"/>
  <c r="F26" i="63"/>
  <c r="G26" i="63"/>
  <c r="B27" i="63"/>
  <c r="C27" i="63"/>
  <c r="D27" i="63"/>
  <c r="E27" i="63"/>
  <c r="F27" i="63"/>
  <c r="G27" i="63"/>
  <c r="A23" i="63"/>
  <c r="A24" i="63"/>
  <c r="A25" i="63"/>
  <c r="A26" i="63"/>
  <c r="A27" i="63"/>
  <c r="B23" i="59"/>
  <c r="C23" i="59"/>
  <c r="D23" i="59"/>
  <c r="E23" i="59"/>
  <c r="F23" i="59"/>
  <c r="G23" i="59"/>
  <c r="B24" i="59"/>
  <c r="C24" i="59"/>
  <c r="D24" i="59"/>
  <c r="E24" i="59"/>
  <c r="F24" i="59"/>
  <c r="G24" i="59"/>
  <c r="B25" i="59"/>
  <c r="C25" i="59"/>
  <c r="D25" i="59"/>
  <c r="E25" i="59"/>
  <c r="F25" i="59"/>
  <c r="G25" i="59"/>
  <c r="B26" i="59"/>
  <c r="C26" i="59"/>
  <c r="D26" i="59"/>
  <c r="E26" i="59"/>
  <c r="F26" i="59"/>
  <c r="G26" i="59"/>
  <c r="B27" i="59"/>
  <c r="C27" i="59"/>
  <c r="D27" i="59"/>
  <c r="E27" i="59"/>
  <c r="F27" i="59"/>
  <c r="G27" i="59"/>
  <c r="A23" i="59"/>
  <c r="A24" i="59"/>
  <c r="A25" i="59"/>
  <c r="A26" i="59"/>
  <c r="A27" i="59"/>
  <c r="A28" i="59"/>
  <c r="A29" i="59"/>
  <c r="A30" i="59"/>
  <c r="A31" i="59"/>
  <c r="A35" i="64"/>
  <c r="A36" i="64" s="1"/>
  <c r="A37" i="64" s="1"/>
  <c r="A38" i="64" s="1"/>
  <c r="A39" i="64" s="1"/>
  <c r="A30" i="64"/>
  <c r="A29" i="64"/>
  <c r="G25" i="64"/>
  <c r="F25" i="64"/>
  <c r="E25" i="64"/>
  <c r="D25" i="64"/>
  <c r="C25" i="64"/>
  <c r="B25" i="64"/>
  <c r="A25" i="64"/>
  <c r="G24" i="64"/>
  <c r="F24" i="64"/>
  <c r="E24" i="64"/>
  <c r="D24" i="64"/>
  <c r="C24" i="64"/>
  <c r="B24" i="64"/>
  <c r="A24" i="64"/>
  <c r="G23" i="64"/>
  <c r="F23" i="64"/>
  <c r="E23" i="64"/>
  <c r="D23" i="64"/>
  <c r="C23" i="64"/>
  <c r="B23" i="64"/>
  <c r="A23" i="64"/>
  <c r="G22" i="64"/>
  <c r="F22" i="64"/>
  <c r="E22" i="64"/>
  <c r="D22" i="64"/>
  <c r="C22" i="64"/>
  <c r="B22" i="64"/>
  <c r="A22" i="64"/>
  <c r="G21" i="64"/>
  <c r="F21" i="64"/>
  <c r="E21" i="64"/>
  <c r="D21" i="64"/>
  <c r="C21" i="64"/>
  <c r="B21" i="64"/>
  <c r="A21" i="64"/>
  <c r="G18" i="64"/>
  <c r="F18" i="64"/>
  <c r="E18" i="64"/>
  <c r="D18" i="64"/>
  <c r="C18" i="64"/>
  <c r="B18" i="64"/>
  <c r="A18" i="64"/>
  <c r="G17" i="64"/>
  <c r="F17" i="64"/>
  <c r="E17" i="64"/>
  <c r="D17" i="64"/>
  <c r="C17" i="64"/>
  <c r="B17" i="64"/>
  <c r="A17" i="64"/>
  <c r="G15" i="64"/>
  <c r="F15" i="64"/>
  <c r="E15" i="64"/>
  <c r="D15" i="64"/>
  <c r="C15" i="64"/>
  <c r="B15" i="64"/>
  <c r="A15" i="64"/>
  <c r="G14" i="64"/>
  <c r="F14" i="64"/>
  <c r="E14" i="64"/>
  <c r="D14" i="64"/>
  <c r="C14" i="64"/>
  <c r="B14" i="64"/>
  <c r="A14" i="64"/>
  <c r="C5" i="64"/>
  <c r="F3" i="64"/>
  <c r="B22" i="63"/>
  <c r="C22" i="63"/>
  <c r="D22" i="63"/>
  <c r="E22" i="63"/>
  <c r="F22" i="63"/>
  <c r="G22" i="63"/>
  <c r="B21" i="63"/>
  <c r="C21" i="63"/>
  <c r="D21" i="63"/>
  <c r="E21" i="63"/>
  <c r="F21" i="63"/>
  <c r="G21" i="63"/>
  <c r="A34" i="63"/>
  <c r="A35" i="63" s="1"/>
  <c r="A36" i="63" s="1"/>
  <c r="A37" i="63" s="1"/>
  <c r="A38" i="63" s="1"/>
  <c r="A29" i="63"/>
  <c r="A28" i="63"/>
  <c r="A22" i="63"/>
  <c r="A21" i="63"/>
  <c r="G20" i="63"/>
  <c r="F20" i="63"/>
  <c r="E20" i="63"/>
  <c r="D20" i="63"/>
  <c r="C20" i="63"/>
  <c r="B20" i="63"/>
  <c r="A20" i="63"/>
  <c r="G19" i="63"/>
  <c r="F19" i="63"/>
  <c r="E19" i="63"/>
  <c r="D19" i="63"/>
  <c r="C19" i="63"/>
  <c r="B19" i="63"/>
  <c r="A19" i="63"/>
  <c r="G18" i="63"/>
  <c r="F18" i="63"/>
  <c r="E18" i="63"/>
  <c r="D18" i="63"/>
  <c r="C18" i="63"/>
  <c r="B18" i="63"/>
  <c r="A18" i="63"/>
  <c r="G17" i="63"/>
  <c r="F17" i="63"/>
  <c r="E17" i="63"/>
  <c r="D17" i="63"/>
  <c r="C17" i="63"/>
  <c r="B17" i="63"/>
  <c r="A17" i="63"/>
  <c r="G16" i="63"/>
  <c r="F16" i="63"/>
  <c r="E16" i="63"/>
  <c r="D16" i="63"/>
  <c r="C16" i="63"/>
  <c r="B16" i="63"/>
  <c r="A16" i="63"/>
  <c r="G15" i="63"/>
  <c r="F15" i="63"/>
  <c r="E15" i="63"/>
  <c r="D15" i="63"/>
  <c r="C15" i="63"/>
  <c r="B15" i="63"/>
  <c r="A15" i="63"/>
  <c r="G14" i="63"/>
  <c r="F14" i="63"/>
  <c r="E14" i="63"/>
  <c r="D14" i="63"/>
  <c r="C14" i="63"/>
  <c r="B14" i="63"/>
  <c r="A14" i="63"/>
  <c r="C5" i="63"/>
  <c r="F3" i="63"/>
  <c r="A19" i="59"/>
  <c r="B19" i="59"/>
  <c r="C19" i="59"/>
  <c r="D19" i="59"/>
  <c r="E19" i="59"/>
  <c r="F19" i="59"/>
  <c r="G19" i="59"/>
  <c r="A20" i="59"/>
  <c r="B20" i="59"/>
  <c r="C20" i="59"/>
  <c r="D20" i="59"/>
  <c r="E20" i="59"/>
  <c r="F20" i="59"/>
  <c r="G20" i="59"/>
  <c r="A21" i="59"/>
  <c r="B21" i="59"/>
  <c r="C21" i="59"/>
  <c r="D21" i="59"/>
  <c r="E21" i="59"/>
  <c r="F21" i="59"/>
  <c r="G21" i="59"/>
  <c r="A22" i="59"/>
  <c r="B22" i="59"/>
  <c r="C22" i="59"/>
  <c r="D22" i="59"/>
  <c r="E22" i="59"/>
  <c r="F22" i="59"/>
  <c r="G22" i="59"/>
  <c r="A37" i="59"/>
  <c r="A38" i="59" s="1"/>
  <c r="D34" i="64" l="1"/>
  <c r="D35" i="64"/>
  <c r="B35" i="64"/>
  <c r="D32" i="67"/>
  <c r="A39" i="59"/>
  <c r="B15" i="59"/>
  <c r="C15" i="59"/>
  <c r="D15" i="59"/>
  <c r="E15" i="59"/>
  <c r="F15" i="59"/>
  <c r="G15" i="59"/>
  <c r="B16" i="59"/>
  <c r="C16" i="59"/>
  <c r="D16" i="59"/>
  <c r="E16" i="59"/>
  <c r="F16" i="59"/>
  <c r="G16" i="59"/>
  <c r="B17" i="59"/>
  <c r="C17" i="59"/>
  <c r="D17" i="59"/>
  <c r="E17" i="59"/>
  <c r="F17" i="59"/>
  <c r="G17" i="59"/>
  <c r="B18" i="59"/>
  <c r="C18" i="59"/>
  <c r="D18" i="59"/>
  <c r="E18" i="59"/>
  <c r="F18" i="59"/>
  <c r="G18" i="59"/>
  <c r="G14" i="59"/>
  <c r="F14" i="59"/>
  <c r="E14" i="59"/>
  <c r="D14" i="59"/>
  <c r="C14" i="59"/>
  <c r="B14" i="59"/>
  <c r="C5" i="59"/>
  <c r="A40" i="59" l="1"/>
  <c r="F3" i="59"/>
  <c r="A41" i="59" l="1"/>
  <c r="A32" i="59"/>
  <c r="A18" i="59"/>
  <c r="A17" i="59"/>
  <c r="A16" i="59"/>
  <c r="A15" i="59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5" i="60" l="1"/>
  <c r="B6" i="60" s="1"/>
  <c r="B7" i="60" s="1"/>
  <c r="B8" i="60" s="1"/>
  <c r="B9" i="60" s="1"/>
  <c r="B10" i="60" s="1"/>
  <c r="B11" i="60" s="1"/>
  <c r="B12" i="60" s="1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B28" i="60" s="1"/>
  <c r="B29" i="60" s="1"/>
  <c r="B30" i="60" s="1"/>
  <c r="B31" i="60" s="1"/>
  <c r="B32" i="60" s="1"/>
  <c r="B33" i="60" s="1"/>
  <c r="B34" i="60" s="1"/>
  <c r="B35" i="60" s="1"/>
  <c r="B36" i="60" s="1"/>
  <c r="B37" i="60" s="1"/>
  <c r="B38" i="60" s="1"/>
  <c r="B39" i="60" s="1"/>
  <c r="B40" i="60" s="1"/>
  <c r="B41" i="60" s="1"/>
  <c r="B42" i="60" s="1"/>
  <c r="B43" i="60" s="1"/>
  <c r="B44" i="60" s="1"/>
  <c r="B45" i="60" s="1"/>
  <c r="B46" i="60" s="1"/>
  <c r="B47" i="60" s="1"/>
</calcChain>
</file>

<file path=xl/sharedStrings.xml><?xml version="1.0" encoding="utf-8"?>
<sst xmlns="http://schemas.openxmlformats.org/spreadsheetml/2006/main" count="705" uniqueCount="192">
  <si>
    <t>テーブル一覧</t>
  </si>
  <si>
    <t>No</t>
  </si>
  <si>
    <t>論理テーブル名</t>
  </si>
  <si>
    <t>物理テーブル名</t>
  </si>
  <si>
    <t>備考</t>
  </si>
  <si>
    <t>テーブル情報</t>
  </si>
  <si>
    <t>システム名</t>
  </si>
  <si>
    <t>サブシステム名</t>
  </si>
  <si>
    <t>作成者</t>
  </si>
  <si>
    <t>作成日</t>
  </si>
  <si>
    <t>RDBMS</t>
  </si>
  <si>
    <t>カラム情報</t>
  </si>
  <si>
    <t>論理名</t>
  </si>
  <si>
    <t>物理名</t>
  </si>
  <si>
    <t>データ型</t>
  </si>
  <si>
    <t>Not Null</t>
  </si>
  <si>
    <t>デフォルト</t>
  </si>
  <si>
    <t>インデックス情報</t>
  </si>
  <si>
    <t>インデックス名</t>
  </si>
  <si>
    <t>カラムリスト</t>
  </si>
  <si>
    <t>削除フラグ</t>
    <rPh sb="0" eb="2">
      <t>サクジョ</t>
    </rPh>
    <phoneticPr fontId="7"/>
  </si>
  <si>
    <t>更新日時</t>
    <rPh sb="0" eb="2">
      <t>コウシン</t>
    </rPh>
    <rPh sb="2" eb="4">
      <t>ニチジ</t>
    </rPh>
    <phoneticPr fontId="7"/>
  </si>
  <si>
    <t>NOT NULL</t>
  </si>
  <si>
    <t>名称</t>
    <rPh sb="0" eb="2">
      <t>メイショウ</t>
    </rPh>
    <phoneticPr fontId="7"/>
  </si>
  <si>
    <t>MySQL</t>
    <phoneticPr fontId="7"/>
  </si>
  <si>
    <t>ENGINE</t>
    <phoneticPr fontId="7"/>
  </si>
  <si>
    <t>InnoDB</t>
    <phoneticPr fontId="7"/>
  </si>
  <si>
    <t>CHARSET</t>
    <phoneticPr fontId="7"/>
  </si>
  <si>
    <t>utf8mb4</t>
    <phoneticPr fontId="7"/>
  </si>
  <si>
    <t>スキーマ名</t>
    <phoneticPr fontId="7"/>
  </si>
  <si>
    <t>ID</t>
    <phoneticPr fontId="7"/>
  </si>
  <si>
    <t>ひぐま流IT道場</t>
    <rPh sb="3" eb="4">
      <t>リュウ</t>
    </rPh>
    <rPh sb="6" eb="8">
      <t>ドウジョウ</t>
    </rPh>
    <phoneticPr fontId="7"/>
  </si>
  <si>
    <t>大会運営システム</t>
    <rPh sb="0" eb="2">
      <t>タイカイ</t>
    </rPh>
    <rPh sb="2" eb="4">
      <t>ウンエイ</t>
    </rPh>
    <phoneticPr fontId="7"/>
  </si>
  <si>
    <t>PK</t>
    <phoneticPr fontId="7"/>
  </si>
  <si>
    <t>Y</t>
    <phoneticPr fontId="7"/>
  </si>
  <si>
    <t>m_event</t>
  </si>
  <si>
    <t>m_event</t>
    <phoneticPr fontId="7"/>
  </si>
  <si>
    <t>event_manage</t>
    <phoneticPr fontId="7"/>
  </si>
  <si>
    <t>大会マスタ</t>
  </si>
  <si>
    <t>大会情報のマスタ</t>
  </si>
  <si>
    <t>大会情報のマスタ</t>
    <rPh sb="0" eb="2">
      <t>タイカイ</t>
    </rPh>
    <rPh sb="2" eb="4">
      <t>ジョウホウ</t>
    </rPh>
    <phoneticPr fontId="7"/>
  </si>
  <si>
    <t>大会ID</t>
    <rPh sb="0" eb="2">
      <t>タイカイ</t>
    </rPh>
    <phoneticPr fontId="7"/>
  </si>
  <si>
    <t>event_id</t>
    <phoneticPr fontId="7"/>
  </si>
  <si>
    <t>varchar(20)</t>
    <phoneticPr fontId="7"/>
  </si>
  <si>
    <t>#</t>
    <phoneticPr fontId="7"/>
  </si>
  <si>
    <t>ドメイン</t>
    <phoneticPr fontId="7"/>
  </si>
  <si>
    <t>ドメイン名</t>
    <rPh sb="4" eb="5">
      <t>メイ</t>
    </rPh>
    <phoneticPr fontId="7"/>
  </si>
  <si>
    <t>◆ドメイン定義。複数のテーブルで使う項目を事前に定義しておき、テーブル間の表記ゆれを抑えるためのもの</t>
    <rPh sb="5" eb="7">
      <t>テイギ</t>
    </rPh>
    <rPh sb="8" eb="10">
      <t>フクスウ</t>
    </rPh>
    <rPh sb="16" eb="17">
      <t>ツカ</t>
    </rPh>
    <rPh sb="18" eb="20">
      <t>コウモク</t>
    </rPh>
    <rPh sb="21" eb="23">
      <t>ジゼン</t>
    </rPh>
    <rPh sb="24" eb="26">
      <t>テイギ</t>
    </rPh>
    <rPh sb="35" eb="36">
      <t>カン</t>
    </rPh>
    <rPh sb="37" eb="39">
      <t>ヒョウキ</t>
    </rPh>
    <rPh sb="42" eb="43">
      <t>オサ</t>
    </rPh>
    <phoneticPr fontId="7"/>
  </si>
  <si>
    <t>主催者ID</t>
    <rPh sb="0" eb="3">
      <t>シュサイシャ</t>
    </rPh>
    <phoneticPr fontId="7"/>
  </si>
  <si>
    <t>大会名</t>
    <rPh sb="0" eb="2">
      <t>タイカイ</t>
    </rPh>
    <rPh sb="2" eb="3">
      <t>メイ</t>
    </rPh>
    <phoneticPr fontId="7"/>
  </si>
  <si>
    <t>開催日時</t>
    <rPh sb="0" eb="2">
      <t>カイサイ</t>
    </rPh>
    <rPh sb="2" eb="4">
      <t>ニチジ</t>
    </rPh>
    <phoneticPr fontId="7"/>
  </si>
  <si>
    <t>開催場所</t>
    <rPh sb="0" eb="2">
      <t>カイサイ</t>
    </rPh>
    <rPh sb="2" eb="4">
      <t>バショ</t>
    </rPh>
    <phoneticPr fontId="7"/>
  </si>
  <si>
    <t>owner_id</t>
    <phoneticPr fontId="7"/>
  </si>
  <si>
    <t>event_name</t>
    <phoneticPr fontId="7"/>
  </si>
  <si>
    <t>varchar(50)</t>
    <phoneticPr fontId="7"/>
  </si>
  <si>
    <t>date</t>
    <phoneticPr fontId="7"/>
  </si>
  <si>
    <t>holding_place</t>
    <phoneticPr fontId="7"/>
  </si>
  <si>
    <t>NOT NULL</t>
    <phoneticPr fontId="7"/>
  </si>
  <si>
    <t>UNIQUE KEY</t>
    <phoneticPr fontId="7"/>
  </si>
  <si>
    <t>int(7)</t>
    <phoneticPr fontId="7"/>
  </si>
  <si>
    <t>varchar(100)</t>
    <phoneticPr fontId="7"/>
  </si>
  <si>
    <t>主催者名</t>
    <rPh sb="0" eb="3">
      <t>シュサイシャ</t>
    </rPh>
    <rPh sb="3" eb="4">
      <t>メイ</t>
    </rPh>
    <phoneticPr fontId="7"/>
  </si>
  <si>
    <t>owner_name</t>
    <phoneticPr fontId="7"/>
  </si>
  <si>
    <t>代表者氏名</t>
    <rPh sb="0" eb="3">
      <t>ダイヒョウシャ</t>
    </rPh>
    <rPh sb="3" eb="5">
      <t>シメイ</t>
    </rPh>
    <phoneticPr fontId="7"/>
  </si>
  <si>
    <t>ｒepresentative_name</t>
    <phoneticPr fontId="7"/>
  </si>
  <si>
    <t>郵便番号</t>
    <rPh sb="0" eb="4">
      <t>ユウビンバンゴウ</t>
    </rPh>
    <phoneticPr fontId="7"/>
  </si>
  <si>
    <t>都道府県</t>
    <rPh sb="0" eb="4">
      <t>トドウフケン</t>
    </rPh>
    <phoneticPr fontId="7"/>
  </si>
  <si>
    <t>市区町村</t>
    <rPh sb="0" eb="2">
      <t>シク</t>
    </rPh>
    <rPh sb="2" eb="4">
      <t>チョウソン</t>
    </rPh>
    <phoneticPr fontId="7"/>
  </si>
  <si>
    <t>住所</t>
    <rPh sb="0" eb="2">
      <t>ジュウショ</t>
    </rPh>
    <phoneticPr fontId="7"/>
  </si>
  <si>
    <t>prefectures</t>
    <phoneticPr fontId="7"/>
  </si>
  <si>
    <t>city</t>
    <phoneticPr fontId="7"/>
  </si>
  <si>
    <t>address</t>
    <phoneticPr fontId="7"/>
  </si>
  <si>
    <t>電話番号</t>
    <rPh sb="0" eb="2">
      <t>デンワ</t>
    </rPh>
    <rPh sb="2" eb="4">
      <t>バンゴウ</t>
    </rPh>
    <phoneticPr fontId="7"/>
  </si>
  <si>
    <t>call_number</t>
    <phoneticPr fontId="7"/>
  </si>
  <si>
    <t>メールアドレス</t>
  </si>
  <si>
    <t>メールアドレス</t>
    <phoneticPr fontId="7"/>
  </si>
  <si>
    <t>mail_address</t>
    <phoneticPr fontId="7"/>
  </si>
  <si>
    <t>m_owner</t>
  </si>
  <si>
    <t>m_owner</t>
    <phoneticPr fontId="7"/>
  </si>
  <si>
    <t>主催者情報のマスタ</t>
  </si>
  <si>
    <t>主催者情報のマスタ</t>
    <rPh sb="0" eb="3">
      <t>シュサイシャ</t>
    </rPh>
    <rPh sb="3" eb="5">
      <t>ジョウホウ</t>
    </rPh>
    <phoneticPr fontId="7"/>
  </si>
  <si>
    <t>大会ごとのエントリ枠のマスタ</t>
  </si>
  <si>
    <t>大会ごとのエントリ枠のマスタ</t>
    <rPh sb="0" eb="2">
      <t>タイカイ</t>
    </rPh>
    <rPh sb="9" eb="10">
      <t>ワク</t>
    </rPh>
    <phoneticPr fontId="7"/>
  </si>
  <si>
    <t>エントリ枠ID</t>
    <rPh sb="4" eb="5">
      <t>ワク</t>
    </rPh>
    <phoneticPr fontId="7"/>
  </si>
  <si>
    <t>entry_frame_id</t>
    <phoneticPr fontId="7"/>
  </si>
  <si>
    <t>種目ID</t>
    <rPh sb="0" eb="2">
      <t>シュモク</t>
    </rPh>
    <phoneticPr fontId="7"/>
  </si>
  <si>
    <t>event_item_id</t>
    <phoneticPr fontId="7"/>
  </si>
  <si>
    <t>event_type_id</t>
    <phoneticPr fontId="7"/>
  </si>
  <si>
    <t>抽選区分</t>
    <rPh sb="0" eb="2">
      <t>チュウセン</t>
    </rPh>
    <rPh sb="2" eb="4">
      <t>クブン</t>
    </rPh>
    <phoneticPr fontId="7"/>
  </si>
  <si>
    <t>lottery_div</t>
    <phoneticPr fontId="7"/>
  </si>
  <si>
    <t>varchar(1)</t>
    <phoneticPr fontId="7"/>
  </si>
  <si>
    <t>1：先着順、2：抽選</t>
    <rPh sb="2" eb="4">
      <t>センチャク</t>
    </rPh>
    <rPh sb="4" eb="5">
      <t>ジュン</t>
    </rPh>
    <rPh sb="8" eb="10">
      <t>チュウセン</t>
    </rPh>
    <phoneticPr fontId="7"/>
  </si>
  <si>
    <t>抽選年月日</t>
    <rPh sb="0" eb="2">
      <t>チュウセン</t>
    </rPh>
    <rPh sb="2" eb="5">
      <t>ネンガッピ</t>
    </rPh>
    <phoneticPr fontId="7"/>
  </si>
  <si>
    <t>lottery_date</t>
    <phoneticPr fontId="7"/>
  </si>
  <si>
    <t>1：募集前、2：募集中、3、抽選中、4：参加者確定</t>
    <rPh sb="2" eb="4">
      <t>ボシュウ</t>
    </rPh>
    <rPh sb="4" eb="5">
      <t>マエ</t>
    </rPh>
    <rPh sb="8" eb="11">
      <t>ボシュウチュウ</t>
    </rPh>
    <rPh sb="14" eb="17">
      <t>チュウセンチュウ</t>
    </rPh>
    <rPh sb="20" eb="23">
      <t>サンカシャ</t>
    </rPh>
    <rPh sb="23" eb="25">
      <t>カクテイ</t>
    </rPh>
    <phoneticPr fontId="7"/>
  </si>
  <si>
    <t>delete_flg</t>
    <phoneticPr fontId="7"/>
  </si>
  <si>
    <t>0：有効、1：論理削除</t>
    <rPh sb="2" eb="4">
      <t>ユウコウ</t>
    </rPh>
    <rPh sb="7" eb="9">
      <t>ロンリ</t>
    </rPh>
    <rPh sb="9" eb="11">
      <t>サクジョ</t>
    </rPh>
    <phoneticPr fontId="7"/>
  </si>
  <si>
    <t>作成者</t>
    <rPh sb="0" eb="3">
      <t>サクセイシャ</t>
    </rPh>
    <phoneticPr fontId="7"/>
  </si>
  <si>
    <t>作成日時</t>
    <rPh sb="0" eb="2">
      <t>サクセイ</t>
    </rPh>
    <rPh sb="2" eb="4">
      <t>ニチジ</t>
    </rPh>
    <phoneticPr fontId="7"/>
  </si>
  <si>
    <t>更新者</t>
    <rPh sb="0" eb="3">
      <t>コウシンシャ</t>
    </rPh>
    <phoneticPr fontId="7"/>
  </si>
  <si>
    <t>create_user_id</t>
    <phoneticPr fontId="7"/>
  </si>
  <si>
    <t>update_user_id</t>
    <phoneticPr fontId="7"/>
  </si>
  <si>
    <t>update_datetime</t>
    <phoneticPr fontId="7"/>
  </si>
  <si>
    <t>datetime</t>
    <phoneticPr fontId="7"/>
  </si>
  <si>
    <t>参加人数上限</t>
    <rPh sb="0" eb="2">
      <t>サンカ</t>
    </rPh>
    <rPh sb="2" eb="4">
      <t>ニンズウ</t>
    </rPh>
    <rPh sb="4" eb="6">
      <t>ジョウゲン</t>
    </rPh>
    <phoneticPr fontId="7"/>
  </si>
  <si>
    <t>entrant_limit</t>
    <phoneticPr fontId="7"/>
  </si>
  <si>
    <t>m_event_entry</t>
  </si>
  <si>
    <t>m_event_entry</t>
    <phoneticPr fontId="7"/>
  </si>
  <si>
    <t>m_event_service</t>
  </si>
  <si>
    <t>m_event_service</t>
    <phoneticPr fontId="7"/>
  </si>
  <si>
    <t>備考</t>
    <phoneticPr fontId="7"/>
  </si>
  <si>
    <t>大会ごとのサービス情報のマスタ</t>
  </si>
  <si>
    <t>大会ごとのサービス情報のマスタ</t>
    <rPh sb="0" eb="2">
      <t>タイカイ</t>
    </rPh>
    <rPh sb="9" eb="11">
      <t>ジョウホウ</t>
    </rPh>
    <phoneticPr fontId="7"/>
  </si>
  <si>
    <t>大会サービスID</t>
    <rPh sb="0" eb="2">
      <t>タイカイ</t>
    </rPh>
    <phoneticPr fontId="7"/>
  </si>
  <si>
    <t>event_service_id</t>
    <phoneticPr fontId="7"/>
  </si>
  <si>
    <t>大会アイテムID</t>
    <rPh sb="0" eb="2">
      <t>タイカイ</t>
    </rPh>
    <phoneticPr fontId="7"/>
  </si>
  <si>
    <t>会員ID</t>
    <rPh sb="0" eb="2">
      <t>カイイン</t>
    </rPh>
    <phoneticPr fontId="7"/>
  </si>
  <si>
    <t>user_id</t>
    <phoneticPr fontId="7"/>
  </si>
  <si>
    <t>会員名</t>
    <rPh sb="0" eb="2">
      <t>カイイン</t>
    </rPh>
    <rPh sb="2" eb="3">
      <t>メイ</t>
    </rPh>
    <phoneticPr fontId="7"/>
  </si>
  <si>
    <t>user_name</t>
    <phoneticPr fontId="7"/>
  </si>
  <si>
    <t>会員申込み状態</t>
  </si>
  <si>
    <t>会員申込み状態</t>
    <rPh sb="0" eb="2">
      <t>カイイン</t>
    </rPh>
    <rPh sb="2" eb="4">
      <t>モウシコ</t>
    </rPh>
    <rPh sb="5" eb="7">
      <t>ジョウタイ</t>
    </rPh>
    <phoneticPr fontId="7"/>
  </si>
  <si>
    <t>user_entry_status</t>
    <phoneticPr fontId="7"/>
  </si>
  <si>
    <t>支払い年月日</t>
    <rPh sb="0" eb="2">
      <t>シハラ</t>
    </rPh>
    <rPh sb="3" eb="6">
      <t>ネンガッピ</t>
    </rPh>
    <phoneticPr fontId="7"/>
  </si>
  <si>
    <t>payment_date</t>
    <phoneticPr fontId="7"/>
  </si>
  <si>
    <t>ポイント付与有無</t>
    <rPh sb="4" eb="6">
      <t>フヨ</t>
    </rPh>
    <rPh sb="6" eb="8">
      <t>ウム</t>
    </rPh>
    <phoneticPr fontId="7"/>
  </si>
  <si>
    <t>支払金額</t>
    <rPh sb="0" eb="2">
      <t>シハライ</t>
    </rPh>
    <rPh sb="2" eb="4">
      <t>キンガク</t>
    </rPh>
    <phoneticPr fontId="7"/>
  </si>
  <si>
    <t>payment_amount</t>
    <phoneticPr fontId="7"/>
  </si>
  <si>
    <t>point_granted_flg</t>
    <phoneticPr fontId="7"/>
  </si>
  <si>
    <t>0：ポイント計算前、1：ポイント計算済み</t>
    <rPh sb="6" eb="8">
      <t>ケイサン</t>
    </rPh>
    <rPh sb="8" eb="9">
      <t>マエ</t>
    </rPh>
    <rPh sb="16" eb="18">
      <t>ケイサン</t>
    </rPh>
    <rPh sb="18" eb="19">
      <t>ズ</t>
    </rPh>
    <phoneticPr fontId="7"/>
  </si>
  <si>
    <t>t_event_entry_user</t>
  </si>
  <si>
    <t>t_event_entry_user</t>
    <phoneticPr fontId="7"/>
  </si>
  <si>
    <t>会員が申し込んだ情報を保持するテーブル</t>
  </si>
  <si>
    <t>会員が申し込んだ情報を保持するテーブル</t>
    <rPh sb="0" eb="2">
      <t>カイイン</t>
    </rPh>
    <rPh sb="3" eb="4">
      <t>モウ</t>
    </rPh>
    <rPh sb="5" eb="6">
      <t>コ</t>
    </rPh>
    <rPh sb="8" eb="10">
      <t>ジョウホウ</t>
    </rPh>
    <rPh sb="11" eb="13">
      <t>ホジ</t>
    </rPh>
    <phoneticPr fontId="7"/>
  </si>
  <si>
    <t>性別</t>
    <rPh sb="0" eb="2">
      <t>セイベツ</t>
    </rPh>
    <phoneticPr fontId="7"/>
  </si>
  <si>
    <t>gender</t>
    <phoneticPr fontId="7"/>
  </si>
  <si>
    <t>0：不明、1：男性、2：女性、9：適用不能</t>
    <rPh sb="2" eb="4">
      <t>フメイ</t>
    </rPh>
    <rPh sb="7" eb="9">
      <t>ダンセイ</t>
    </rPh>
    <rPh sb="12" eb="14">
      <t>ジョセイ</t>
    </rPh>
    <rPh sb="17" eb="19">
      <t>テキヨウ</t>
    </rPh>
    <rPh sb="19" eb="21">
      <t>フノウ</t>
    </rPh>
    <phoneticPr fontId="7"/>
  </si>
  <si>
    <t>生年月日</t>
  </si>
  <si>
    <t>生年月日</t>
    <rPh sb="0" eb="2">
      <t>セイネン</t>
    </rPh>
    <rPh sb="2" eb="4">
      <t>ガッピ</t>
    </rPh>
    <phoneticPr fontId="7"/>
  </si>
  <si>
    <t>birthday</t>
    <phoneticPr fontId="7"/>
  </si>
  <si>
    <t>ポイント残高</t>
    <rPh sb="4" eb="6">
      <t>ザンダカ</t>
    </rPh>
    <phoneticPr fontId="7"/>
  </si>
  <si>
    <t>point</t>
    <phoneticPr fontId="7"/>
  </si>
  <si>
    <t>m_user</t>
  </si>
  <si>
    <t>m_user</t>
    <phoneticPr fontId="7"/>
  </si>
  <si>
    <t>会員のマスタ</t>
  </si>
  <si>
    <t>会員のマスタ</t>
    <rPh sb="0" eb="2">
      <t>カイイン</t>
    </rPh>
    <phoneticPr fontId="7"/>
  </si>
  <si>
    <t>会員のポイント情報を保持するテーブル</t>
  </si>
  <si>
    <t>会員のポイント情報を保持するテーブル</t>
    <rPh sb="0" eb="2">
      <t>カイイン</t>
    </rPh>
    <rPh sb="7" eb="9">
      <t>ジョウホウ</t>
    </rPh>
    <rPh sb="10" eb="12">
      <t>ホジ</t>
    </rPh>
    <phoneticPr fontId="7"/>
  </si>
  <si>
    <t>t_user_point</t>
  </si>
  <si>
    <t>t_user_point</t>
    <phoneticPr fontId="7"/>
  </si>
  <si>
    <t>post_cd</t>
    <phoneticPr fontId="7"/>
  </si>
  <si>
    <t>param_id</t>
    <phoneticPr fontId="7"/>
  </si>
  <si>
    <t>パラメータID</t>
  </si>
  <si>
    <t>パラメータID</t>
    <phoneticPr fontId="7"/>
  </si>
  <si>
    <t>パラメータ値</t>
    <rPh sb="5" eb="6">
      <t>アタイ</t>
    </rPh>
    <phoneticPr fontId="7"/>
  </si>
  <si>
    <t>param_val</t>
    <phoneticPr fontId="7"/>
  </si>
  <si>
    <t>パラメータを管理するテーブル</t>
  </si>
  <si>
    <t>パラメータを管理するテーブル</t>
    <rPh sb="6" eb="8">
      <t>カンリ</t>
    </rPh>
    <phoneticPr fontId="7"/>
  </si>
  <si>
    <t>支払確認年月日</t>
    <rPh sb="0" eb="2">
      <t>シハライ</t>
    </rPh>
    <rPh sb="2" eb="4">
      <t>カクニン</t>
    </rPh>
    <rPh sb="4" eb="7">
      <t>ネンガッピ</t>
    </rPh>
    <phoneticPr fontId="7"/>
  </si>
  <si>
    <t>payment_confirm_date</t>
    <phoneticPr fontId="7"/>
  </si>
  <si>
    <t>募集開始年月日</t>
    <rPh sb="0" eb="2">
      <t>ボシュウ</t>
    </rPh>
    <rPh sb="2" eb="4">
      <t>カイシ</t>
    </rPh>
    <rPh sb="4" eb="7">
      <t>ネンガッピ</t>
    </rPh>
    <phoneticPr fontId="7"/>
  </si>
  <si>
    <t>募集終了年月日</t>
    <rPh sb="0" eb="2">
      <t>ボシュウ</t>
    </rPh>
    <rPh sb="2" eb="4">
      <t>シュウリョウ</t>
    </rPh>
    <rPh sb="4" eb="7">
      <t>ネンガッピ</t>
    </rPh>
    <phoneticPr fontId="7"/>
  </si>
  <si>
    <t>recruit_end_date</t>
    <phoneticPr fontId="7"/>
  </si>
  <si>
    <t>recruit_start_date</t>
    <phoneticPr fontId="7"/>
  </si>
  <si>
    <t>エントリ枠ステータス</t>
    <rPh sb="4" eb="5">
      <t>ワク</t>
    </rPh>
    <phoneticPr fontId="7"/>
  </si>
  <si>
    <t>entry_frame_status</t>
    <phoneticPr fontId="7"/>
  </si>
  <si>
    <t>主催者マスタ</t>
  </si>
  <si>
    <t>エントリ枠</t>
  </si>
  <si>
    <t>大会サービス</t>
  </si>
  <si>
    <t>大会アイテム</t>
  </si>
  <si>
    <t>参加申込み</t>
  </si>
  <si>
    <t>会員マスタ</t>
  </si>
  <si>
    <t>会員ポイント</t>
  </si>
  <si>
    <t>パラメータマスタ</t>
  </si>
  <si>
    <t>create_datetime</t>
    <phoneticPr fontId="7"/>
  </si>
  <si>
    <t>カテゴリ</t>
    <phoneticPr fontId="7"/>
  </si>
  <si>
    <t>監査項目</t>
    <rPh sb="0" eb="2">
      <t>カンサ</t>
    </rPh>
    <rPh sb="2" eb="4">
      <t>コウモク</t>
    </rPh>
    <phoneticPr fontId="7"/>
  </si>
  <si>
    <t>holding_datetime</t>
    <phoneticPr fontId="7"/>
  </si>
  <si>
    <t>年月日時分秒</t>
    <rPh sb="0" eb="3">
      <t>ネンガッピ</t>
    </rPh>
    <rPh sb="3" eb="6">
      <t>ジフンビョウ</t>
    </rPh>
    <phoneticPr fontId="7"/>
  </si>
  <si>
    <t>年月日</t>
    <rPh sb="0" eb="3">
      <t>ネンガッピ</t>
    </rPh>
    <phoneticPr fontId="7"/>
  </si>
  <si>
    <t>区分</t>
    <rPh sb="0" eb="2">
      <t>クブン</t>
    </rPh>
    <phoneticPr fontId="7"/>
  </si>
  <si>
    <t>その他文字列</t>
    <rPh sb="2" eb="3">
      <t>タ</t>
    </rPh>
    <rPh sb="3" eb="6">
      <t>モジレツ</t>
    </rPh>
    <phoneticPr fontId="7"/>
  </si>
  <si>
    <t>金額</t>
    <rPh sb="0" eb="2">
      <t>キンガク</t>
    </rPh>
    <phoneticPr fontId="7"/>
  </si>
  <si>
    <t>数値</t>
    <rPh sb="0" eb="2">
      <t>スウチ</t>
    </rPh>
    <phoneticPr fontId="7"/>
  </si>
  <si>
    <t>m_param</t>
  </si>
  <si>
    <t>m_param</t>
    <phoneticPr fontId="7"/>
  </si>
  <si>
    <t>m_event_item</t>
  </si>
  <si>
    <t>m_event_item</t>
    <phoneticPr fontId="7"/>
  </si>
  <si>
    <t>大会ごとのアイテムのマスタ</t>
  </si>
  <si>
    <t>大会ごとのアイテムのマスタ</t>
    <rPh sb="0" eb="2">
      <t>タイカイ</t>
    </rPh>
    <phoneticPr fontId="7"/>
  </si>
  <si>
    <t>1：申し込み済み、2：抽選中、3：参加確定(未払い)、4：参加確定(支払済)、5：落選、9：キャンセル</t>
    <rPh sb="2" eb="3">
      <t>モウ</t>
    </rPh>
    <rPh sb="4" eb="5">
      <t>コ</t>
    </rPh>
    <rPh sb="6" eb="7">
      <t>ズ</t>
    </rPh>
    <rPh sb="11" eb="14">
      <t>チュウセンチュウ</t>
    </rPh>
    <rPh sb="17" eb="19">
      <t>サンカ</t>
    </rPh>
    <rPh sb="19" eb="21">
      <t>カクテイ</t>
    </rPh>
    <rPh sb="22" eb="24">
      <t>ミバラ</t>
    </rPh>
    <rPh sb="29" eb="31">
      <t>サンカ</t>
    </rPh>
    <rPh sb="31" eb="33">
      <t>カクテイ</t>
    </rPh>
    <rPh sb="34" eb="36">
      <t>シハラ</t>
    </rPh>
    <rPh sb="36" eb="37">
      <t>ズ</t>
    </rPh>
    <rPh sb="41" eb="43">
      <t>ラクセン</t>
    </rPh>
    <phoneticPr fontId="7"/>
  </si>
  <si>
    <r>
      <t>大会運営システム</t>
    </r>
    <r>
      <rPr>
        <sz val="9"/>
        <color theme="1"/>
        <rFont val="Microsoft YaHei"/>
        <family val="2"/>
        <charset val="134"/>
      </rPr>
      <t>3</t>
    </r>
    <rPh sb="0" eb="2">
      <t>タイカイ</t>
    </rPh>
    <rPh sb="2" eb="4">
      <t>ウンエイ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</si>
</sst>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i/>
      <sz val="9"/>
      <color theme="1"/>
      <name val="ＭＳ Ｐゴシック"/>
      <family val="3"/>
      <charset val="128"/>
      <scheme val="minor"/>
    </font>
    <font>
      <b/>
      <sz val="9"/>
      <color rgb="FFFFFFFF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color rgb="FFFFFFFF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rgb="FF000000"/>
      <name val="メイリオ"/>
      <family val="3"/>
      <charset val="128"/>
    </font>
    <font>
      <sz val="9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0"/>
      <name val="ＭＳ Ｐゴシック"/>
      <family val="3"/>
      <charset val="128"/>
      <scheme val="minor"/>
    </font>
    <font>
      <sz val="9"/>
      <color theme="1"/>
      <name val="Microsoft YaHe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otted">
        <color indexed="64"/>
      </bottom>
      <diagonal/>
    </border>
    <border>
      <left/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otted">
        <color indexed="64"/>
      </bottom>
      <diagonal/>
    </border>
    <border>
      <left style="dashed">
        <color indexed="64"/>
      </left>
      <right/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/>
      <bottom style="dott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0" borderId="6" xfId="0" applyFont="1" applyBorder="1">
      <alignment vertical="center"/>
    </xf>
    <xf numFmtId="0" fontId="1" fillId="0" borderId="9" xfId="0" applyFont="1" applyBorder="1">
      <alignment vertical="center"/>
    </xf>
    <xf numFmtId="0" fontId="1" fillId="0" borderId="12" xfId="0" applyFont="1" applyBorder="1">
      <alignment vertical="center"/>
    </xf>
    <xf numFmtId="49" fontId="1" fillId="0" borderId="0" xfId="0" applyNumberFormat="1" applyFont="1">
      <alignment vertical="center"/>
    </xf>
    <xf numFmtId="49" fontId="4" fillId="2" borderId="18" xfId="0" applyNumberFormat="1" applyFont="1" applyFill="1" applyBorder="1">
      <alignment vertical="center"/>
    </xf>
    <xf numFmtId="49" fontId="4" fillId="2" borderId="17" xfId="0" applyNumberFormat="1" applyFont="1" applyFill="1" applyBorder="1">
      <alignment vertical="center"/>
    </xf>
    <xf numFmtId="49" fontId="1" fillId="0" borderId="7" xfId="0" applyNumberFormat="1" applyFont="1" applyBorder="1">
      <alignment vertical="center"/>
    </xf>
    <xf numFmtId="49" fontId="1" fillId="0" borderId="10" xfId="0" applyNumberFormat="1" applyFont="1" applyBorder="1">
      <alignment vertical="center"/>
    </xf>
    <xf numFmtId="0" fontId="1" fillId="0" borderId="22" xfId="0" applyFont="1" applyBorder="1">
      <alignment vertical="center"/>
    </xf>
    <xf numFmtId="0" fontId="1" fillId="0" borderId="21" xfId="0" applyFont="1" applyBorder="1">
      <alignment vertical="center"/>
    </xf>
    <xf numFmtId="0" fontId="4" fillId="2" borderId="27" xfId="0" applyFont="1" applyFill="1" applyBorder="1">
      <alignment vertical="center"/>
    </xf>
    <xf numFmtId="0" fontId="4" fillId="2" borderId="28" xfId="0" applyFont="1" applyFill="1" applyBorder="1">
      <alignment vertical="center"/>
    </xf>
    <xf numFmtId="0" fontId="4" fillId="2" borderId="26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9" fillId="0" borderId="22" xfId="0" applyFont="1" applyFill="1" applyBorder="1">
      <alignment vertical="center"/>
    </xf>
    <xf numFmtId="0" fontId="1" fillId="0" borderId="30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49" fontId="4" fillId="3" borderId="14" xfId="0" applyNumberFormat="1" applyFont="1" applyFill="1" applyBorder="1">
      <alignment vertical="center"/>
    </xf>
    <xf numFmtId="49" fontId="4" fillId="3" borderId="18" xfId="0" applyNumberFormat="1" applyFont="1" applyFill="1" applyBorder="1">
      <alignment vertical="center"/>
    </xf>
    <xf numFmtId="49" fontId="4" fillId="3" borderId="15" xfId="0" applyNumberFormat="1" applyFont="1" applyFill="1" applyBorder="1">
      <alignment vertical="center"/>
    </xf>
    <xf numFmtId="49" fontId="4" fillId="3" borderId="17" xfId="0" applyNumberFormat="1" applyFont="1" applyFill="1" applyBorder="1">
      <alignment vertical="center"/>
    </xf>
    <xf numFmtId="0" fontId="4" fillId="3" borderId="14" xfId="0" applyFont="1" applyFill="1" applyBorder="1">
      <alignment vertical="center"/>
    </xf>
    <xf numFmtId="49" fontId="4" fillId="3" borderId="19" xfId="0" applyNumberFormat="1" applyFont="1" applyFill="1" applyBorder="1">
      <alignment vertical="center"/>
    </xf>
    <xf numFmtId="49" fontId="1" fillId="0" borderId="13" xfId="0" applyNumberFormat="1" applyFont="1" applyFill="1" applyBorder="1" applyAlignment="1">
      <alignment horizontal="center" vertical="center"/>
    </xf>
    <xf numFmtId="49" fontId="1" fillId="0" borderId="7" xfId="0" applyNumberFormat="1" applyFont="1" applyFill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0" fontId="5" fillId="0" borderId="23" xfId="1" applyFill="1" applyBorder="1">
      <alignment vertical="center"/>
    </xf>
    <xf numFmtId="0" fontId="10" fillId="0" borderId="0" xfId="0" applyFont="1">
      <alignment vertical="center"/>
    </xf>
    <xf numFmtId="0" fontId="11" fillId="0" borderId="31" xfId="1" applyFont="1" applyFill="1" applyBorder="1">
      <alignment vertical="center"/>
    </xf>
    <xf numFmtId="0" fontId="11" fillId="0" borderId="7" xfId="1" applyFont="1" applyFill="1" applyBorder="1">
      <alignment vertical="center"/>
    </xf>
    <xf numFmtId="0" fontId="12" fillId="0" borderId="7" xfId="1" applyFont="1" applyBorder="1">
      <alignment vertical="center"/>
    </xf>
    <xf numFmtId="0" fontId="12" fillId="0" borderId="10" xfId="1" applyFont="1" applyBorder="1">
      <alignment vertical="center"/>
    </xf>
    <xf numFmtId="0" fontId="9" fillId="0" borderId="32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2" borderId="29" xfId="0" applyFont="1" applyFill="1" applyBorder="1" applyAlignment="1">
      <alignment vertical="center" wrapText="1"/>
    </xf>
    <xf numFmtId="0" fontId="9" fillId="0" borderId="8" xfId="0" applyFont="1" applyFill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0" fillId="0" borderId="17" xfId="0" applyBorder="1">
      <alignment vertical="center"/>
    </xf>
    <xf numFmtId="0" fontId="1" fillId="0" borderId="13" xfId="0" applyNumberFormat="1" applyFont="1" applyFill="1" applyBorder="1" applyAlignment="1">
      <alignment vertical="center" wrapText="1"/>
    </xf>
    <xf numFmtId="0" fontId="1" fillId="0" borderId="7" xfId="0" quotePrefix="1" applyNumberFormat="1" applyFont="1" applyBorder="1">
      <alignment vertical="center"/>
    </xf>
    <xf numFmtId="0" fontId="1" fillId="0" borderId="7" xfId="0" applyNumberFormat="1" applyFont="1" applyBorder="1">
      <alignment vertical="center"/>
    </xf>
    <xf numFmtId="0" fontId="1" fillId="0" borderId="10" xfId="0" applyNumberFormat="1" applyFont="1" applyBorder="1">
      <alignment vertical="center"/>
    </xf>
    <xf numFmtId="0" fontId="1" fillId="0" borderId="10" xfId="0" quotePrefix="1" applyNumberFormat="1" applyFont="1" applyBorder="1">
      <alignment vertical="center"/>
    </xf>
    <xf numFmtId="49" fontId="6" fillId="3" borderId="33" xfId="0" applyNumberFormat="1" applyFont="1" applyFill="1" applyBorder="1">
      <alignment vertical="center"/>
    </xf>
    <xf numFmtId="49" fontId="6" fillId="3" borderId="34" xfId="0" applyNumberFormat="1" applyFont="1" applyFill="1" applyBorder="1">
      <alignment vertical="center"/>
    </xf>
    <xf numFmtId="0" fontId="5" fillId="0" borderId="22" xfId="1" applyFill="1" applyBorder="1">
      <alignment vertical="center"/>
    </xf>
    <xf numFmtId="0" fontId="1" fillId="0" borderId="36" xfId="0" applyNumberFormat="1" applyFont="1" applyBorder="1">
      <alignment vertical="center"/>
    </xf>
    <xf numFmtId="0" fontId="1" fillId="0" borderId="37" xfId="0" applyNumberFormat="1" applyFont="1" applyBorder="1">
      <alignment vertical="center"/>
    </xf>
    <xf numFmtId="0" fontId="1" fillId="0" borderId="38" xfId="0" applyNumberFormat="1" applyFont="1" applyBorder="1">
      <alignment vertical="center"/>
    </xf>
    <xf numFmtId="0" fontId="1" fillId="0" borderId="39" xfId="0" applyNumberFormat="1" applyFont="1" applyBorder="1">
      <alignment vertical="center"/>
    </xf>
    <xf numFmtId="0" fontId="1" fillId="0" borderId="40" xfId="0" applyNumberFormat="1" applyFont="1" applyBorder="1">
      <alignment vertical="center"/>
    </xf>
    <xf numFmtId="0" fontId="1" fillId="0" borderId="41" xfId="0" applyNumberFormat="1" applyFont="1" applyBorder="1">
      <alignment vertical="center"/>
    </xf>
    <xf numFmtId="0" fontId="1" fillId="0" borderId="42" xfId="0" applyNumberFormat="1" applyFont="1" applyBorder="1">
      <alignment vertical="center"/>
    </xf>
    <xf numFmtId="0" fontId="1" fillId="0" borderId="43" xfId="0" applyNumberFormat="1" applyFont="1" applyBorder="1">
      <alignment vertical="center"/>
    </xf>
    <xf numFmtId="0" fontId="1" fillId="0" borderId="44" xfId="0" applyFont="1" applyBorder="1">
      <alignment vertical="center"/>
    </xf>
    <xf numFmtId="0" fontId="1" fillId="0" borderId="45" xfId="0" applyNumberFormat="1" applyFont="1" applyBorder="1">
      <alignment vertical="center"/>
    </xf>
    <xf numFmtId="0" fontId="1" fillId="0" borderId="46" xfId="0" applyNumberFormat="1" applyFont="1" applyBorder="1">
      <alignment vertical="center"/>
    </xf>
    <xf numFmtId="0" fontId="1" fillId="0" borderId="47" xfId="0" applyNumberFormat="1" applyFont="1" applyBorder="1">
      <alignment vertical="center"/>
    </xf>
    <xf numFmtId="0" fontId="1" fillId="0" borderId="48" xfId="0" applyNumberFormat="1" applyFont="1" applyBorder="1">
      <alignment vertical="center"/>
    </xf>
    <xf numFmtId="0" fontId="1" fillId="0" borderId="49" xfId="0" applyNumberFormat="1" applyFont="1" applyBorder="1">
      <alignment vertical="center"/>
    </xf>
    <xf numFmtId="0" fontId="1" fillId="0" borderId="50" xfId="0" applyNumberFormat="1" applyFont="1" applyBorder="1">
      <alignment vertical="center"/>
    </xf>
    <xf numFmtId="0" fontId="1" fillId="0" borderId="51" xfId="0" applyNumberFormat="1" applyFont="1" applyBorder="1">
      <alignment vertical="center"/>
    </xf>
    <xf numFmtId="0" fontId="4" fillId="2" borderId="52" xfId="0" applyFont="1" applyFill="1" applyBorder="1">
      <alignment vertical="center"/>
    </xf>
    <xf numFmtId="49" fontId="4" fillId="2" borderId="53" xfId="0" applyNumberFormat="1" applyFont="1" applyFill="1" applyBorder="1">
      <alignment vertical="center"/>
    </xf>
    <xf numFmtId="49" fontId="4" fillId="2" borderId="54" xfId="0" applyNumberFormat="1" applyFont="1" applyFill="1" applyBorder="1">
      <alignment vertical="center"/>
    </xf>
    <xf numFmtId="49" fontId="4" fillId="4" borderId="53" xfId="0" applyNumberFormat="1" applyFont="1" applyFill="1" applyBorder="1">
      <alignment vertical="center"/>
    </xf>
    <xf numFmtId="0" fontId="1" fillId="0" borderId="55" xfId="0" applyFont="1" applyBorder="1">
      <alignment vertical="center"/>
    </xf>
    <xf numFmtId="0" fontId="1" fillId="0" borderId="35" xfId="0" applyNumberFormat="1" applyFont="1" applyFill="1" applyBorder="1" applyAlignment="1">
      <alignment vertical="center" wrapText="1"/>
    </xf>
    <xf numFmtId="49" fontId="1" fillId="0" borderId="35" xfId="0" applyNumberFormat="1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5" xfId="0" applyBorder="1" applyAlignment="1">
      <alignment vertical="top"/>
    </xf>
    <xf numFmtId="49" fontId="1" fillId="0" borderId="15" xfId="0" applyNumberFormat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49" fontId="1" fillId="0" borderId="17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14" fontId="1" fillId="0" borderId="17" xfId="0" applyNumberFormat="1" applyFon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1" fillId="0" borderId="17" xfId="0" applyNumberFormat="1" applyFont="1" applyBorder="1" applyAlignment="1">
      <alignment vertical="center" wrapText="1"/>
    </xf>
    <xf numFmtId="0" fontId="0" fillId="0" borderId="17" xfId="0" applyNumberForma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</xdr:row>
          <xdr:rowOff>19050</xdr:rowOff>
        </xdr:from>
        <xdr:to>
          <xdr:col>8</xdr:col>
          <xdr:colOff>336550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DDL作成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pageSetUpPr fitToPage="1"/>
  </sheetPr>
  <dimension ref="A1:E43"/>
  <sheetViews>
    <sheetView zoomScale="190" zoomScaleNormal="190" workbookViewId="0">
      <selection activeCell="D14" sqref="D14"/>
    </sheetView>
  </sheetViews>
  <sheetFormatPr defaultColWidth="9.08984375" defaultRowHeight="11" x14ac:dyDescent="0.2"/>
  <cols>
    <col min="1" max="1" width="3.453125" style="3" customWidth="1"/>
    <col min="2" max="2" width="4.6328125" style="1" customWidth="1"/>
    <col min="3" max="3" width="30.6328125" style="1" customWidth="1"/>
    <col min="4" max="4" width="30.6328125" style="33" customWidth="1"/>
    <col min="5" max="5" width="30.6328125" style="39" customWidth="1"/>
    <col min="6" max="16384" width="9.08984375" style="1"/>
  </cols>
  <sheetData>
    <row r="1" spans="2:5" ht="11.5" thickBot="1" x14ac:dyDescent="0.25">
      <c r="B1" s="2" t="s">
        <v>0</v>
      </c>
    </row>
    <row r="2" spans="2:5" x14ac:dyDescent="0.2">
      <c r="B2" s="17" t="s">
        <v>1</v>
      </c>
      <c r="C2" s="15" t="s">
        <v>2</v>
      </c>
      <c r="D2" s="16" t="s">
        <v>3</v>
      </c>
      <c r="E2" s="40" t="s">
        <v>4</v>
      </c>
    </row>
    <row r="3" spans="2:5" ht="13" x14ac:dyDescent="0.2">
      <c r="B3" s="20">
        <v>1</v>
      </c>
      <c r="C3" s="32" t="s">
        <v>38</v>
      </c>
      <c r="D3" s="34" t="s">
        <v>35</v>
      </c>
      <c r="E3" s="38" t="s">
        <v>39</v>
      </c>
    </row>
    <row r="4" spans="2:5" ht="13" x14ac:dyDescent="0.2">
      <c r="B4" s="21">
        <f t="shared" ref="B4:B42" si="0">B3+1</f>
        <v>2</v>
      </c>
      <c r="C4" s="52" t="s">
        <v>166</v>
      </c>
      <c r="D4" s="35" t="s">
        <v>77</v>
      </c>
      <c r="E4" s="41" t="s">
        <v>79</v>
      </c>
    </row>
    <row r="5" spans="2:5" ht="13" x14ac:dyDescent="0.2">
      <c r="B5" s="21">
        <f t="shared" si="0"/>
        <v>3</v>
      </c>
      <c r="C5" s="52" t="s">
        <v>167</v>
      </c>
      <c r="D5" s="35" t="s">
        <v>106</v>
      </c>
      <c r="E5" s="41" t="s">
        <v>81</v>
      </c>
    </row>
    <row r="6" spans="2:5" s="3" customFormat="1" ht="13" x14ac:dyDescent="0.2">
      <c r="B6" s="21">
        <f t="shared" si="0"/>
        <v>4</v>
      </c>
      <c r="C6" s="52" t="s">
        <v>168</v>
      </c>
      <c r="D6" s="35" t="s">
        <v>108</v>
      </c>
      <c r="E6" s="41" t="s">
        <v>111</v>
      </c>
    </row>
    <row r="7" spans="2:5" s="3" customFormat="1" ht="13" x14ac:dyDescent="0.2">
      <c r="B7" s="21">
        <f t="shared" si="0"/>
        <v>5</v>
      </c>
      <c r="C7" s="52" t="s">
        <v>169</v>
      </c>
      <c r="D7" s="35" t="s">
        <v>186</v>
      </c>
      <c r="E7" s="41" t="s">
        <v>188</v>
      </c>
    </row>
    <row r="8" spans="2:5" ht="13" x14ac:dyDescent="0.2">
      <c r="B8" s="21">
        <f t="shared" si="0"/>
        <v>6</v>
      </c>
      <c r="C8" s="52" t="s">
        <v>170</v>
      </c>
      <c r="D8" s="35" t="s">
        <v>130</v>
      </c>
      <c r="E8" s="41" t="s">
        <v>132</v>
      </c>
    </row>
    <row r="9" spans="2:5" ht="13" x14ac:dyDescent="0.2">
      <c r="B9" s="21">
        <f t="shared" si="0"/>
        <v>7</v>
      </c>
      <c r="C9" s="52" t="s">
        <v>171</v>
      </c>
      <c r="D9" s="35" t="s">
        <v>142</v>
      </c>
      <c r="E9" s="41" t="s">
        <v>144</v>
      </c>
    </row>
    <row r="10" spans="2:5" ht="13" x14ac:dyDescent="0.2">
      <c r="B10" s="21">
        <f t="shared" si="0"/>
        <v>8</v>
      </c>
      <c r="C10" s="52" t="s">
        <v>172</v>
      </c>
      <c r="D10" s="35" t="s">
        <v>148</v>
      </c>
      <c r="E10" s="41" t="s">
        <v>146</v>
      </c>
    </row>
    <row r="11" spans="2:5" s="3" customFormat="1" ht="13" x14ac:dyDescent="0.2">
      <c r="B11" s="21">
        <f t="shared" si="0"/>
        <v>9</v>
      </c>
      <c r="C11" s="52" t="s">
        <v>173</v>
      </c>
      <c r="D11" s="35" t="s">
        <v>184</v>
      </c>
      <c r="E11" s="41" t="s">
        <v>156</v>
      </c>
    </row>
    <row r="12" spans="2:5" ht="13" x14ac:dyDescent="0.2">
      <c r="B12" s="21">
        <f t="shared" si="0"/>
        <v>10</v>
      </c>
      <c r="C12" s="19"/>
      <c r="D12" s="35"/>
      <c r="E12" s="41"/>
    </row>
    <row r="13" spans="2:5" ht="13" x14ac:dyDescent="0.2">
      <c r="B13" s="21">
        <f t="shared" si="0"/>
        <v>11</v>
      </c>
      <c r="C13" s="19"/>
      <c r="D13" s="35"/>
      <c r="E13" s="41"/>
    </row>
    <row r="14" spans="2:5" ht="13" x14ac:dyDescent="0.2">
      <c r="B14" s="21">
        <f t="shared" si="0"/>
        <v>12</v>
      </c>
      <c r="C14" s="19"/>
      <c r="D14" s="35"/>
      <c r="E14" s="41"/>
    </row>
    <row r="15" spans="2:5" ht="13" x14ac:dyDescent="0.2">
      <c r="B15" s="21">
        <f t="shared" si="0"/>
        <v>13</v>
      </c>
      <c r="C15" s="19"/>
      <c r="D15" s="35"/>
      <c r="E15" s="41"/>
    </row>
    <row r="16" spans="2:5" s="3" customFormat="1" ht="13" x14ac:dyDescent="0.2">
      <c r="B16" s="21">
        <f t="shared" si="0"/>
        <v>14</v>
      </c>
      <c r="C16" s="19"/>
      <c r="D16" s="35"/>
      <c r="E16" s="41"/>
    </row>
    <row r="17" spans="2:5" ht="13" x14ac:dyDescent="0.2">
      <c r="B17" s="21">
        <f t="shared" si="0"/>
        <v>15</v>
      </c>
      <c r="C17" s="19"/>
      <c r="D17" s="35"/>
      <c r="E17" s="41"/>
    </row>
    <row r="18" spans="2:5" ht="13" x14ac:dyDescent="0.2">
      <c r="B18" s="21">
        <f t="shared" si="0"/>
        <v>16</v>
      </c>
      <c r="C18" s="19"/>
      <c r="D18" s="35"/>
      <c r="E18" s="41"/>
    </row>
    <row r="19" spans="2:5" ht="13" x14ac:dyDescent="0.2">
      <c r="B19" s="21">
        <f t="shared" si="0"/>
        <v>17</v>
      </c>
      <c r="C19" s="19"/>
      <c r="D19" s="35"/>
      <c r="E19" s="41"/>
    </row>
    <row r="20" spans="2:5" ht="13" x14ac:dyDescent="0.2">
      <c r="B20" s="21">
        <f t="shared" si="0"/>
        <v>18</v>
      </c>
      <c r="C20" s="19"/>
      <c r="D20" s="35"/>
      <c r="E20" s="41"/>
    </row>
    <row r="21" spans="2:5" s="3" customFormat="1" ht="13" x14ac:dyDescent="0.2">
      <c r="B21" s="21">
        <f t="shared" si="0"/>
        <v>19</v>
      </c>
      <c r="C21" s="19"/>
      <c r="D21" s="35"/>
      <c r="E21" s="41"/>
    </row>
    <row r="22" spans="2:5" s="3" customFormat="1" ht="13" x14ac:dyDescent="0.2">
      <c r="B22" s="21">
        <f t="shared" si="0"/>
        <v>20</v>
      </c>
      <c r="C22" s="19"/>
      <c r="D22" s="35"/>
      <c r="E22" s="41"/>
    </row>
    <row r="23" spans="2:5" ht="13" x14ac:dyDescent="0.2">
      <c r="B23" s="21">
        <f t="shared" si="0"/>
        <v>21</v>
      </c>
      <c r="C23" s="19"/>
      <c r="D23" s="35"/>
      <c r="E23" s="41"/>
    </row>
    <row r="24" spans="2:5" ht="13" x14ac:dyDescent="0.2">
      <c r="B24" s="21">
        <f t="shared" si="0"/>
        <v>22</v>
      </c>
      <c r="C24" s="19"/>
      <c r="D24" s="35"/>
      <c r="E24" s="41"/>
    </row>
    <row r="25" spans="2:5" s="3" customFormat="1" ht="13" x14ac:dyDescent="0.2">
      <c r="B25" s="21">
        <f t="shared" si="0"/>
        <v>23</v>
      </c>
      <c r="C25" s="19"/>
      <c r="D25" s="35"/>
      <c r="E25" s="41"/>
    </row>
    <row r="26" spans="2:5" ht="13" x14ac:dyDescent="0.2">
      <c r="B26" s="21">
        <f t="shared" si="0"/>
        <v>24</v>
      </c>
      <c r="C26" s="19"/>
      <c r="D26" s="35"/>
      <c r="E26" s="41"/>
    </row>
    <row r="27" spans="2:5" ht="13" x14ac:dyDescent="0.2">
      <c r="B27" s="21">
        <f t="shared" si="0"/>
        <v>25</v>
      </c>
      <c r="C27" s="19"/>
      <c r="D27" s="35"/>
      <c r="E27" s="41"/>
    </row>
    <row r="28" spans="2:5" ht="13" x14ac:dyDescent="0.2">
      <c r="B28" s="21">
        <f t="shared" si="0"/>
        <v>26</v>
      </c>
      <c r="C28" s="19"/>
      <c r="D28" s="35"/>
      <c r="E28" s="41"/>
    </row>
    <row r="29" spans="2:5" s="3" customFormat="1" ht="13" x14ac:dyDescent="0.2">
      <c r="B29" s="21">
        <f t="shared" si="0"/>
        <v>27</v>
      </c>
      <c r="C29" s="19"/>
      <c r="D29" s="35"/>
      <c r="E29" s="41"/>
    </row>
    <row r="30" spans="2:5" s="3" customFormat="1" ht="13" x14ac:dyDescent="0.2">
      <c r="B30" s="21">
        <f t="shared" si="0"/>
        <v>28</v>
      </c>
      <c r="C30" s="19"/>
      <c r="D30" s="35"/>
      <c r="E30" s="41"/>
    </row>
    <row r="31" spans="2:5" ht="13" x14ac:dyDescent="0.2">
      <c r="B31" s="21">
        <f t="shared" si="0"/>
        <v>29</v>
      </c>
      <c r="C31" s="19"/>
      <c r="D31" s="35"/>
      <c r="E31" s="41"/>
    </row>
    <row r="32" spans="2:5" ht="13" x14ac:dyDescent="0.2">
      <c r="B32" s="21">
        <f t="shared" si="0"/>
        <v>30</v>
      </c>
      <c r="C32" s="19"/>
      <c r="D32" s="35"/>
      <c r="E32" s="41"/>
    </row>
    <row r="33" spans="2:5" ht="13" x14ac:dyDescent="0.2">
      <c r="B33" s="21">
        <f t="shared" si="0"/>
        <v>31</v>
      </c>
      <c r="C33" s="19"/>
      <c r="D33" s="35"/>
      <c r="E33" s="41"/>
    </row>
    <row r="34" spans="2:5" ht="13" x14ac:dyDescent="0.2">
      <c r="B34" s="21">
        <f t="shared" si="0"/>
        <v>32</v>
      </c>
      <c r="C34" s="19"/>
      <c r="D34" s="35"/>
      <c r="E34" s="41"/>
    </row>
    <row r="35" spans="2:5" ht="13" x14ac:dyDescent="0.2">
      <c r="B35" s="21">
        <f t="shared" si="0"/>
        <v>33</v>
      </c>
      <c r="C35" s="19"/>
      <c r="D35" s="35"/>
      <c r="E35" s="41"/>
    </row>
    <row r="36" spans="2:5" s="3" customFormat="1" ht="13" x14ac:dyDescent="0.2">
      <c r="B36" s="21">
        <f t="shared" si="0"/>
        <v>34</v>
      </c>
      <c r="C36" s="19"/>
      <c r="D36" s="35"/>
      <c r="E36" s="41"/>
    </row>
    <row r="37" spans="2:5" s="3" customFormat="1" ht="13" x14ac:dyDescent="0.2">
      <c r="B37" s="21">
        <f t="shared" si="0"/>
        <v>35</v>
      </c>
      <c r="C37" s="19"/>
      <c r="D37" s="35"/>
      <c r="E37" s="41"/>
    </row>
    <row r="38" spans="2:5" s="3" customFormat="1" ht="13" x14ac:dyDescent="0.2">
      <c r="B38" s="21">
        <f t="shared" si="0"/>
        <v>36</v>
      </c>
      <c r="C38" s="19"/>
      <c r="D38" s="35"/>
      <c r="E38" s="41"/>
    </row>
    <row r="39" spans="2:5" s="3" customFormat="1" ht="13" x14ac:dyDescent="0.2">
      <c r="B39" s="21">
        <f t="shared" si="0"/>
        <v>37</v>
      </c>
      <c r="C39" s="19"/>
      <c r="D39" s="35"/>
      <c r="E39" s="41"/>
    </row>
    <row r="40" spans="2:5" s="3" customFormat="1" ht="13" x14ac:dyDescent="0.2">
      <c r="B40" s="21">
        <f t="shared" si="0"/>
        <v>38</v>
      </c>
      <c r="C40" s="19"/>
      <c r="D40" s="35"/>
      <c r="E40" s="41"/>
    </row>
    <row r="41" spans="2:5" s="3" customFormat="1" ht="13" x14ac:dyDescent="0.2">
      <c r="B41" s="21">
        <f t="shared" si="0"/>
        <v>39</v>
      </c>
      <c r="C41" s="19"/>
      <c r="D41" s="35"/>
      <c r="E41" s="41"/>
    </row>
    <row r="42" spans="2:5" ht="13" x14ac:dyDescent="0.2">
      <c r="B42" s="21">
        <f t="shared" si="0"/>
        <v>40</v>
      </c>
      <c r="C42" s="13"/>
      <c r="D42" s="36"/>
      <c r="E42" s="42"/>
    </row>
    <row r="43" spans="2:5" ht="13.5" thickBot="1" x14ac:dyDescent="0.25">
      <c r="B43" s="18"/>
      <c r="C43" s="14"/>
      <c r="D43" s="37"/>
      <c r="E43" s="43"/>
    </row>
  </sheetData>
  <customSheetViews>
    <customSheetView guid="{95FDAE0E-128E-46E4-BD67-A7D7A7EF6B4A}" fitToPage="1">
      <selection activeCell="F19" sqref="F19"/>
      <pageMargins left="0.7" right="0.7" top="0.75" bottom="0.75" header="0.3" footer="0.3"/>
      <pageSetup paperSize="9" scale="92" fitToHeight="0" orientation="portrait" r:id="rId1"/>
      <headerFooter>
        <oddHeader>&amp;Lテーブル定義書&amp;R&amp;D</oddHeader>
        <oddFooter>&amp;C&amp;P/&amp;N</oddFooter>
      </headerFooter>
    </customSheetView>
  </customSheetViews>
  <phoneticPr fontId="7"/>
  <hyperlinks>
    <hyperlink ref="C3" location="大会マスタ!A1" display="大会マスタ" xr:uid="{5776FC01-9ED6-4784-8956-E89F30B3F637}"/>
    <hyperlink ref="C4" location="主催者マスタ!A1" display="主催者マスタ" xr:uid="{7A44D976-D1B5-4BD3-856B-50B5438AE210}"/>
    <hyperlink ref="C5" location="エントリ枠!A1" display="エントリ枠" xr:uid="{A455F5E9-249B-413B-8ABF-FE6B8844F759}"/>
    <hyperlink ref="C6" location="大会サービス!A1" display="大会サービス" xr:uid="{23B320CD-959B-4224-89DE-0F5A4AD45E56}"/>
    <hyperlink ref="C7" location="大会アイテム!A1" display="大会アイテム" xr:uid="{9E8D0818-4F98-4F8E-A2ED-28B69F1B5D5C}"/>
    <hyperlink ref="C8" location="参加申込み!A1" display="参加申込み" xr:uid="{263C5D52-1D83-46CC-87FC-48DA1BA9090C}"/>
    <hyperlink ref="C9" location="会員マスタ!A1" display="会員マスタ" xr:uid="{4C4F4093-7A6A-42F4-93FF-90300C607EEE}"/>
    <hyperlink ref="C10" location="会員ポイント!A1" display="会員ポイント" xr:uid="{537AA318-D827-4684-A193-0F071E7B5BB2}"/>
    <hyperlink ref="C11" location="パラメータマスタ!A1" display="パラメータマスタ" xr:uid="{C322DBCA-B4F6-4712-A063-26F648DB1CFE}"/>
  </hyperlinks>
  <pageMargins left="0.7" right="0.7" top="0.75" bottom="0.75" header="0.3" footer="0.3"/>
  <pageSetup paperSize="9" scale="92" fitToHeight="0" orientation="portrait" r:id="rId2"/>
  <headerFooter>
    <oddHeader>&amp;Lテーブル定義書&amp;R&amp;D</oddHeader>
    <oddFooter>&amp;C&amp;P/&amp;N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DDL作成">
                <anchor moveWithCells="1" sizeWithCells="1">
                  <from>
                    <xdr:col>6</xdr:col>
                    <xdr:colOff>12700</xdr:colOff>
                    <xdr:row>1</xdr:row>
                    <xdr:rowOff>19050</xdr:rowOff>
                  </from>
                  <to>
                    <xdr:col>8</xdr:col>
                    <xdr:colOff>336550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5">
    <pageSetUpPr fitToPage="1"/>
  </sheetPr>
  <dimension ref="A1:I41"/>
  <sheetViews>
    <sheetView showGridLines="0" topLeftCell="A13" zoomScale="190" zoomScaleNormal="190" workbookViewId="0">
      <selection activeCell="A15" sqref="A15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0.45312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32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大会マスタ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36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4</v>
      </c>
      <c r="C7" s="94"/>
      <c r="D7" s="94"/>
      <c r="E7" s="94"/>
      <c r="F7" s="94"/>
      <c r="G7" s="95"/>
    </row>
    <row r="8" spans="1:9" x14ac:dyDescent="0.2">
      <c r="B8" s="76" t="s">
        <v>40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大会ID</v>
      </c>
      <c r="C14" s="74" t="str">
        <f>VLOOKUP($I14,ドメイン定義!$D:$J,3,0)&amp;""</f>
        <v>event_id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>222</v>
      </c>
      <c r="H14" s="75" t="s">
        <v>34</v>
      </c>
      <c r="I14" s="75" t="s">
        <v>41</v>
      </c>
    </row>
    <row r="15" spans="1:9" x14ac:dyDescent="0.2">
      <c r="A15" s="5">
        <f t="shared" ref="A15:A32" si="0">ROW()-13</f>
        <v>2</v>
      </c>
      <c r="B15" s="45" t="str">
        <f>VLOOKUP($I15,ドメイン定義!$D:$J,2,0)&amp;""</f>
        <v>主催者ID</v>
      </c>
      <c r="C15" s="45" t="str">
        <f>VLOOKUP($I15,ドメイン定義!$D:$J,3,0)&amp;""</f>
        <v>owner_id</v>
      </c>
      <c r="D15" s="45" t="str">
        <f>VLOOKUP($I15,ドメイン定義!$D:$J,4,0)&amp;""</f>
        <v>varchar(20)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28"/>
      <c r="I15" s="28" t="s">
        <v>48</v>
      </c>
    </row>
    <row r="16" spans="1:9" x14ac:dyDescent="0.2">
      <c r="A16" s="5">
        <f t="shared" si="0"/>
        <v>3</v>
      </c>
      <c r="B16" s="45" t="str">
        <f>VLOOKUP($I16,ドメイン定義!$D:$J,2,0)&amp;""</f>
        <v>大会名</v>
      </c>
      <c r="C16" s="45" t="str">
        <f>VLOOKUP($I16,ドメイン定義!$D:$J,3,0)&amp;""</f>
        <v>event_name</v>
      </c>
      <c r="D16" s="45" t="str">
        <f>VLOOKUP($I16,ドメイン定義!$D:$J,4,0)&amp;""</f>
        <v>varchar(50)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/>
      </c>
      <c r="H16" s="29"/>
      <c r="I16" s="29" t="s">
        <v>49</v>
      </c>
    </row>
    <row r="17" spans="1:9" x14ac:dyDescent="0.2">
      <c r="A17" s="5">
        <f t="shared" si="0"/>
        <v>4</v>
      </c>
      <c r="B17" s="45" t="str">
        <f>VLOOKUP($I17,ドメイン定義!$D:$J,2,0)&amp;""</f>
        <v>開催日時</v>
      </c>
      <c r="C17" s="45" t="str">
        <f>VLOOKUP($I17,ドメイン定義!$D:$J,3,0)&amp;""</f>
        <v>holding_datetime</v>
      </c>
      <c r="D17" s="45" t="str">
        <f>VLOOKUP($I17,ドメイン定義!$D:$J,4,0)&amp;""</f>
        <v>datetime</v>
      </c>
      <c r="E17" s="45" t="str">
        <f>VLOOKUP($I17,ドメイン定義!$D:$J,5,0)&amp;""</f>
        <v>NOT NULL</v>
      </c>
      <c r="F17" s="45" t="str">
        <f>VLOOKUP($I17,ドメイン定義!$D:$J,6,0)&amp;""</f>
        <v/>
      </c>
      <c r="G17" s="45" t="str">
        <f>VLOOKUP($I17,ドメイン定義!$D:$J,7,0)&amp;""</f>
        <v/>
      </c>
      <c r="H17" s="29"/>
      <c r="I17" s="29" t="s">
        <v>50</v>
      </c>
    </row>
    <row r="18" spans="1:9" x14ac:dyDescent="0.2">
      <c r="A18" s="5">
        <f t="shared" si="0"/>
        <v>5</v>
      </c>
      <c r="B18" s="45" t="str">
        <f>VLOOKUP($I18,ドメイン定義!$D:$J,2,0)&amp;""</f>
        <v>開催場所</v>
      </c>
      <c r="C18" s="45" t="str">
        <f>VLOOKUP($I18,ドメイン定義!$D:$J,3,0)&amp;""</f>
        <v>holding_place</v>
      </c>
      <c r="D18" s="45" t="str">
        <f>VLOOKUP($I18,ドメイン定義!$D:$J,4,0)&amp;""</f>
        <v>varchar(100)</v>
      </c>
      <c r="E18" s="45" t="str">
        <f>VLOOKUP($I18,ドメイン定義!$D:$J,5,0)&amp;""</f>
        <v>NOT NULL</v>
      </c>
      <c r="F18" s="45" t="str">
        <f>VLOOKUP($I18,ドメイン定義!$D:$J,6,0)&amp;""</f>
        <v/>
      </c>
      <c r="G18" s="45" t="str">
        <f>VLOOKUP($I18,ドメイン定義!$D:$J,7,0)&amp;""</f>
        <v/>
      </c>
      <c r="H18" s="29"/>
      <c r="I18" s="29" t="s">
        <v>51</v>
      </c>
    </row>
    <row r="19" spans="1:9" x14ac:dyDescent="0.2">
      <c r="A19" s="5">
        <f t="shared" si="0"/>
        <v>6</v>
      </c>
      <c r="B19" s="45" t="str">
        <f>VLOOKUP($I19,ドメイン定義!$D:$J,2,0)&amp;""</f>
        <v>郵便番号</v>
      </c>
      <c r="C19" s="45" t="str">
        <f>VLOOKUP($I19,ドメイン定義!$D:$J,3,0)&amp;""</f>
        <v>post_cd</v>
      </c>
      <c r="D19" s="45" t="str">
        <f>VLOOKUP($I19,ドメイン定義!$D:$J,4,0)&amp;""</f>
        <v>int(7)</v>
      </c>
      <c r="E19" s="45" t="str">
        <f>VLOOKUP($I19,ドメイン定義!$D:$J,5,0)&amp;""</f>
        <v>NOT NULL</v>
      </c>
      <c r="F19" s="45" t="str">
        <f>VLOOKUP($I19,ドメイン定義!$D:$J,6,0)&amp;""</f>
        <v/>
      </c>
      <c r="G19" s="45" t="str">
        <f>VLOOKUP($I19,ドメイン定義!$D:$J,7,0)&amp;""</f>
        <v/>
      </c>
      <c r="H19" s="29"/>
      <c r="I19" s="29" t="s">
        <v>65</v>
      </c>
    </row>
    <row r="20" spans="1:9" x14ac:dyDescent="0.2">
      <c r="A20" s="5">
        <f t="shared" si="0"/>
        <v>7</v>
      </c>
      <c r="B20" s="45" t="str">
        <f>VLOOKUP($I20,ドメイン定義!$D:$J,2,0)&amp;""</f>
        <v>都道府県</v>
      </c>
      <c r="C20" s="45" t="str">
        <f>VLOOKUP($I20,ドメイン定義!$D:$J,3,0)&amp;""</f>
        <v>prefectures</v>
      </c>
      <c r="D20" s="45" t="str">
        <f>VLOOKUP($I20,ドメイン定義!$D:$J,4,0)&amp;""</f>
        <v>varchar(100)</v>
      </c>
      <c r="E20" s="45" t="str">
        <f>VLOOKUP($I20,ドメイン定義!$D:$J,5,0)&amp;""</f>
        <v>NOT NULL</v>
      </c>
      <c r="F20" s="45" t="str">
        <f>VLOOKUP($I20,ドメイン定義!$D:$J,6,0)&amp;""</f>
        <v/>
      </c>
      <c r="G20" s="45" t="str">
        <f>VLOOKUP($I20,ドメイン定義!$D:$J,7,0)&amp;""</f>
        <v/>
      </c>
      <c r="H20" s="29"/>
      <c r="I20" s="29" t="s">
        <v>66</v>
      </c>
    </row>
    <row r="21" spans="1:9" x14ac:dyDescent="0.2">
      <c r="A21" s="5">
        <f t="shared" si="0"/>
        <v>8</v>
      </c>
      <c r="B21" s="45" t="str">
        <f>VLOOKUP($I21,ドメイン定義!$D:$J,2,0)&amp;""</f>
        <v>市区町村</v>
      </c>
      <c r="C21" s="45" t="str">
        <f>VLOOKUP($I21,ドメイン定義!$D:$J,3,0)&amp;""</f>
        <v>city</v>
      </c>
      <c r="D21" s="45" t="str">
        <f>VLOOKUP($I21,ドメイン定義!$D:$J,4,0)&amp;""</f>
        <v>varchar(100)</v>
      </c>
      <c r="E21" s="45" t="str">
        <f>VLOOKUP($I21,ドメイン定義!$D:$J,5,0)&amp;""</f>
        <v>NOT NULL</v>
      </c>
      <c r="F21" s="45" t="str">
        <f>VLOOKUP($I21,ドメイン定義!$D:$J,6,0)&amp;""</f>
        <v/>
      </c>
      <c r="G21" s="45" t="str">
        <f>VLOOKUP($I21,ドメイン定義!$D:$J,7,0)&amp;""</f>
        <v/>
      </c>
      <c r="H21" s="29"/>
      <c r="I21" s="29" t="s">
        <v>67</v>
      </c>
    </row>
    <row r="22" spans="1:9" x14ac:dyDescent="0.2">
      <c r="A22" s="5">
        <f t="shared" si="0"/>
        <v>9</v>
      </c>
      <c r="B22" s="45" t="str">
        <f>VLOOKUP($I22,ドメイン定義!$D:$J,2,0)&amp;""</f>
        <v>住所</v>
      </c>
      <c r="C22" s="45" t="str">
        <f>VLOOKUP($I22,ドメイン定義!$D:$J,3,0)&amp;""</f>
        <v>address</v>
      </c>
      <c r="D22" s="45" t="str">
        <f>VLOOKUP($I22,ドメイン定義!$D:$J,4,0)&amp;""</f>
        <v>varchar(100)</v>
      </c>
      <c r="E22" s="45" t="str">
        <f>VLOOKUP($I22,ドメイン定義!$D:$J,5,0)&amp;""</f>
        <v>NOT NULL</v>
      </c>
      <c r="F22" s="45" t="str">
        <f>VLOOKUP($I22,ドメイン定義!$D:$J,6,0)&amp;""</f>
        <v/>
      </c>
      <c r="G22" s="45" t="str">
        <f>VLOOKUP($I22,ドメイン定義!$D:$J,7,0)&amp;""</f>
        <v/>
      </c>
      <c r="H22" s="29"/>
      <c r="I22" s="29" t="s">
        <v>68</v>
      </c>
    </row>
    <row r="23" spans="1:9" x14ac:dyDescent="0.2">
      <c r="A23" s="5">
        <f t="shared" si="0"/>
        <v>10</v>
      </c>
      <c r="B23" s="45" t="str">
        <f>VLOOKUP($I23,ドメイン定義!$D:$J,2,0)&amp;""</f>
        <v>削除フラグ</v>
      </c>
      <c r="C23" s="45" t="str">
        <f>VLOOKUP($I23,ドメイン定義!$D:$J,3,0)&amp;""</f>
        <v>delete_flg</v>
      </c>
      <c r="D23" s="45" t="str">
        <f>VLOOKUP($I23,ドメイン定義!$D:$J,4,0)&amp;""</f>
        <v>varchar(1)</v>
      </c>
      <c r="E23" s="45" t="str">
        <f>VLOOKUP($I23,ドメイン定義!$D:$J,5,0)&amp;""</f>
        <v>NOT NULL</v>
      </c>
      <c r="F23" s="45" t="str">
        <f>VLOOKUP($I23,ドメイン定義!$D:$J,6,0)&amp;""</f>
        <v/>
      </c>
      <c r="G23" s="45" t="str">
        <f>VLOOKUP($I23,ドメイン定義!$D:$J,7,0)&amp;""</f>
        <v>0：有効、1：論理削除</v>
      </c>
      <c r="H23" s="29"/>
      <c r="I23" s="29" t="s">
        <v>20</v>
      </c>
    </row>
    <row r="24" spans="1:9" x14ac:dyDescent="0.2">
      <c r="A24" s="5">
        <f t="shared" si="0"/>
        <v>11</v>
      </c>
      <c r="B24" s="45" t="str">
        <f>VLOOKUP($I24,ドメイン定義!$D:$J,2,0)&amp;""</f>
        <v>作成者</v>
      </c>
      <c r="C24" s="45" t="str">
        <f>VLOOKUP($I24,ドメイン定義!$D:$J,3,0)&amp;""</f>
        <v>create_user_id</v>
      </c>
      <c r="D24" s="45" t="str">
        <f>VLOOKUP($I24,ドメイン定義!$D:$J,4,0)&amp;""</f>
        <v>varchar(20)</v>
      </c>
      <c r="E24" s="45" t="str">
        <f>VLOOKUP($I24,ドメイン定義!$D:$J,5,0)&amp;""</f>
        <v>NOT NULL</v>
      </c>
      <c r="F24" s="45" t="str">
        <f>VLOOKUP($I24,ドメイン定義!$D:$J,6,0)&amp;""</f>
        <v/>
      </c>
      <c r="G24" s="45" t="str">
        <f>VLOOKUP($I24,ドメイン定義!$D:$J,7,0)&amp;""</f>
        <v/>
      </c>
      <c r="H24" s="29"/>
      <c r="I24" s="29" t="s">
        <v>97</v>
      </c>
    </row>
    <row r="25" spans="1:9" x14ac:dyDescent="0.2">
      <c r="A25" s="5">
        <f t="shared" si="0"/>
        <v>12</v>
      </c>
      <c r="B25" s="45" t="str">
        <f>VLOOKUP($I25,ドメイン定義!$D:$J,2,0)&amp;""</f>
        <v>作成日時</v>
      </c>
      <c r="C25" s="45" t="str">
        <f>VLOOKUP($I25,ドメイン定義!$D:$J,3,0)&amp;""</f>
        <v>create_datetime</v>
      </c>
      <c r="D25" s="45" t="str">
        <f>VLOOKUP($I25,ドメイン定義!$D:$J,4,0)&amp;""</f>
        <v>datetime</v>
      </c>
      <c r="E25" s="45" t="str">
        <f>VLOOKUP($I25,ドメイン定義!$D:$J,5,0)&amp;""</f>
        <v>NOT NULL</v>
      </c>
      <c r="F25" s="45" t="str">
        <f>VLOOKUP($I25,ドメイン定義!$D:$J,6,0)&amp;""</f>
        <v/>
      </c>
      <c r="G25" s="45" t="str">
        <f>VLOOKUP($I25,ドメイン定義!$D:$J,7,0)&amp;""</f>
        <v/>
      </c>
      <c r="H25" s="29"/>
      <c r="I25" s="29" t="s">
        <v>98</v>
      </c>
    </row>
    <row r="26" spans="1:9" x14ac:dyDescent="0.2">
      <c r="A26" s="5">
        <f t="shared" si="0"/>
        <v>13</v>
      </c>
      <c r="B26" s="45" t="str">
        <f>VLOOKUP($I26,ドメイン定義!$D:$J,2,0)&amp;""</f>
        <v>更新者</v>
      </c>
      <c r="C26" s="45" t="str">
        <f>VLOOKUP($I26,ドメイン定義!$D:$J,3,0)&amp;""</f>
        <v>update_user_id</v>
      </c>
      <c r="D26" s="45" t="str">
        <f>VLOOKUP($I26,ドメイン定義!$D:$J,4,0)&amp;""</f>
        <v>varchar(20)</v>
      </c>
      <c r="E26" s="45" t="str">
        <f>VLOOKUP($I26,ドメイン定義!$D:$J,5,0)&amp;""</f>
        <v>NOT NULL</v>
      </c>
      <c r="F26" s="45" t="str">
        <f>VLOOKUP($I26,ドメイン定義!$D:$J,6,0)&amp;""</f>
        <v/>
      </c>
      <c r="G26" s="45" t="str">
        <f>VLOOKUP($I26,ドメイン定義!$D:$J,7,0)&amp;""</f>
        <v/>
      </c>
      <c r="H26" s="29"/>
      <c r="I26" s="29" t="s">
        <v>99</v>
      </c>
    </row>
    <row r="27" spans="1:9" x14ac:dyDescent="0.2">
      <c r="A27" s="5">
        <f t="shared" si="0"/>
        <v>14</v>
      </c>
      <c r="B27" s="45" t="str">
        <f>VLOOKUP($I27,ドメイン定義!$D:$J,2,0)&amp;""</f>
        <v>更新日時</v>
      </c>
      <c r="C27" s="45" t="str">
        <f>VLOOKUP($I27,ドメイン定義!$D:$J,3,0)&amp;""</f>
        <v>update_datetime</v>
      </c>
      <c r="D27" s="45" t="str">
        <f>VLOOKUP($I27,ドメイン定義!$D:$J,4,0)&amp;""</f>
        <v>datetime</v>
      </c>
      <c r="E27" s="45" t="str">
        <f>VLOOKUP($I27,ドメイン定義!$D:$J,5,0)&amp;""</f>
        <v>NOT NULL</v>
      </c>
      <c r="F27" s="45" t="str">
        <f>VLOOKUP($I27,ドメイン定義!$D:$J,6,0)&amp;""</f>
        <v/>
      </c>
      <c r="G27" s="45" t="str">
        <f>VLOOKUP($I27,ドメイン定義!$D:$J,7,0)&amp;""</f>
        <v/>
      </c>
      <c r="H27" s="29"/>
      <c r="I27" s="29" t="s">
        <v>21</v>
      </c>
    </row>
    <row r="28" spans="1:9" x14ac:dyDescent="0.2">
      <c r="A28" s="5">
        <f t="shared" si="0"/>
        <v>15</v>
      </c>
      <c r="B28" s="45"/>
      <c r="C28" s="45"/>
      <c r="D28" s="45"/>
      <c r="E28" s="45"/>
      <c r="F28" s="45"/>
      <c r="G28" s="45"/>
      <c r="H28" s="29"/>
      <c r="I28" s="29"/>
    </row>
    <row r="29" spans="1:9" x14ac:dyDescent="0.2">
      <c r="A29" s="5">
        <f t="shared" si="0"/>
        <v>16</v>
      </c>
      <c r="B29" s="45"/>
      <c r="C29" s="45"/>
      <c r="D29" s="45"/>
      <c r="E29" s="45"/>
      <c r="F29" s="45"/>
      <c r="G29" s="45"/>
      <c r="H29" s="29"/>
      <c r="I29" s="29"/>
    </row>
    <row r="30" spans="1:9" x14ac:dyDescent="0.2">
      <c r="A30" s="5">
        <f t="shared" si="0"/>
        <v>17</v>
      </c>
      <c r="B30" s="45"/>
      <c r="C30" s="45"/>
      <c r="D30" s="45"/>
      <c r="E30" s="45"/>
      <c r="F30" s="45"/>
      <c r="G30" s="45"/>
      <c r="H30" s="29"/>
      <c r="I30" s="29"/>
    </row>
    <row r="31" spans="1:9" x14ac:dyDescent="0.2">
      <c r="A31" s="5">
        <f t="shared" si="0"/>
        <v>18</v>
      </c>
      <c r="B31" s="11"/>
      <c r="C31" s="47"/>
      <c r="D31" s="47"/>
      <c r="E31" s="47"/>
      <c r="F31" s="46"/>
      <c r="G31" s="46"/>
      <c r="H31" s="30"/>
      <c r="I31" s="30"/>
    </row>
    <row r="32" spans="1:9" ht="11.5" thickBot="1" x14ac:dyDescent="0.25">
      <c r="A32" s="6">
        <f t="shared" si="0"/>
        <v>19</v>
      </c>
      <c r="B32" s="12"/>
      <c r="C32" s="48"/>
      <c r="D32" s="48"/>
      <c r="E32" s="48"/>
      <c r="F32" s="49"/>
      <c r="G32" s="49"/>
      <c r="H32" s="31"/>
      <c r="I32" s="31"/>
    </row>
    <row r="34" spans="1:7" ht="11.5" thickBot="1" x14ac:dyDescent="0.25">
      <c r="A34" s="4" t="s">
        <v>17</v>
      </c>
    </row>
    <row r="35" spans="1:7" x14ac:dyDescent="0.2">
      <c r="A35" s="26" t="s">
        <v>1</v>
      </c>
      <c r="B35" s="24" t="s">
        <v>18</v>
      </c>
      <c r="C35" s="27" t="s">
        <v>58</v>
      </c>
      <c r="D35" s="27" t="s">
        <v>19</v>
      </c>
      <c r="E35" s="51"/>
      <c r="F35" s="51"/>
      <c r="G35" s="50"/>
    </row>
    <row r="36" spans="1:7" ht="13.5" customHeight="1" x14ac:dyDescent="0.2">
      <c r="A36" s="7">
        <v>1</v>
      </c>
      <c r="B36" s="57"/>
      <c r="C36" s="66"/>
      <c r="D36" s="58"/>
      <c r="E36" s="53"/>
      <c r="F36" s="53"/>
      <c r="G36" s="54"/>
    </row>
    <row r="37" spans="1:7" ht="13.5" customHeight="1" x14ac:dyDescent="0.2">
      <c r="A37" s="7">
        <f ca="1">OFFSET(A37,-1,0)+1</f>
        <v>2</v>
      </c>
      <c r="B37" s="59"/>
      <c r="C37" s="67"/>
      <c r="D37" s="60"/>
      <c r="E37" s="55"/>
      <c r="F37" s="55"/>
      <c r="G37" s="56"/>
    </row>
    <row r="38" spans="1:7" ht="13.5" customHeight="1" x14ac:dyDescent="0.2">
      <c r="A38" s="7">
        <f t="shared" ref="A38:A41" ca="1" si="1">OFFSET(A38,-1,0)+1</f>
        <v>3</v>
      </c>
      <c r="B38" s="59"/>
      <c r="C38" s="67"/>
      <c r="D38" s="60"/>
      <c r="E38" s="55"/>
      <c r="F38" s="55"/>
      <c r="G38" s="56"/>
    </row>
    <row r="39" spans="1:7" ht="13.5" customHeight="1" x14ac:dyDescent="0.2">
      <c r="A39" s="7">
        <f t="shared" ca="1" si="1"/>
        <v>4</v>
      </c>
      <c r="B39" s="59"/>
      <c r="C39" s="67"/>
      <c r="D39" s="60"/>
      <c r="E39" s="55"/>
      <c r="F39" s="55"/>
      <c r="G39" s="56"/>
    </row>
    <row r="40" spans="1:7" ht="13.5" customHeight="1" x14ac:dyDescent="0.2">
      <c r="A40" s="7">
        <f t="shared" ca="1" si="1"/>
        <v>5</v>
      </c>
      <c r="B40" s="59"/>
      <c r="C40" s="67"/>
      <c r="D40" s="60"/>
      <c r="E40" s="55"/>
      <c r="F40" s="55"/>
      <c r="G40" s="56"/>
    </row>
    <row r="41" spans="1:7" ht="14.25" customHeight="1" thickBot="1" x14ac:dyDescent="0.25">
      <c r="A41" s="61">
        <f t="shared" ca="1" si="1"/>
        <v>6</v>
      </c>
      <c r="B41" s="62"/>
      <c r="C41" s="68"/>
      <c r="D41" s="63"/>
      <c r="E41" s="64"/>
      <c r="F41" s="64"/>
      <c r="G41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2">
    <dataValidation type="list" allowBlank="1" showInputMessage="1" showErrorMessage="1" sqref="H14 H16:H32 C36:C41" xr:uid="{07DEADF8-C3CE-4C27-8E91-DFF9636AE666}">
      <formula1>",Y"</formula1>
    </dataValidation>
    <dataValidation type="list" showInputMessage="1" showErrorMessage="1" sqref="H15" xr:uid="{A9E39F69-841F-4376-9BB5-3D0AEE3BE6F7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1C3B1-564E-47BA-A10B-719611EB9939}">
  <sheetPr codeName="Sheet36">
    <pageSetUpPr fitToPage="1"/>
  </sheetPr>
  <dimension ref="A1:I38"/>
  <sheetViews>
    <sheetView showGridLines="0" zoomScale="190" zoomScaleNormal="190" workbookViewId="0">
      <selection activeCell="C5" sqref="C5:D5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0.45312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32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主催者マスタ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78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4</v>
      </c>
      <c r="C7" s="94"/>
      <c r="D7" s="94"/>
      <c r="E7" s="94"/>
      <c r="F7" s="94"/>
      <c r="G7" s="95"/>
    </row>
    <row r="8" spans="1:9" x14ac:dyDescent="0.2">
      <c r="B8" s="76" t="s">
        <v>80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主催者ID</v>
      </c>
      <c r="C14" s="74" t="str">
        <f>VLOOKUP($I14,ドメイン定義!$D:$J,3,0)&amp;""</f>
        <v>owner_id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/>
      </c>
      <c r="H14" s="75" t="s">
        <v>34</v>
      </c>
      <c r="I14" s="75" t="s">
        <v>48</v>
      </c>
    </row>
    <row r="15" spans="1:9" x14ac:dyDescent="0.2">
      <c r="A15" s="5">
        <f t="shared" ref="A15:A29" si="0">ROW()-13</f>
        <v>2</v>
      </c>
      <c r="B15" s="45" t="str">
        <f>VLOOKUP($I15,ドメイン定義!$D:$J,2,0)&amp;""</f>
        <v>主催者名</v>
      </c>
      <c r="C15" s="45" t="str">
        <f>VLOOKUP($I15,ドメイン定義!$D:$J,3,0)&amp;""</f>
        <v>owner_name</v>
      </c>
      <c r="D15" s="45" t="str">
        <f>VLOOKUP($I15,ドメイン定義!$D:$J,4,0)&amp;""</f>
        <v>varchar(50)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28"/>
      <c r="I15" s="28" t="s">
        <v>61</v>
      </c>
    </row>
    <row r="16" spans="1:9" x14ac:dyDescent="0.2">
      <c r="A16" s="5">
        <f t="shared" si="0"/>
        <v>3</v>
      </c>
      <c r="B16" s="45" t="str">
        <f>VLOOKUP($I16,ドメイン定義!$D:$J,2,0)&amp;""</f>
        <v>代表者氏名</v>
      </c>
      <c r="C16" s="45" t="str">
        <f>VLOOKUP($I16,ドメイン定義!$D:$J,3,0)&amp;""</f>
        <v>ｒepresentative_name</v>
      </c>
      <c r="D16" s="45" t="str">
        <f>VLOOKUP($I16,ドメイン定義!$D:$J,4,0)&amp;""</f>
        <v>varchar(50)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/>
      </c>
      <c r="H16" s="29"/>
      <c r="I16" s="29" t="s">
        <v>63</v>
      </c>
    </row>
    <row r="17" spans="1:9" x14ac:dyDescent="0.2">
      <c r="A17" s="5">
        <f t="shared" si="0"/>
        <v>4</v>
      </c>
      <c r="B17" s="45" t="str">
        <f>VLOOKUP($I17,ドメイン定義!$D:$J,2,0)&amp;""</f>
        <v>郵便番号</v>
      </c>
      <c r="C17" s="45" t="str">
        <f>VLOOKUP($I17,ドメイン定義!$D:$J,3,0)&amp;""</f>
        <v>post_cd</v>
      </c>
      <c r="D17" s="45" t="str">
        <f>VLOOKUP($I17,ドメイン定義!$D:$J,4,0)&amp;""</f>
        <v>int(7)</v>
      </c>
      <c r="E17" s="45" t="str">
        <f>VLOOKUP($I17,ドメイン定義!$D:$J,5,0)&amp;""</f>
        <v>NOT NULL</v>
      </c>
      <c r="F17" s="45" t="str">
        <f>VLOOKUP($I17,ドメイン定義!$D:$J,6,0)&amp;""</f>
        <v/>
      </c>
      <c r="G17" s="45" t="str">
        <f>VLOOKUP($I17,ドメイン定義!$D:$J,7,0)&amp;""</f>
        <v/>
      </c>
      <c r="H17" s="29"/>
      <c r="I17" s="29" t="s">
        <v>65</v>
      </c>
    </row>
    <row r="18" spans="1:9" x14ac:dyDescent="0.2">
      <c r="A18" s="5">
        <f t="shared" si="0"/>
        <v>5</v>
      </c>
      <c r="B18" s="45" t="str">
        <f>VLOOKUP($I18,ドメイン定義!$D:$J,2,0)&amp;""</f>
        <v>都道府県</v>
      </c>
      <c r="C18" s="45" t="str">
        <f>VLOOKUP($I18,ドメイン定義!$D:$J,3,0)&amp;""</f>
        <v>prefectures</v>
      </c>
      <c r="D18" s="45" t="str">
        <f>VLOOKUP($I18,ドメイン定義!$D:$J,4,0)&amp;""</f>
        <v>varchar(100)</v>
      </c>
      <c r="E18" s="45" t="str">
        <f>VLOOKUP($I18,ドメイン定義!$D:$J,5,0)&amp;""</f>
        <v>NOT NULL</v>
      </c>
      <c r="F18" s="45" t="str">
        <f>VLOOKUP($I18,ドメイン定義!$D:$J,6,0)&amp;""</f>
        <v/>
      </c>
      <c r="G18" s="45" t="str">
        <f>VLOOKUP($I18,ドメイン定義!$D:$J,7,0)&amp;""</f>
        <v/>
      </c>
      <c r="H18" s="29"/>
      <c r="I18" s="29" t="s">
        <v>66</v>
      </c>
    </row>
    <row r="19" spans="1:9" x14ac:dyDescent="0.2">
      <c r="A19" s="5">
        <f t="shared" si="0"/>
        <v>6</v>
      </c>
      <c r="B19" s="45" t="str">
        <f>VLOOKUP($I19,ドメイン定義!$D:$J,2,0)&amp;""</f>
        <v>市区町村</v>
      </c>
      <c r="C19" s="45" t="str">
        <f>VLOOKUP($I19,ドメイン定義!$D:$J,3,0)&amp;""</f>
        <v>city</v>
      </c>
      <c r="D19" s="45" t="str">
        <f>VLOOKUP($I19,ドメイン定義!$D:$J,4,0)&amp;""</f>
        <v>varchar(100)</v>
      </c>
      <c r="E19" s="45" t="str">
        <f>VLOOKUP($I19,ドメイン定義!$D:$J,5,0)&amp;""</f>
        <v>NOT NULL</v>
      </c>
      <c r="F19" s="45" t="str">
        <f>VLOOKUP($I19,ドメイン定義!$D:$J,6,0)&amp;""</f>
        <v/>
      </c>
      <c r="G19" s="45" t="str">
        <f>VLOOKUP($I19,ドメイン定義!$D:$J,7,0)&amp;""</f>
        <v/>
      </c>
      <c r="H19" s="29"/>
      <c r="I19" s="29" t="s">
        <v>67</v>
      </c>
    </row>
    <row r="20" spans="1:9" x14ac:dyDescent="0.2">
      <c r="A20" s="5">
        <f t="shared" si="0"/>
        <v>7</v>
      </c>
      <c r="B20" s="45" t="str">
        <f>VLOOKUP($I20,ドメイン定義!$D:$J,2,0)&amp;""</f>
        <v>住所</v>
      </c>
      <c r="C20" s="45" t="str">
        <f>VLOOKUP($I20,ドメイン定義!$D:$J,3,0)&amp;""</f>
        <v>address</v>
      </c>
      <c r="D20" s="45" t="str">
        <f>VLOOKUP($I20,ドメイン定義!$D:$J,4,0)&amp;""</f>
        <v>varchar(100)</v>
      </c>
      <c r="E20" s="45" t="str">
        <f>VLOOKUP($I20,ドメイン定義!$D:$J,5,0)&amp;""</f>
        <v>NOT NULL</v>
      </c>
      <c r="F20" s="45" t="str">
        <f>VLOOKUP($I20,ドメイン定義!$D:$J,6,0)&amp;""</f>
        <v/>
      </c>
      <c r="G20" s="45" t="str">
        <f>VLOOKUP($I20,ドメイン定義!$D:$J,7,0)&amp;""</f>
        <v/>
      </c>
      <c r="H20" s="29"/>
      <c r="I20" s="29" t="s">
        <v>68</v>
      </c>
    </row>
    <row r="21" spans="1:9" x14ac:dyDescent="0.2">
      <c r="A21" s="5">
        <f t="shared" si="0"/>
        <v>8</v>
      </c>
      <c r="B21" s="45" t="str">
        <f>VLOOKUP($I21,ドメイン定義!$D:$J,2,0)&amp;""</f>
        <v>電話番号</v>
      </c>
      <c r="C21" s="45" t="str">
        <f>VLOOKUP($I21,ドメイン定義!$D:$J,3,0)&amp;""</f>
        <v>call_number</v>
      </c>
      <c r="D21" s="45" t="str">
        <f>VLOOKUP($I21,ドメイン定義!$D:$J,4,0)&amp;""</f>
        <v>varchar(50)</v>
      </c>
      <c r="E21" s="45" t="str">
        <f>VLOOKUP($I21,ドメイン定義!$D:$J,5,0)&amp;""</f>
        <v>NOT NULL</v>
      </c>
      <c r="F21" s="45" t="str">
        <f>VLOOKUP($I21,ドメイン定義!$D:$J,6,0)&amp;""</f>
        <v/>
      </c>
      <c r="G21" s="45" t="str">
        <f>VLOOKUP($I21,ドメイン定義!$D:$J,7,0)&amp;""</f>
        <v/>
      </c>
      <c r="H21" s="29"/>
      <c r="I21" s="29" t="s">
        <v>72</v>
      </c>
    </row>
    <row r="22" spans="1:9" x14ac:dyDescent="0.2">
      <c r="A22" s="5">
        <f t="shared" si="0"/>
        <v>9</v>
      </c>
      <c r="B22" s="45" t="str">
        <f>VLOOKUP($I22,ドメイン定義!$D:$J,2,0)&amp;""</f>
        <v>メールアドレス</v>
      </c>
      <c r="C22" s="45" t="str">
        <f>VLOOKUP($I22,ドメイン定義!$D:$J,3,0)&amp;""</f>
        <v>mail_address</v>
      </c>
      <c r="D22" s="45" t="str">
        <f>VLOOKUP($I22,ドメイン定義!$D:$J,4,0)&amp;""</f>
        <v>varchar(100)</v>
      </c>
      <c r="E22" s="45" t="str">
        <f>VLOOKUP($I22,ドメイン定義!$D:$J,5,0)&amp;""</f>
        <v>NOT NULL</v>
      </c>
      <c r="F22" s="45" t="str">
        <f>VLOOKUP($I22,ドメイン定義!$D:$J,6,0)&amp;""</f>
        <v/>
      </c>
      <c r="G22" s="45" t="str">
        <f>VLOOKUP($I22,ドメイン定義!$D:$J,7,0)&amp;""</f>
        <v/>
      </c>
      <c r="H22" s="29"/>
      <c r="I22" s="29" t="s">
        <v>75</v>
      </c>
    </row>
    <row r="23" spans="1:9" x14ac:dyDescent="0.2">
      <c r="A23" s="5">
        <f t="shared" si="0"/>
        <v>10</v>
      </c>
      <c r="B23" s="45" t="str">
        <f>VLOOKUP($I23,ドメイン定義!$D:$J,2,0)&amp;""</f>
        <v>削除フラグ</v>
      </c>
      <c r="C23" s="45" t="str">
        <f>VLOOKUP($I23,ドメイン定義!$D:$J,3,0)&amp;""</f>
        <v>delete_flg</v>
      </c>
      <c r="D23" s="45" t="str">
        <f>VLOOKUP($I23,ドメイン定義!$D:$J,4,0)&amp;""</f>
        <v>varchar(1)</v>
      </c>
      <c r="E23" s="45" t="str">
        <f>VLOOKUP($I23,ドメイン定義!$D:$J,5,0)&amp;""</f>
        <v>NOT NULL</v>
      </c>
      <c r="F23" s="45" t="str">
        <f>VLOOKUP($I23,ドメイン定義!$D:$J,6,0)&amp;""</f>
        <v/>
      </c>
      <c r="G23" s="45" t="str">
        <f>VLOOKUP($I23,ドメイン定義!$D:$J,7,0)&amp;""</f>
        <v>0：有効、1：論理削除</v>
      </c>
      <c r="H23" s="29"/>
      <c r="I23" s="29" t="s">
        <v>20</v>
      </c>
    </row>
    <row r="24" spans="1:9" x14ac:dyDescent="0.2">
      <c r="A24" s="5">
        <f t="shared" si="0"/>
        <v>11</v>
      </c>
      <c r="B24" s="45" t="str">
        <f>VLOOKUP($I24,ドメイン定義!$D:$J,2,0)&amp;""</f>
        <v>作成者</v>
      </c>
      <c r="C24" s="45" t="str">
        <f>VLOOKUP($I24,ドメイン定義!$D:$J,3,0)&amp;""</f>
        <v>create_user_id</v>
      </c>
      <c r="D24" s="45" t="str">
        <f>VLOOKUP($I24,ドメイン定義!$D:$J,4,0)&amp;""</f>
        <v>varchar(20)</v>
      </c>
      <c r="E24" s="45" t="str">
        <f>VLOOKUP($I24,ドメイン定義!$D:$J,5,0)&amp;""</f>
        <v>NOT NULL</v>
      </c>
      <c r="F24" s="45" t="str">
        <f>VLOOKUP($I24,ドメイン定義!$D:$J,6,0)&amp;""</f>
        <v/>
      </c>
      <c r="G24" s="45" t="str">
        <f>VLOOKUP($I24,ドメイン定義!$D:$J,7,0)&amp;""</f>
        <v/>
      </c>
      <c r="H24" s="29"/>
      <c r="I24" s="29" t="s">
        <v>97</v>
      </c>
    </row>
    <row r="25" spans="1:9" x14ac:dyDescent="0.2">
      <c r="A25" s="5">
        <f t="shared" si="0"/>
        <v>12</v>
      </c>
      <c r="B25" s="45" t="str">
        <f>VLOOKUP($I25,ドメイン定義!$D:$J,2,0)&amp;""</f>
        <v>作成日時</v>
      </c>
      <c r="C25" s="45" t="str">
        <f>VLOOKUP($I25,ドメイン定義!$D:$J,3,0)&amp;""</f>
        <v>create_datetime</v>
      </c>
      <c r="D25" s="45" t="str">
        <f>VLOOKUP($I25,ドメイン定義!$D:$J,4,0)&amp;""</f>
        <v>datetime</v>
      </c>
      <c r="E25" s="45" t="str">
        <f>VLOOKUP($I25,ドメイン定義!$D:$J,5,0)&amp;""</f>
        <v>NOT NULL</v>
      </c>
      <c r="F25" s="45" t="str">
        <f>VLOOKUP($I25,ドメイン定義!$D:$J,6,0)&amp;""</f>
        <v/>
      </c>
      <c r="G25" s="45" t="str">
        <f>VLOOKUP($I25,ドメイン定義!$D:$J,7,0)&amp;""</f>
        <v/>
      </c>
      <c r="H25" s="29"/>
      <c r="I25" s="29" t="s">
        <v>98</v>
      </c>
    </row>
    <row r="26" spans="1:9" x14ac:dyDescent="0.2">
      <c r="A26" s="5">
        <f t="shared" si="0"/>
        <v>13</v>
      </c>
      <c r="B26" s="45" t="str">
        <f>VLOOKUP($I26,ドメイン定義!$D:$J,2,0)&amp;""</f>
        <v>更新者</v>
      </c>
      <c r="C26" s="45" t="str">
        <f>VLOOKUP($I26,ドメイン定義!$D:$J,3,0)&amp;""</f>
        <v>update_user_id</v>
      </c>
      <c r="D26" s="45" t="str">
        <f>VLOOKUP($I26,ドメイン定義!$D:$J,4,0)&amp;""</f>
        <v>varchar(20)</v>
      </c>
      <c r="E26" s="45" t="str">
        <f>VLOOKUP($I26,ドメイン定義!$D:$J,5,0)&amp;""</f>
        <v>NOT NULL</v>
      </c>
      <c r="F26" s="45" t="str">
        <f>VLOOKUP($I26,ドメイン定義!$D:$J,6,0)&amp;""</f>
        <v/>
      </c>
      <c r="G26" s="45" t="str">
        <f>VLOOKUP($I26,ドメイン定義!$D:$J,7,0)&amp;""</f>
        <v/>
      </c>
      <c r="H26" s="29"/>
      <c r="I26" s="29" t="s">
        <v>99</v>
      </c>
    </row>
    <row r="27" spans="1:9" x14ac:dyDescent="0.2">
      <c r="A27" s="5">
        <f t="shared" si="0"/>
        <v>14</v>
      </c>
      <c r="B27" s="45" t="str">
        <f>VLOOKUP($I27,ドメイン定義!$D:$J,2,0)&amp;""</f>
        <v>更新日時</v>
      </c>
      <c r="C27" s="45" t="str">
        <f>VLOOKUP($I27,ドメイン定義!$D:$J,3,0)&amp;""</f>
        <v>update_datetime</v>
      </c>
      <c r="D27" s="45" t="str">
        <f>VLOOKUP($I27,ドメイン定義!$D:$J,4,0)&amp;""</f>
        <v>datetime</v>
      </c>
      <c r="E27" s="45" t="str">
        <f>VLOOKUP($I27,ドメイン定義!$D:$J,5,0)&amp;""</f>
        <v>NOT NULL</v>
      </c>
      <c r="F27" s="45" t="str">
        <f>VLOOKUP($I27,ドメイン定義!$D:$J,6,0)&amp;""</f>
        <v/>
      </c>
      <c r="G27" s="45" t="str">
        <f>VLOOKUP($I27,ドメイン定義!$D:$J,7,0)&amp;""</f>
        <v/>
      </c>
      <c r="H27" s="29"/>
      <c r="I27" s="29" t="s">
        <v>21</v>
      </c>
    </row>
    <row r="28" spans="1:9" x14ac:dyDescent="0.2">
      <c r="A28" s="5">
        <f t="shared" si="0"/>
        <v>15</v>
      </c>
      <c r="B28" s="11"/>
      <c r="C28" s="47"/>
      <c r="D28" s="47"/>
      <c r="E28" s="47"/>
      <c r="F28" s="46"/>
      <c r="G28" s="46"/>
      <c r="H28" s="30"/>
      <c r="I28" s="30"/>
    </row>
    <row r="29" spans="1:9" ht="11.5" thickBot="1" x14ac:dyDescent="0.25">
      <c r="A29" s="6">
        <f t="shared" si="0"/>
        <v>16</v>
      </c>
      <c r="B29" s="12"/>
      <c r="C29" s="48"/>
      <c r="D29" s="48"/>
      <c r="E29" s="48"/>
      <c r="F29" s="49"/>
      <c r="G29" s="49"/>
      <c r="H29" s="31"/>
      <c r="I29" s="31"/>
    </row>
    <row r="31" spans="1:9" ht="11.5" thickBot="1" x14ac:dyDescent="0.25">
      <c r="A31" s="4" t="s">
        <v>17</v>
      </c>
    </row>
    <row r="32" spans="1:9" x14ac:dyDescent="0.2">
      <c r="A32" s="26" t="s">
        <v>1</v>
      </c>
      <c r="B32" s="24" t="s">
        <v>18</v>
      </c>
      <c r="C32" s="27" t="s">
        <v>58</v>
      </c>
      <c r="D32" s="27" t="s">
        <v>19</v>
      </c>
      <c r="E32" s="51"/>
      <c r="F32" s="51"/>
      <c r="G32" s="50"/>
    </row>
    <row r="33" spans="1:7" ht="13.5" customHeight="1" x14ac:dyDescent="0.2">
      <c r="A33" s="7">
        <v>1</v>
      </c>
      <c r="B33" s="57"/>
      <c r="C33" s="66"/>
      <c r="D33" s="58"/>
      <c r="E33" s="53"/>
      <c r="F33" s="53"/>
      <c r="G33" s="54"/>
    </row>
    <row r="34" spans="1:7" ht="13.5" customHeight="1" x14ac:dyDescent="0.2">
      <c r="A34" s="7">
        <f ca="1">OFFSET(A34,-1,0)+1</f>
        <v>2</v>
      </c>
      <c r="B34" s="59"/>
      <c r="C34" s="67"/>
      <c r="D34" s="60"/>
      <c r="E34" s="55"/>
      <c r="F34" s="55"/>
      <c r="G34" s="56"/>
    </row>
    <row r="35" spans="1:7" ht="13.5" customHeight="1" x14ac:dyDescent="0.2">
      <c r="A35" s="7">
        <f t="shared" ref="A35:A38" ca="1" si="1">OFFSET(A35,-1,0)+1</f>
        <v>3</v>
      </c>
      <c r="B35" s="59"/>
      <c r="C35" s="67"/>
      <c r="D35" s="60"/>
      <c r="E35" s="55"/>
      <c r="F35" s="55"/>
      <c r="G35" s="56"/>
    </row>
    <row r="36" spans="1:7" ht="13.5" customHeight="1" x14ac:dyDescent="0.2">
      <c r="A36" s="7">
        <f t="shared" ca="1" si="1"/>
        <v>4</v>
      </c>
      <c r="B36" s="59"/>
      <c r="C36" s="67"/>
      <c r="D36" s="60"/>
      <c r="E36" s="55"/>
      <c r="F36" s="55"/>
      <c r="G36" s="56"/>
    </row>
    <row r="37" spans="1:7" ht="13.5" customHeight="1" x14ac:dyDescent="0.2">
      <c r="A37" s="7">
        <f t="shared" ca="1" si="1"/>
        <v>5</v>
      </c>
      <c r="B37" s="59"/>
      <c r="C37" s="67"/>
      <c r="D37" s="60"/>
      <c r="E37" s="55"/>
      <c r="F37" s="55"/>
      <c r="G37" s="56"/>
    </row>
    <row r="38" spans="1:7" ht="14.25" customHeight="1" thickBot="1" x14ac:dyDescent="0.25">
      <c r="A38" s="61">
        <f t="shared" ca="1" si="1"/>
        <v>6</v>
      </c>
      <c r="B38" s="62"/>
      <c r="C38" s="68"/>
      <c r="D38" s="63"/>
      <c r="E38" s="64"/>
      <c r="F38" s="64"/>
      <c r="G38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1">
    <dataValidation type="list" allowBlank="1" showInputMessage="1" showErrorMessage="1" sqref="C33:C38" xr:uid="{699E0B10-EF21-4A2D-833B-9E7FC29BBC29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796C-8595-41D0-B1B6-F71F36D448AD}">
  <sheetPr codeName="Sheet37">
    <pageSetUpPr fitToPage="1"/>
  </sheetPr>
  <dimension ref="A1:I39"/>
  <sheetViews>
    <sheetView showGridLines="0" topLeftCell="A4" zoomScale="190" zoomScaleNormal="190" workbookViewId="0">
      <selection activeCell="C5" sqref="C5:D5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32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エントリ枠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107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4</v>
      </c>
      <c r="C7" s="94"/>
      <c r="D7" s="94"/>
      <c r="E7" s="94"/>
      <c r="F7" s="94"/>
      <c r="G7" s="95"/>
    </row>
    <row r="8" spans="1:9" x14ac:dyDescent="0.2">
      <c r="B8" s="76" t="s">
        <v>82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大会ID</v>
      </c>
      <c r="C14" s="74" t="str">
        <f>VLOOKUP($I14,ドメイン定義!$D:$J,3,0)&amp;""</f>
        <v>event_id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>222</v>
      </c>
      <c r="H14" s="75" t="s">
        <v>34</v>
      </c>
      <c r="I14" s="75" t="s">
        <v>41</v>
      </c>
    </row>
    <row r="15" spans="1:9" x14ac:dyDescent="0.2">
      <c r="A15" s="5">
        <f t="shared" ref="A15:A30" si="0">ROW()-13</f>
        <v>2</v>
      </c>
      <c r="B15" s="45" t="str">
        <f>VLOOKUP($I15,ドメイン定義!$D:$J,2,0)&amp;""</f>
        <v>エントリ枠ID</v>
      </c>
      <c r="C15" s="45" t="str">
        <f>VLOOKUP($I15,ドメイン定義!$D:$J,3,0)&amp;""</f>
        <v>entry_frame_id</v>
      </c>
      <c r="D15" s="45" t="str">
        <f>VLOOKUP($I15,ドメイン定義!$D:$J,4,0)&amp;""</f>
        <v>varchar(20)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75" t="s">
        <v>34</v>
      </c>
      <c r="I15" s="28" t="s">
        <v>83</v>
      </c>
    </row>
    <row r="16" spans="1:9" ht="22" x14ac:dyDescent="0.2">
      <c r="A16" s="5">
        <f t="shared" si="0"/>
        <v>3</v>
      </c>
      <c r="B16" s="45" t="str">
        <f>VLOOKUP($I16,ドメイン定義!$D:$J,2,0)&amp;""</f>
        <v>エントリ枠ステータス</v>
      </c>
      <c r="C16" s="45" t="str">
        <f>VLOOKUP($I16,ドメイン定義!$D:$J,3,0)&amp;""</f>
        <v>entry_frame_status</v>
      </c>
      <c r="D16" s="45" t="str">
        <f>VLOOKUP($I16,ドメイン定義!$D:$J,4,0)&amp;""</f>
        <v>varchar(1)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>1：募集前、2：募集中、3、抽選中、4：参加者確定</v>
      </c>
      <c r="H16" s="75"/>
      <c r="I16" s="28" t="s">
        <v>164</v>
      </c>
    </row>
    <row r="17" spans="1:9" x14ac:dyDescent="0.2">
      <c r="A17" s="5">
        <f t="shared" si="0"/>
        <v>4</v>
      </c>
      <c r="B17" s="45" t="str">
        <f>VLOOKUP($I17,ドメイン定義!$D:$J,2,0)&amp;""</f>
        <v>種目ID</v>
      </c>
      <c r="C17" s="45" t="str">
        <f>VLOOKUP($I17,ドメイン定義!$D:$J,3,0)&amp;""</f>
        <v>event_type_id</v>
      </c>
      <c r="D17" s="45" t="str">
        <f>VLOOKUP($I17,ドメイン定義!$D:$J,4,0)&amp;""</f>
        <v>varchar(20)</v>
      </c>
      <c r="E17" s="45" t="str">
        <f>VLOOKUP($I17,ドメイン定義!$D:$J,5,0)&amp;""</f>
        <v>NOT NULL</v>
      </c>
      <c r="F17" s="45" t="str">
        <f>VLOOKUP($I17,ドメイン定義!$D:$J,6,0)&amp;""</f>
        <v/>
      </c>
      <c r="G17" s="45" t="str">
        <f>VLOOKUP($I17,ドメイン定義!$D:$J,7,0)&amp;""</f>
        <v/>
      </c>
      <c r="H17" s="29"/>
      <c r="I17" s="29" t="s">
        <v>85</v>
      </c>
    </row>
    <row r="18" spans="1:9" x14ac:dyDescent="0.2">
      <c r="A18" s="5">
        <f t="shared" si="0"/>
        <v>5</v>
      </c>
      <c r="B18" s="45" t="str">
        <f>VLOOKUP($I18,ドメイン定義!$D:$J,2,0)&amp;""</f>
        <v>抽選区分</v>
      </c>
      <c r="C18" s="45" t="str">
        <f>VLOOKUP($I18,ドメイン定義!$D:$J,3,0)&amp;""</f>
        <v>lottery_div</v>
      </c>
      <c r="D18" s="45" t="str">
        <f>VLOOKUP($I18,ドメイン定義!$D:$J,4,0)&amp;""</f>
        <v>varchar(1)</v>
      </c>
      <c r="E18" s="45" t="str">
        <f>VLOOKUP($I18,ドメイン定義!$D:$J,5,0)&amp;""</f>
        <v>NOT NULL</v>
      </c>
      <c r="F18" s="45" t="str">
        <f>VLOOKUP($I18,ドメイン定義!$D:$J,6,0)&amp;""</f>
        <v/>
      </c>
      <c r="G18" s="45" t="str">
        <f>VLOOKUP($I18,ドメイン定義!$D:$J,7,0)&amp;""</f>
        <v>1：先着順、2：抽選</v>
      </c>
      <c r="H18" s="29"/>
      <c r="I18" s="29" t="s">
        <v>88</v>
      </c>
    </row>
    <row r="19" spans="1:9" x14ac:dyDescent="0.2">
      <c r="A19" s="5">
        <f t="shared" si="0"/>
        <v>6</v>
      </c>
      <c r="B19" s="45" t="str">
        <f>VLOOKUP($I19,ドメイン定義!$D:$J,2,0)&amp;""</f>
        <v>募集開始年月日</v>
      </c>
      <c r="C19" s="45" t="str">
        <f>VLOOKUP($I19,ドメイン定義!$D:$J,3,0)&amp;""</f>
        <v>recruit_start_date</v>
      </c>
      <c r="D19" s="45" t="str">
        <f>VLOOKUP($I19,ドメイン定義!$D:$J,4,0)&amp;""</f>
        <v>date</v>
      </c>
      <c r="E19" s="45" t="str">
        <f>VLOOKUP($I19,ドメイン定義!$D:$J,5,0)&amp;""</f>
        <v>NOT NULL</v>
      </c>
      <c r="F19" s="45" t="str">
        <f>VLOOKUP($I19,ドメイン定義!$D:$J,6,0)&amp;""</f>
        <v/>
      </c>
      <c r="G19" s="45" t="str">
        <f>VLOOKUP($I19,ドメイン定義!$D:$J,7,0)&amp;""</f>
        <v/>
      </c>
      <c r="H19" s="29"/>
      <c r="I19" s="29" t="s">
        <v>160</v>
      </c>
    </row>
    <row r="20" spans="1:9" x14ac:dyDescent="0.2">
      <c r="A20" s="5">
        <f t="shared" si="0"/>
        <v>7</v>
      </c>
      <c r="B20" s="45" t="str">
        <f>VLOOKUP($I20,ドメイン定義!$D:$J,2,0)&amp;""</f>
        <v>募集終了年月日</v>
      </c>
      <c r="C20" s="45" t="str">
        <f>VLOOKUP($I20,ドメイン定義!$D:$J,3,0)&amp;""</f>
        <v>recruit_end_date</v>
      </c>
      <c r="D20" s="45" t="str">
        <f>VLOOKUP($I20,ドメイン定義!$D:$J,4,0)&amp;""</f>
        <v>date</v>
      </c>
      <c r="E20" s="45" t="str">
        <f>VLOOKUP($I20,ドメイン定義!$D:$J,5,0)&amp;""</f>
        <v>NOT NULL</v>
      </c>
      <c r="F20" s="45" t="str">
        <f>VLOOKUP($I20,ドメイン定義!$D:$J,6,0)&amp;""</f>
        <v/>
      </c>
      <c r="G20" s="45" t="str">
        <f>VLOOKUP($I20,ドメイン定義!$D:$J,7,0)&amp;""</f>
        <v/>
      </c>
      <c r="H20" s="29"/>
      <c r="I20" s="29" t="s">
        <v>161</v>
      </c>
    </row>
    <row r="21" spans="1:9" x14ac:dyDescent="0.2">
      <c r="A21" s="5">
        <f t="shared" si="0"/>
        <v>8</v>
      </c>
      <c r="B21" s="45" t="str">
        <f>VLOOKUP($I21,ドメイン定義!$D:$J,2,0)&amp;""</f>
        <v>抽選年月日</v>
      </c>
      <c r="C21" s="45" t="str">
        <f>VLOOKUP($I21,ドメイン定義!$D:$J,3,0)&amp;""</f>
        <v>lottery_date</v>
      </c>
      <c r="D21" s="45" t="str">
        <f>VLOOKUP($I21,ドメイン定義!$D:$J,4,0)&amp;""</f>
        <v>date</v>
      </c>
      <c r="E21" s="45" t="str">
        <f>VLOOKUP($I21,ドメイン定義!$D:$J,5,0)&amp;""</f>
        <v>NOT NULL</v>
      </c>
      <c r="F21" s="45" t="str">
        <f>VLOOKUP($I21,ドメイン定義!$D:$J,6,0)&amp;""</f>
        <v/>
      </c>
      <c r="G21" s="45" t="str">
        <f>VLOOKUP($I21,ドメイン定義!$D:$J,7,0)&amp;""</f>
        <v/>
      </c>
      <c r="H21" s="29"/>
      <c r="I21" s="29" t="s">
        <v>92</v>
      </c>
    </row>
    <row r="22" spans="1:9" x14ac:dyDescent="0.2">
      <c r="A22" s="5">
        <f t="shared" si="0"/>
        <v>9</v>
      </c>
      <c r="B22" s="45" t="str">
        <f>VLOOKUP($I22,ドメイン定義!$D:$J,2,0)&amp;""</f>
        <v>参加人数上限</v>
      </c>
      <c r="C22" s="45" t="str">
        <f>VLOOKUP($I22,ドメイン定義!$D:$J,3,0)&amp;""</f>
        <v>entrant_limit</v>
      </c>
      <c r="D22" s="45" t="str">
        <f>VLOOKUP($I22,ドメイン定義!$D:$J,4,0)&amp;""</f>
        <v>int(7)</v>
      </c>
      <c r="E22" s="45" t="str">
        <f>VLOOKUP($I22,ドメイン定義!$D:$J,5,0)&amp;""</f>
        <v>NOT NULL</v>
      </c>
      <c r="F22" s="45" t="str">
        <f>VLOOKUP($I22,ドメイン定義!$D:$J,6,0)&amp;""</f>
        <v/>
      </c>
      <c r="G22" s="45" t="str">
        <f>VLOOKUP($I22,ドメイン定義!$D:$J,7,0)&amp;""</f>
        <v/>
      </c>
      <c r="H22" s="29"/>
      <c r="I22" s="29" t="s">
        <v>104</v>
      </c>
    </row>
    <row r="23" spans="1:9" x14ac:dyDescent="0.2">
      <c r="A23" s="5">
        <f t="shared" si="0"/>
        <v>10</v>
      </c>
      <c r="B23" s="45" t="str">
        <f>VLOOKUP($I23,ドメイン定義!$D:$J,2,0)&amp;""</f>
        <v>削除フラグ</v>
      </c>
      <c r="C23" s="45" t="str">
        <f>VLOOKUP($I23,ドメイン定義!$D:$J,3,0)&amp;""</f>
        <v>delete_flg</v>
      </c>
      <c r="D23" s="45" t="str">
        <f>VLOOKUP($I23,ドメイン定義!$D:$J,4,0)&amp;""</f>
        <v>varchar(1)</v>
      </c>
      <c r="E23" s="45" t="str">
        <f>VLOOKUP($I23,ドメイン定義!$D:$J,5,0)&amp;""</f>
        <v>NOT NULL</v>
      </c>
      <c r="F23" s="45" t="str">
        <f>VLOOKUP($I23,ドメイン定義!$D:$J,6,0)&amp;""</f>
        <v/>
      </c>
      <c r="G23" s="45" t="str">
        <f>VLOOKUP($I23,ドメイン定義!$D:$J,7,0)&amp;""</f>
        <v>0：有効、1：論理削除</v>
      </c>
      <c r="H23" s="29"/>
      <c r="I23" s="29" t="s">
        <v>20</v>
      </c>
    </row>
    <row r="24" spans="1:9" x14ac:dyDescent="0.2">
      <c r="A24" s="5">
        <f t="shared" si="0"/>
        <v>11</v>
      </c>
      <c r="B24" s="45" t="str">
        <f>VLOOKUP($I24,ドメイン定義!$D:$J,2,0)&amp;""</f>
        <v>作成者</v>
      </c>
      <c r="C24" s="45" t="str">
        <f>VLOOKUP($I24,ドメイン定義!$D:$J,3,0)&amp;""</f>
        <v>create_user_id</v>
      </c>
      <c r="D24" s="45" t="str">
        <f>VLOOKUP($I24,ドメイン定義!$D:$J,4,0)&amp;""</f>
        <v>varchar(20)</v>
      </c>
      <c r="E24" s="45" t="str">
        <f>VLOOKUP($I24,ドメイン定義!$D:$J,5,0)&amp;""</f>
        <v>NOT NULL</v>
      </c>
      <c r="F24" s="45" t="str">
        <f>VLOOKUP($I24,ドメイン定義!$D:$J,6,0)&amp;""</f>
        <v/>
      </c>
      <c r="G24" s="45" t="str">
        <f>VLOOKUP($I24,ドメイン定義!$D:$J,7,0)&amp;""</f>
        <v/>
      </c>
      <c r="H24" s="29"/>
      <c r="I24" s="29" t="s">
        <v>97</v>
      </c>
    </row>
    <row r="25" spans="1:9" x14ac:dyDescent="0.2">
      <c r="A25" s="5">
        <f t="shared" si="0"/>
        <v>12</v>
      </c>
      <c r="B25" s="45" t="str">
        <f>VLOOKUP($I25,ドメイン定義!$D:$J,2,0)&amp;""</f>
        <v>作成日時</v>
      </c>
      <c r="C25" s="45" t="str">
        <f>VLOOKUP($I25,ドメイン定義!$D:$J,3,0)&amp;""</f>
        <v>create_datetime</v>
      </c>
      <c r="D25" s="45" t="str">
        <f>VLOOKUP($I25,ドメイン定義!$D:$J,4,0)&amp;""</f>
        <v>datetime</v>
      </c>
      <c r="E25" s="45" t="str">
        <f>VLOOKUP($I25,ドメイン定義!$D:$J,5,0)&amp;""</f>
        <v>NOT NULL</v>
      </c>
      <c r="F25" s="45" t="str">
        <f>VLOOKUP($I25,ドメイン定義!$D:$J,6,0)&amp;""</f>
        <v/>
      </c>
      <c r="G25" s="45" t="str">
        <f>VLOOKUP($I25,ドメイン定義!$D:$J,7,0)&amp;""</f>
        <v/>
      </c>
      <c r="H25" s="29"/>
      <c r="I25" s="29" t="s">
        <v>98</v>
      </c>
    </row>
    <row r="26" spans="1:9" x14ac:dyDescent="0.2">
      <c r="A26" s="5">
        <f t="shared" si="0"/>
        <v>13</v>
      </c>
      <c r="B26" s="45" t="str">
        <f>VLOOKUP($I26,ドメイン定義!$D:$J,2,0)&amp;""</f>
        <v>更新者</v>
      </c>
      <c r="C26" s="45" t="str">
        <f>VLOOKUP($I26,ドメイン定義!$D:$J,3,0)&amp;""</f>
        <v>update_user_id</v>
      </c>
      <c r="D26" s="45" t="str">
        <f>VLOOKUP($I26,ドメイン定義!$D:$J,4,0)&amp;""</f>
        <v>varchar(20)</v>
      </c>
      <c r="E26" s="45" t="str">
        <f>VLOOKUP($I26,ドメイン定義!$D:$J,5,0)&amp;""</f>
        <v>NOT NULL</v>
      </c>
      <c r="F26" s="45" t="str">
        <f>VLOOKUP($I26,ドメイン定義!$D:$J,6,0)&amp;""</f>
        <v/>
      </c>
      <c r="G26" s="45" t="str">
        <f>VLOOKUP($I26,ドメイン定義!$D:$J,7,0)&amp;""</f>
        <v/>
      </c>
      <c r="H26" s="29"/>
      <c r="I26" s="29" t="s">
        <v>99</v>
      </c>
    </row>
    <row r="27" spans="1:9" x14ac:dyDescent="0.2">
      <c r="A27" s="5">
        <f t="shared" si="0"/>
        <v>14</v>
      </c>
      <c r="B27" s="45" t="str">
        <f>VLOOKUP($I27,ドメイン定義!$D:$J,2,0)&amp;""</f>
        <v>更新日時</v>
      </c>
      <c r="C27" s="45" t="str">
        <f>VLOOKUP($I27,ドメイン定義!$D:$J,3,0)&amp;""</f>
        <v>update_datetime</v>
      </c>
      <c r="D27" s="45" t="str">
        <f>VLOOKUP($I27,ドメイン定義!$D:$J,4,0)&amp;""</f>
        <v>datetime</v>
      </c>
      <c r="E27" s="45" t="str">
        <f>VLOOKUP($I27,ドメイン定義!$D:$J,5,0)&amp;""</f>
        <v>NOT NULL</v>
      </c>
      <c r="F27" s="45" t="str">
        <f>VLOOKUP($I27,ドメイン定義!$D:$J,6,0)&amp;""</f>
        <v/>
      </c>
      <c r="G27" s="45" t="str">
        <f>VLOOKUP($I27,ドメイン定義!$D:$J,7,0)&amp;""</f>
        <v/>
      </c>
      <c r="H27" s="29"/>
      <c r="I27" s="29" t="s">
        <v>21</v>
      </c>
    </row>
    <row r="28" spans="1:9" x14ac:dyDescent="0.2">
      <c r="A28" s="5">
        <f t="shared" si="0"/>
        <v>15</v>
      </c>
      <c r="B28" s="45"/>
      <c r="C28" s="45"/>
      <c r="D28" s="45"/>
      <c r="E28" s="45"/>
      <c r="F28" s="45"/>
      <c r="G28" s="45"/>
      <c r="H28" s="29"/>
      <c r="I28" s="29"/>
    </row>
    <row r="29" spans="1:9" x14ac:dyDescent="0.2">
      <c r="A29" s="5">
        <f t="shared" si="0"/>
        <v>16</v>
      </c>
      <c r="B29" s="11"/>
      <c r="C29" s="47"/>
      <c r="D29" s="47"/>
      <c r="E29" s="47"/>
      <c r="F29" s="46"/>
      <c r="G29" s="46"/>
      <c r="H29" s="30"/>
      <c r="I29" s="30"/>
    </row>
    <row r="30" spans="1:9" ht="11.5" thickBot="1" x14ac:dyDescent="0.25">
      <c r="A30" s="6">
        <f t="shared" si="0"/>
        <v>17</v>
      </c>
      <c r="B30" s="12"/>
      <c r="C30" s="48"/>
      <c r="D30" s="48"/>
      <c r="E30" s="48"/>
      <c r="F30" s="49"/>
      <c r="G30" s="49"/>
      <c r="H30" s="31"/>
      <c r="I30" s="31"/>
    </row>
    <row r="32" spans="1:9" ht="11.5" thickBot="1" x14ac:dyDescent="0.25">
      <c r="A32" s="4" t="s">
        <v>17</v>
      </c>
    </row>
    <row r="33" spans="1:7" x14ac:dyDescent="0.2">
      <c r="A33" s="26" t="s">
        <v>1</v>
      </c>
      <c r="B33" s="24" t="s">
        <v>18</v>
      </c>
      <c r="C33" s="27" t="s">
        <v>58</v>
      </c>
      <c r="D33" s="27" t="s">
        <v>19</v>
      </c>
      <c r="E33" s="51"/>
      <c r="F33" s="51"/>
      <c r="G33" s="50"/>
    </row>
    <row r="34" spans="1:7" ht="13.5" customHeight="1" x14ac:dyDescent="0.2">
      <c r="A34" s="7">
        <v>1</v>
      </c>
      <c r="B34" s="57" t="str">
        <f>$C$6&amp;"_IX_"&amp;RIGHT("00"&amp;A34,2)</f>
        <v>m_event_entry_IX_01</v>
      </c>
      <c r="C34" s="66"/>
      <c r="D34" s="58" t="str">
        <f>C16&amp;","&amp;C18&amp;" ,"&amp;C21</f>
        <v>entry_frame_status,lottery_div ,lottery_date</v>
      </c>
      <c r="E34" s="53"/>
      <c r="F34" s="53"/>
      <c r="G34" s="54"/>
    </row>
    <row r="35" spans="1:7" ht="13.5" customHeight="1" x14ac:dyDescent="0.2">
      <c r="A35" s="7">
        <f ca="1">OFFSET(A35,-1,0)+1</f>
        <v>2</v>
      </c>
      <c r="B35" s="57" t="str">
        <f ca="1">$C$6&amp;"_IX_"&amp;RIGHT("00"&amp;A35,2)</f>
        <v>m_event_entry_IX_02</v>
      </c>
      <c r="C35" s="66"/>
      <c r="D35" s="58" t="str">
        <f>C16&amp;" ,"&amp;C20&amp;" ,"&amp;C19&amp;" ,"&amp;C18</f>
        <v>entry_frame_status ,recruit_end_date ,recruit_start_date ,lottery_div</v>
      </c>
      <c r="E35" s="55"/>
      <c r="F35" s="55"/>
      <c r="G35" s="56"/>
    </row>
    <row r="36" spans="1:7" ht="13.5" customHeight="1" x14ac:dyDescent="0.2">
      <c r="A36" s="7">
        <f t="shared" ref="A36:A39" ca="1" si="1">OFFSET(A36,-1,0)+1</f>
        <v>3</v>
      </c>
      <c r="B36" s="59"/>
      <c r="C36" s="67"/>
      <c r="D36" s="60"/>
      <c r="E36" s="55"/>
      <c r="F36" s="55"/>
      <c r="G36" s="56"/>
    </row>
    <row r="37" spans="1:7" ht="13.5" customHeight="1" x14ac:dyDescent="0.2">
      <c r="A37" s="7">
        <f t="shared" ca="1" si="1"/>
        <v>4</v>
      </c>
      <c r="B37" s="59"/>
      <c r="C37" s="67"/>
      <c r="D37" s="60"/>
      <c r="E37" s="55"/>
      <c r="F37" s="55"/>
      <c r="G37" s="56"/>
    </row>
    <row r="38" spans="1:7" ht="13.5" customHeight="1" x14ac:dyDescent="0.2">
      <c r="A38" s="7">
        <f t="shared" ca="1" si="1"/>
        <v>5</v>
      </c>
      <c r="B38" s="59"/>
      <c r="C38" s="67"/>
      <c r="D38" s="60"/>
      <c r="E38" s="55"/>
      <c r="F38" s="55"/>
      <c r="G38" s="56"/>
    </row>
    <row r="39" spans="1:7" ht="14.25" customHeight="1" thickBot="1" x14ac:dyDescent="0.25">
      <c r="A39" s="61">
        <f t="shared" ca="1" si="1"/>
        <v>6</v>
      </c>
      <c r="B39" s="62"/>
      <c r="C39" s="68"/>
      <c r="D39" s="63"/>
      <c r="E39" s="64"/>
      <c r="F39" s="64"/>
      <c r="G39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1">
    <dataValidation type="list" allowBlank="1" showInputMessage="1" showErrorMessage="1" sqref="C34:C39" xr:uid="{F3396009-89B6-47B7-93C2-0F30C13F7268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C8FAD-9560-4010-915C-F331EC0546FC}">
  <sheetPr codeName="Sheet38">
    <pageSetUpPr fitToPage="1"/>
  </sheetPr>
  <dimension ref="A1:I36"/>
  <sheetViews>
    <sheetView showGridLines="0" zoomScale="190" zoomScaleNormal="190" workbookViewId="0">
      <selection activeCell="C2" sqref="C2:D2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1.632812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191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大会サービス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109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110</v>
      </c>
      <c r="C7" s="94"/>
      <c r="D7" s="94"/>
      <c r="E7" s="94"/>
      <c r="F7" s="94"/>
      <c r="G7" s="95"/>
    </row>
    <row r="8" spans="1:9" x14ac:dyDescent="0.2">
      <c r="B8" s="76" t="s">
        <v>112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大会ID</v>
      </c>
      <c r="C14" s="74" t="str">
        <f>VLOOKUP($I14,ドメイン定義!$D:$J,3,0)&amp;""</f>
        <v>event_id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>222</v>
      </c>
      <c r="H14" s="75" t="s">
        <v>34</v>
      </c>
      <c r="I14" s="75" t="s">
        <v>41</v>
      </c>
    </row>
    <row r="15" spans="1:9" x14ac:dyDescent="0.2">
      <c r="A15" s="5">
        <f t="shared" ref="A15:A27" si="0">ROW()-13</f>
        <v>2</v>
      </c>
      <c r="B15" s="45" t="str">
        <f>VLOOKUP($I15,ドメイン定義!$D:$J,2,0)&amp;""</f>
        <v>大会サービスID</v>
      </c>
      <c r="C15" s="45" t="str">
        <f>VLOOKUP($I15,ドメイン定義!$D:$J,3,0)&amp;""</f>
        <v>event_service_id</v>
      </c>
      <c r="D15" s="45" t="str">
        <f>VLOOKUP($I15,ドメイン定義!$D:$J,4,0)&amp;""</f>
        <v>varchar(20)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75" t="s">
        <v>34</v>
      </c>
      <c r="I15" s="28" t="s">
        <v>113</v>
      </c>
    </row>
    <row r="16" spans="1:9" x14ac:dyDescent="0.2">
      <c r="A16" s="5">
        <f t="shared" si="0"/>
        <v>3</v>
      </c>
      <c r="B16" s="45" t="str">
        <f>VLOOKUP($I16,ドメイン定義!$D:$J,2,0)&amp;""</f>
        <v>削除フラグ</v>
      </c>
      <c r="C16" s="45" t="str">
        <f>VLOOKUP($I16,ドメイン定義!$D:$J,3,0)&amp;""</f>
        <v>delete_flg</v>
      </c>
      <c r="D16" s="45" t="str">
        <f>VLOOKUP($I16,ドメイン定義!$D:$J,4,0)&amp;""</f>
        <v>varchar(1)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>0：有効、1：論理削除</v>
      </c>
      <c r="H16" s="29"/>
      <c r="I16" s="29" t="s">
        <v>20</v>
      </c>
    </row>
    <row r="17" spans="1:9" x14ac:dyDescent="0.2">
      <c r="A17" s="5">
        <f t="shared" si="0"/>
        <v>4</v>
      </c>
      <c r="B17" s="45" t="str">
        <f>VLOOKUP($I17,ドメイン定義!$D:$J,2,0)&amp;""</f>
        <v>作成者</v>
      </c>
      <c r="C17" s="45" t="str">
        <f>VLOOKUP($I17,ドメイン定義!$D:$J,3,0)&amp;""</f>
        <v>create_user_id</v>
      </c>
      <c r="D17" s="45" t="str">
        <f>VLOOKUP($I17,ドメイン定義!$D:$J,4,0)&amp;""</f>
        <v>varchar(20)</v>
      </c>
      <c r="E17" s="45" t="str">
        <f>VLOOKUP($I17,ドメイン定義!$D:$J,5,0)&amp;""</f>
        <v>NOT NULL</v>
      </c>
      <c r="F17" s="45" t="str">
        <f>VLOOKUP($I17,ドメイン定義!$D:$J,6,0)&amp;""</f>
        <v/>
      </c>
      <c r="G17" s="45" t="str">
        <f>VLOOKUP($I17,ドメイン定義!$D:$J,7,0)&amp;""</f>
        <v/>
      </c>
      <c r="H17" s="29"/>
      <c r="I17" s="29" t="s">
        <v>97</v>
      </c>
    </row>
    <row r="18" spans="1:9" x14ac:dyDescent="0.2">
      <c r="A18" s="5">
        <f t="shared" si="0"/>
        <v>5</v>
      </c>
      <c r="B18" s="45" t="str">
        <f>VLOOKUP($I18,ドメイン定義!$D:$J,2,0)&amp;""</f>
        <v>作成日時</v>
      </c>
      <c r="C18" s="45" t="str">
        <f>VLOOKUP($I18,ドメイン定義!$D:$J,3,0)&amp;""</f>
        <v>create_datetime</v>
      </c>
      <c r="D18" s="45" t="str">
        <f>VLOOKUP($I18,ドメイン定義!$D:$J,4,0)&amp;""</f>
        <v>datetime</v>
      </c>
      <c r="E18" s="45" t="str">
        <f>VLOOKUP($I18,ドメイン定義!$D:$J,5,0)&amp;""</f>
        <v>NOT NULL</v>
      </c>
      <c r="F18" s="45" t="str">
        <f>VLOOKUP($I18,ドメイン定義!$D:$J,6,0)&amp;""</f>
        <v/>
      </c>
      <c r="G18" s="45" t="str">
        <f>VLOOKUP($I18,ドメイン定義!$D:$J,7,0)&amp;""</f>
        <v/>
      </c>
      <c r="H18" s="29"/>
      <c r="I18" s="29" t="s">
        <v>98</v>
      </c>
    </row>
    <row r="19" spans="1:9" x14ac:dyDescent="0.2">
      <c r="A19" s="5">
        <f t="shared" si="0"/>
        <v>6</v>
      </c>
      <c r="B19" s="45" t="str">
        <f>VLOOKUP($I19,ドメイン定義!$D:$J,2,0)&amp;""</f>
        <v>更新者</v>
      </c>
      <c r="C19" s="45" t="str">
        <f>VLOOKUP($I19,ドメイン定義!$D:$J,3,0)&amp;""</f>
        <v>update_user_id</v>
      </c>
      <c r="D19" s="45" t="str">
        <f>VLOOKUP($I19,ドメイン定義!$D:$J,4,0)&amp;""</f>
        <v>varchar(20)</v>
      </c>
      <c r="E19" s="45" t="str">
        <f>VLOOKUP($I19,ドメイン定義!$D:$J,5,0)&amp;""</f>
        <v>NOT NULL</v>
      </c>
      <c r="F19" s="45" t="str">
        <f>VLOOKUP($I19,ドメイン定義!$D:$J,6,0)&amp;""</f>
        <v/>
      </c>
      <c r="G19" s="45" t="str">
        <f>VLOOKUP($I19,ドメイン定義!$D:$J,7,0)&amp;""</f>
        <v/>
      </c>
      <c r="H19" s="29"/>
      <c r="I19" s="29" t="s">
        <v>99</v>
      </c>
    </row>
    <row r="20" spans="1:9" x14ac:dyDescent="0.2">
      <c r="A20" s="5">
        <f t="shared" si="0"/>
        <v>7</v>
      </c>
      <c r="B20" s="45" t="str">
        <f>VLOOKUP($I20,ドメイン定義!$D:$J,2,0)&amp;""</f>
        <v>更新日時</v>
      </c>
      <c r="C20" s="45" t="str">
        <f>VLOOKUP($I20,ドメイン定義!$D:$J,3,0)&amp;""</f>
        <v>update_datetime</v>
      </c>
      <c r="D20" s="45" t="str">
        <f>VLOOKUP($I20,ドメイン定義!$D:$J,4,0)&amp;""</f>
        <v>datetime</v>
      </c>
      <c r="E20" s="45" t="str">
        <f>VLOOKUP($I20,ドメイン定義!$D:$J,5,0)&amp;""</f>
        <v>NOT NULL</v>
      </c>
      <c r="F20" s="45" t="str">
        <f>VLOOKUP($I20,ドメイン定義!$D:$J,6,0)&amp;""</f>
        <v/>
      </c>
      <c r="G20" s="45" t="str">
        <f>VLOOKUP($I20,ドメイン定義!$D:$J,7,0)&amp;""</f>
        <v/>
      </c>
      <c r="H20" s="29"/>
      <c r="I20" s="29" t="s">
        <v>21</v>
      </c>
    </row>
    <row r="21" spans="1:9" x14ac:dyDescent="0.2">
      <c r="A21" s="5">
        <f t="shared" si="0"/>
        <v>8</v>
      </c>
      <c r="B21" s="45"/>
      <c r="C21" s="45"/>
      <c r="D21" s="45"/>
      <c r="E21" s="45"/>
      <c r="F21" s="45"/>
      <c r="G21" s="45"/>
      <c r="H21" s="29"/>
      <c r="I21" s="29"/>
    </row>
    <row r="22" spans="1:9" x14ac:dyDescent="0.2">
      <c r="A22" s="5">
        <f t="shared" si="0"/>
        <v>9</v>
      </c>
      <c r="B22" s="45"/>
      <c r="C22" s="45"/>
      <c r="D22" s="45"/>
      <c r="E22" s="45"/>
      <c r="F22" s="45"/>
      <c r="G22" s="45"/>
      <c r="H22" s="29"/>
      <c r="I22" s="29"/>
    </row>
    <row r="23" spans="1:9" x14ac:dyDescent="0.2">
      <c r="A23" s="5">
        <f t="shared" si="0"/>
        <v>10</v>
      </c>
      <c r="B23" s="45"/>
      <c r="C23" s="45"/>
      <c r="D23" s="45"/>
      <c r="E23" s="45"/>
      <c r="F23" s="45"/>
      <c r="G23" s="45"/>
      <c r="H23" s="29"/>
      <c r="I23" s="29"/>
    </row>
    <row r="24" spans="1:9" x14ac:dyDescent="0.2">
      <c r="A24" s="5">
        <f t="shared" si="0"/>
        <v>11</v>
      </c>
      <c r="B24" s="45"/>
      <c r="C24" s="45"/>
      <c r="D24" s="45"/>
      <c r="E24" s="45"/>
      <c r="F24" s="45"/>
      <c r="G24" s="45"/>
      <c r="H24" s="29"/>
      <c r="I24" s="29"/>
    </row>
    <row r="25" spans="1:9" x14ac:dyDescent="0.2">
      <c r="A25" s="5">
        <f t="shared" si="0"/>
        <v>12</v>
      </c>
      <c r="B25" s="45"/>
      <c r="C25" s="45"/>
      <c r="D25" s="45"/>
      <c r="E25" s="45"/>
      <c r="F25" s="45"/>
      <c r="G25" s="45"/>
      <c r="H25" s="29"/>
      <c r="I25" s="29"/>
    </row>
    <row r="26" spans="1:9" x14ac:dyDescent="0.2">
      <c r="A26" s="5">
        <f t="shared" si="0"/>
        <v>13</v>
      </c>
      <c r="B26" s="11"/>
      <c r="C26" s="47"/>
      <c r="D26" s="47"/>
      <c r="E26" s="47"/>
      <c r="F26" s="46"/>
      <c r="G26" s="46"/>
      <c r="H26" s="30"/>
      <c r="I26" s="30"/>
    </row>
    <row r="27" spans="1:9" ht="11.5" thickBot="1" x14ac:dyDescent="0.25">
      <c r="A27" s="6">
        <f t="shared" si="0"/>
        <v>14</v>
      </c>
      <c r="B27" s="12"/>
      <c r="C27" s="48"/>
      <c r="D27" s="48"/>
      <c r="E27" s="48"/>
      <c r="F27" s="49"/>
      <c r="G27" s="49"/>
      <c r="H27" s="31"/>
      <c r="I27" s="31"/>
    </row>
    <row r="29" spans="1:9" ht="11.5" thickBot="1" x14ac:dyDescent="0.25">
      <c r="A29" s="4" t="s">
        <v>17</v>
      </c>
    </row>
    <row r="30" spans="1:9" x14ac:dyDescent="0.2">
      <c r="A30" s="26" t="s">
        <v>1</v>
      </c>
      <c r="B30" s="24" t="s">
        <v>18</v>
      </c>
      <c r="C30" s="27" t="s">
        <v>58</v>
      </c>
      <c r="D30" s="27" t="s">
        <v>19</v>
      </c>
      <c r="E30" s="51"/>
      <c r="F30" s="51"/>
      <c r="G30" s="50"/>
    </row>
    <row r="31" spans="1:9" ht="13.5" customHeight="1" x14ac:dyDescent="0.2">
      <c r="A31" s="7">
        <v>1</v>
      </c>
      <c r="B31" s="57"/>
      <c r="C31" s="66"/>
      <c r="D31" s="58"/>
      <c r="E31" s="53"/>
      <c r="F31" s="53"/>
      <c r="G31" s="54"/>
    </row>
    <row r="32" spans="1:9" ht="13.5" customHeight="1" x14ac:dyDescent="0.2">
      <c r="A32" s="7">
        <f ca="1">OFFSET(A32,-1,0)+1</f>
        <v>2</v>
      </c>
      <c r="B32" s="59"/>
      <c r="C32" s="67"/>
      <c r="D32" s="60"/>
      <c r="E32" s="55"/>
      <c r="F32" s="55"/>
      <c r="G32" s="56"/>
    </row>
    <row r="33" spans="1:7" ht="13.5" customHeight="1" x14ac:dyDescent="0.2">
      <c r="A33" s="7">
        <f t="shared" ref="A33:A36" ca="1" si="1">OFFSET(A33,-1,0)+1</f>
        <v>3</v>
      </c>
      <c r="B33" s="59"/>
      <c r="C33" s="67"/>
      <c r="D33" s="60"/>
      <c r="E33" s="55"/>
      <c r="F33" s="55"/>
      <c r="G33" s="56"/>
    </row>
    <row r="34" spans="1:7" ht="13.5" customHeight="1" x14ac:dyDescent="0.2">
      <c r="A34" s="7">
        <f t="shared" ca="1" si="1"/>
        <v>4</v>
      </c>
      <c r="B34" s="59"/>
      <c r="C34" s="67"/>
      <c r="D34" s="60"/>
      <c r="E34" s="55"/>
      <c r="F34" s="55"/>
      <c r="G34" s="56"/>
    </row>
    <row r="35" spans="1:7" ht="13.5" customHeight="1" x14ac:dyDescent="0.2">
      <c r="A35" s="7">
        <f t="shared" ca="1" si="1"/>
        <v>5</v>
      </c>
      <c r="B35" s="59"/>
      <c r="C35" s="67"/>
      <c r="D35" s="60"/>
      <c r="E35" s="55"/>
      <c r="F35" s="55"/>
      <c r="G35" s="56"/>
    </row>
    <row r="36" spans="1:7" ht="14.25" customHeight="1" thickBot="1" x14ac:dyDescent="0.25">
      <c r="A36" s="61">
        <f t="shared" ca="1" si="1"/>
        <v>6</v>
      </c>
      <c r="B36" s="62"/>
      <c r="C36" s="68"/>
      <c r="D36" s="63"/>
      <c r="E36" s="64"/>
      <c r="F36" s="64"/>
      <c r="G36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1">
    <dataValidation type="list" allowBlank="1" showInputMessage="1" showErrorMessage="1" sqref="C31:C36" xr:uid="{4F21056B-A9A1-409D-BB66-7F09DA0F6F73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49C5-38AD-4FE7-A7DA-D73B0D289A91}">
  <sheetPr codeName="Sheet39">
    <pageSetUpPr fitToPage="1"/>
  </sheetPr>
  <dimension ref="A1:I36"/>
  <sheetViews>
    <sheetView showGridLines="0" zoomScale="190" zoomScaleNormal="190" workbookViewId="0">
      <selection activeCell="C11" sqref="C11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1.632812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32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大会アイテム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187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110</v>
      </c>
      <c r="C7" s="94"/>
      <c r="D7" s="94"/>
      <c r="E7" s="94"/>
      <c r="F7" s="94"/>
      <c r="G7" s="95"/>
    </row>
    <row r="8" spans="1:9" x14ac:dyDescent="0.2">
      <c r="B8" s="76" t="s">
        <v>189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大会ID</v>
      </c>
      <c r="C14" s="74" t="str">
        <f>VLOOKUP($I14,ドメイン定義!$D:$J,3,0)&amp;""</f>
        <v>event_id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>222</v>
      </c>
      <c r="H14" s="75" t="s">
        <v>34</v>
      </c>
      <c r="I14" s="75" t="s">
        <v>41</v>
      </c>
    </row>
    <row r="15" spans="1:9" x14ac:dyDescent="0.2">
      <c r="A15" s="5">
        <f t="shared" ref="A15:A27" si="0">ROW()-13</f>
        <v>2</v>
      </c>
      <c r="B15" s="45" t="str">
        <f>VLOOKUP($I15,ドメイン定義!$D:$J,2,0)&amp;""</f>
        <v>大会アイテムID</v>
      </c>
      <c r="C15" s="45" t="str">
        <f>VLOOKUP($I15,ドメイン定義!$D:$J,3,0)&amp;""</f>
        <v>event_item_id</v>
      </c>
      <c r="D15" s="45" t="str">
        <f>VLOOKUP($I15,ドメイン定義!$D:$J,4,0)&amp;""</f>
        <v>varchar(20)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75" t="s">
        <v>34</v>
      </c>
      <c r="I15" s="28" t="s">
        <v>115</v>
      </c>
    </row>
    <row r="16" spans="1:9" x14ac:dyDescent="0.2">
      <c r="A16" s="5">
        <f t="shared" si="0"/>
        <v>3</v>
      </c>
      <c r="B16" s="45" t="str">
        <f>VLOOKUP($I16,ドメイン定義!$D:$J,2,0)&amp;""</f>
        <v>削除フラグ</v>
      </c>
      <c r="C16" s="45" t="str">
        <f>VLOOKUP($I16,ドメイン定義!$D:$J,3,0)&amp;""</f>
        <v>delete_flg</v>
      </c>
      <c r="D16" s="45" t="str">
        <f>VLOOKUP($I16,ドメイン定義!$D:$J,4,0)&amp;""</f>
        <v>varchar(1)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>0：有効、1：論理削除</v>
      </c>
      <c r="H16" s="29"/>
      <c r="I16" s="29" t="s">
        <v>20</v>
      </c>
    </row>
    <row r="17" spans="1:9" x14ac:dyDescent="0.2">
      <c r="A17" s="5">
        <f t="shared" si="0"/>
        <v>4</v>
      </c>
      <c r="B17" s="45" t="str">
        <f>VLOOKUP($I17,ドメイン定義!$D:$J,2,0)&amp;""</f>
        <v>作成者</v>
      </c>
      <c r="C17" s="45" t="str">
        <f>VLOOKUP($I17,ドメイン定義!$D:$J,3,0)&amp;""</f>
        <v>create_user_id</v>
      </c>
      <c r="D17" s="45" t="str">
        <f>VLOOKUP($I17,ドメイン定義!$D:$J,4,0)&amp;""</f>
        <v>varchar(20)</v>
      </c>
      <c r="E17" s="45" t="str">
        <f>VLOOKUP($I17,ドメイン定義!$D:$J,5,0)&amp;""</f>
        <v>NOT NULL</v>
      </c>
      <c r="F17" s="45" t="str">
        <f>VLOOKUP($I17,ドメイン定義!$D:$J,6,0)&amp;""</f>
        <v/>
      </c>
      <c r="G17" s="45" t="str">
        <f>VLOOKUP($I17,ドメイン定義!$D:$J,7,0)&amp;""</f>
        <v/>
      </c>
      <c r="H17" s="29"/>
      <c r="I17" s="29" t="s">
        <v>97</v>
      </c>
    </row>
    <row r="18" spans="1:9" x14ac:dyDescent="0.2">
      <c r="A18" s="5">
        <f t="shared" si="0"/>
        <v>5</v>
      </c>
      <c r="B18" s="45" t="str">
        <f>VLOOKUP($I18,ドメイン定義!$D:$J,2,0)&amp;""</f>
        <v>作成日時</v>
      </c>
      <c r="C18" s="45" t="str">
        <f>VLOOKUP($I18,ドメイン定義!$D:$J,3,0)&amp;""</f>
        <v>create_datetime</v>
      </c>
      <c r="D18" s="45" t="str">
        <f>VLOOKUP($I18,ドメイン定義!$D:$J,4,0)&amp;""</f>
        <v>datetime</v>
      </c>
      <c r="E18" s="45" t="str">
        <f>VLOOKUP($I18,ドメイン定義!$D:$J,5,0)&amp;""</f>
        <v>NOT NULL</v>
      </c>
      <c r="F18" s="45" t="str">
        <f>VLOOKUP($I18,ドメイン定義!$D:$J,6,0)&amp;""</f>
        <v/>
      </c>
      <c r="G18" s="45" t="str">
        <f>VLOOKUP($I18,ドメイン定義!$D:$J,7,0)&amp;""</f>
        <v/>
      </c>
      <c r="H18" s="29"/>
      <c r="I18" s="29" t="s">
        <v>98</v>
      </c>
    </row>
    <row r="19" spans="1:9" x14ac:dyDescent="0.2">
      <c r="A19" s="5">
        <f t="shared" si="0"/>
        <v>6</v>
      </c>
      <c r="B19" s="45" t="str">
        <f>VLOOKUP($I19,ドメイン定義!$D:$J,2,0)&amp;""</f>
        <v>更新者</v>
      </c>
      <c r="C19" s="45" t="str">
        <f>VLOOKUP($I19,ドメイン定義!$D:$J,3,0)&amp;""</f>
        <v>update_user_id</v>
      </c>
      <c r="D19" s="45" t="str">
        <f>VLOOKUP($I19,ドメイン定義!$D:$J,4,0)&amp;""</f>
        <v>varchar(20)</v>
      </c>
      <c r="E19" s="45" t="str">
        <f>VLOOKUP($I19,ドメイン定義!$D:$J,5,0)&amp;""</f>
        <v>NOT NULL</v>
      </c>
      <c r="F19" s="45" t="str">
        <f>VLOOKUP($I19,ドメイン定義!$D:$J,6,0)&amp;""</f>
        <v/>
      </c>
      <c r="G19" s="45" t="str">
        <f>VLOOKUP($I19,ドメイン定義!$D:$J,7,0)&amp;""</f>
        <v/>
      </c>
      <c r="H19" s="29"/>
      <c r="I19" s="29" t="s">
        <v>99</v>
      </c>
    </row>
    <row r="20" spans="1:9" x14ac:dyDescent="0.2">
      <c r="A20" s="5">
        <f t="shared" si="0"/>
        <v>7</v>
      </c>
      <c r="B20" s="45" t="str">
        <f>VLOOKUP($I20,ドメイン定義!$D:$J,2,0)&amp;""</f>
        <v>更新日時</v>
      </c>
      <c r="C20" s="45" t="str">
        <f>VLOOKUP($I20,ドメイン定義!$D:$J,3,0)&amp;""</f>
        <v>update_datetime</v>
      </c>
      <c r="D20" s="45" t="str">
        <f>VLOOKUP($I20,ドメイン定義!$D:$J,4,0)&amp;""</f>
        <v>datetime</v>
      </c>
      <c r="E20" s="45" t="str">
        <f>VLOOKUP($I20,ドメイン定義!$D:$J,5,0)&amp;""</f>
        <v>NOT NULL</v>
      </c>
      <c r="F20" s="45" t="str">
        <f>VLOOKUP($I20,ドメイン定義!$D:$J,6,0)&amp;""</f>
        <v/>
      </c>
      <c r="G20" s="45" t="str">
        <f>VLOOKUP($I20,ドメイン定義!$D:$J,7,0)&amp;""</f>
        <v/>
      </c>
      <c r="H20" s="29"/>
      <c r="I20" s="29" t="s">
        <v>21</v>
      </c>
    </row>
    <row r="21" spans="1:9" x14ac:dyDescent="0.2">
      <c r="A21" s="5">
        <f t="shared" si="0"/>
        <v>8</v>
      </c>
      <c r="B21" s="45"/>
      <c r="C21" s="45"/>
      <c r="D21" s="45"/>
      <c r="E21" s="45"/>
      <c r="F21" s="45"/>
      <c r="G21" s="45"/>
      <c r="H21" s="29"/>
      <c r="I21" s="29"/>
    </row>
    <row r="22" spans="1:9" x14ac:dyDescent="0.2">
      <c r="A22" s="5">
        <f t="shared" si="0"/>
        <v>9</v>
      </c>
      <c r="B22" s="45"/>
      <c r="C22" s="45"/>
      <c r="D22" s="45"/>
      <c r="E22" s="45"/>
      <c r="F22" s="45"/>
      <c r="G22" s="45"/>
      <c r="H22" s="29"/>
      <c r="I22" s="29"/>
    </row>
    <row r="23" spans="1:9" x14ac:dyDescent="0.2">
      <c r="A23" s="5">
        <f t="shared" si="0"/>
        <v>10</v>
      </c>
      <c r="B23" s="45"/>
      <c r="C23" s="45"/>
      <c r="D23" s="45"/>
      <c r="E23" s="45"/>
      <c r="F23" s="45"/>
      <c r="G23" s="45"/>
      <c r="H23" s="29"/>
      <c r="I23" s="29"/>
    </row>
    <row r="24" spans="1:9" x14ac:dyDescent="0.2">
      <c r="A24" s="5">
        <f t="shared" si="0"/>
        <v>11</v>
      </c>
      <c r="B24" s="45"/>
      <c r="C24" s="45"/>
      <c r="D24" s="45"/>
      <c r="E24" s="45"/>
      <c r="F24" s="45"/>
      <c r="G24" s="45"/>
      <c r="H24" s="29"/>
      <c r="I24" s="29"/>
    </row>
    <row r="25" spans="1:9" x14ac:dyDescent="0.2">
      <c r="A25" s="5">
        <f t="shared" si="0"/>
        <v>12</v>
      </c>
      <c r="B25" s="45"/>
      <c r="C25" s="45"/>
      <c r="D25" s="45"/>
      <c r="E25" s="45"/>
      <c r="F25" s="45"/>
      <c r="G25" s="45"/>
      <c r="H25" s="29"/>
      <c r="I25" s="29"/>
    </row>
    <row r="26" spans="1:9" x14ac:dyDescent="0.2">
      <c r="A26" s="5">
        <f t="shared" si="0"/>
        <v>13</v>
      </c>
      <c r="B26" s="11"/>
      <c r="C26" s="47"/>
      <c r="D26" s="47"/>
      <c r="E26" s="47"/>
      <c r="F26" s="46"/>
      <c r="G26" s="46"/>
      <c r="H26" s="30"/>
      <c r="I26" s="30"/>
    </row>
    <row r="27" spans="1:9" ht="11.5" thickBot="1" x14ac:dyDescent="0.25">
      <c r="A27" s="6">
        <f t="shared" si="0"/>
        <v>14</v>
      </c>
      <c r="B27" s="12"/>
      <c r="C27" s="48"/>
      <c r="D27" s="48"/>
      <c r="E27" s="48"/>
      <c r="F27" s="49"/>
      <c r="G27" s="49"/>
      <c r="H27" s="31"/>
      <c r="I27" s="31"/>
    </row>
    <row r="29" spans="1:9" ht="11.5" thickBot="1" x14ac:dyDescent="0.25">
      <c r="A29" s="4" t="s">
        <v>17</v>
      </c>
    </row>
    <row r="30" spans="1:9" x14ac:dyDescent="0.2">
      <c r="A30" s="26" t="s">
        <v>1</v>
      </c>
      <c r="B30" s="24" t="s">
        <v>18</v>
      </c>
      <c r="C30" s="27" t="s">
        <v>58</v>
      </c>
      <c r="D30" s="27" t="s">
        <v>19</v>
      </c>
      <c r="E30" s="51"/>
      <c r="F30" s="51"/>
      <c r="G30" s="50"/>
    </row>
    <row r="31" spans="1:9" ht="13.5" customHeight="1" x14ac:dyDescent="0.2">
      <c r="A31" s="7">
        <v>1</v>
      </c>
      <c r="B31" s="57"/>
      <c r="C31" s="66"/>
      <c r="D31" s="58"/>
      <c r="E31" s="53"/>
      <c r="F31" s="53"/>
      <c r="G31" s="54"/>
    </row>
    <row r="32" spans="1:9" ht="13.5" customHeight="1" x14ac:dyDescent="0.2">
      <c r="A32" s="7">
        <f ca="1">OFFSET(A32,-1,0)+1</f>
        <v>2</v>
      </c>
      <c r="B32" s="59"/>
      <c r="C32" s="67"/>
      <c r="D32" s="60"/>
      <c r="E32" s="55"/>
      <c r="F32" s="55"/>
      <c r="G32" s="56"/>
    </row>
    <row r="33" spans="1:7" ht="13.5" customHeight="1" x14ac:dyDescent="0.2">
      <c r="A33" s="7">
        <f t="shared" ref="A33:A36" ca="1" si="1">OFFSET(A33,-1,0)+1</f>
        <v>3</v>
      </c>
      <c r="B33" s="59"/>
      <c r="C33" s="67"/>
      <c r="D33" s="60"/>
      <c r="E33" s="55"/>
      <c r="F33" s="55"/>
      <c r="G33" s="56"/>
    </row>
    <row r="34" spans="1:7" ht="13.5" customHeight="1" x14ac:dyDescent="0.2">
      <c r="A34" s="7">
        <f t="shared" ca="1" si="1"/>
        <v>4</v>
      </c>
      <c r="B34" s="59"/>
      <c r="C34" s="67"/>
      <c r="D34" s="60"/>
      <c r="E34" s="55"/>
      <c r="F34" s="55"/>
      <c r="G34" s="56"/>
    </row>
    <row r="35" spans="1:7" ht="13.5" customHeight="1" x14ac:dyDescent="0.2">
      <c r="A35" s="7">
        <f t="shared" ca="1" si="1"/>
        <v>5</v>
      </c>
      <c r="B35" s="59"/>
      <c r="C35" s="67"/>
      <c r="D35" s="60"/>
      <c r="E35" s="55"/>
      <c r="F35" s="55"/>
      <c r="G35" s="56"/>
    </row>
    <row r="36" spans="1:7" ht="14.25" customHeight="1" thickBot="1" x14ac:dyDescent="0.25">
      <c r="A36" s="61">
        <f t="shared" ca="1" si="1"/>
        <v>6</v>
      </c>
      <c r="B36" s="62"/>
      <c r="C36" s="68"/>
      <c r="D36" s="63"/>
      <c r="E36" s="64"/>
      <c r="F36" s="64"/>
      <c r="G36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1">
    <dataValidation type="list" allowBlank="1" showInputMessage="1" showErrorMessage="1" sqref="C31:C36" xr:uid="{F0B584EB-0E62-41AA-AB4B-739B76C19AC0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F303-211F-41F1-B987-3CA0EC42167F}">
  <sheetPr codeName="Sheet40">
    <pageSetUpPr fitToPage="1"/>
  </sheetPr>
  <dimension ref="A1:I37"/>
  <sheetViews>
    <sheetView showGridLines="0" topLeftCell="A16" zoomScale="190" zoomScaleNormal="190" workbookViewId="0">
      <selection activeCell="C20" sqref="C20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2.632812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32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参加申込み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131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110</v>
      </c>
      <c r="C7" s="94"/>
      <c r="D7" s="94"/>
      <c r="E7" s="94"/>
      <c r="F7" s="94"/>
      <c r="G7" s="95"/>
    </row>
    <row r="8" spans="1:9" x14ac:dyDescent="0.2">
      <c r="B8" s="76" t="s">
        <v>133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大会ID</v>
      </c>
      <c r="C14" s="74" t="str">
        <f>VLOOKUP($I14,ドメイン定義!$D:$J,3,0)&amp;""</f>
        <v>event_id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>222</v>
      </c>
      <c r="H14" s="75" t="s">
        <v>34</v>
      </c>
      <c r="I14" s="75" t="s">
        <v>41</v>
      </c>
    </row>
    <row r="15" spans="1:9" x14ac:dyDescent="0.2">
      <c r="A15" s="5">
        <f t="shared" ref="A15:A28" si="0">ROW()-13</f>
        <v>2</v>
      </c>
      <c r="B15" s="45" t="str">
        <f>VLOOKUP($I15,ドメイン定義!$D:$J,2,0)&amp;""</f>
        <v>会員ID</v>
      </c>
      <c r="C15" s="45" t="str">
        <f>VLOOKUP($I15,ドメイン定義!$D:$J,3,0)&amp;""</f>
        <v>user_id</v>
      </c>
      <c r="D15" s="45" t="str">
        <f>VLOOKUP($I15,ドメイン定義!$D:$J,4,0)&amp;""</f>
        <v>varchar(20)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75" t="s">
        <v>34</v>
      </c>
      <c r="I15" s="28" t="s">
        <v>116</v>
      </c>
    </row>
    <row r="16" spans="1:9" x14ac:dyDescent="0.2">
      <c r="A16" s="5">
        <f t="shared" si="0"/>
        <v>3</v>
      </c>
      <c r="B16" s="45" t="str">
        <f>VLOOKUP($I16,ドメイン定義!$D:$J,2,0)&amp;""</f>
        <v>エントリ枠ID</v>
      </c>
      <c r="C16" s="45" t="str">
        <f>VLOOKUP($I16,ドメイン定義!$D:$J,3,0)&amp;""</f>
        <v>entry_frame_id</v>
      </c>
      <c r="D16" s="45" t="str">
        <f>VLOOKUP($I16,ドメイン定義!$D:$J,4,0)&amp;""</f>
        <v>varchar(20)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/>
      </c>
      <c r="H16" s="29"/>
      <c r="I16" s="29" t="s">
        <v>83</v>
      </c>
    </row>
    <row r="17" spans="1:9" ht="33" x14ac:dyDescent="0.2">
      <c r="A17" s="5">
        <f t="shared" si="0"/>
        <v>4</v>
      </c>
      <c r="B17" s="45" t="str">
        <f>VLOOKUP($I17,ドメイン定義!$D:$J,2,0)&amp;""</f>
        <v>会員申込み状態</v>
      </c>
      <c r="C17" s="45" t="str">
        <f>VLOOKUP($I17,ドメイン定義!$D:$J,3,0)&amp;""</f>
        <v>user_entry_status</v>
      </c>
      <c r="D17" s="45" t="str">
        <f>VLOOKUP($I17,ドメイン定義!$D:$J,4,0)&amp;""</f>
        <v>varchar(1)</v>
      </c>
      <c r="E17" s="45" t="str">
        <f>VLOOKUP($I17,ドメイン定義!$D:$J,5,0)&amp;""</f>
        <v>NOT NULL</v>
      </c>
      <c r="F17" s="45" t="str">
        <f>VLOOKUP($I17,ドメイン定義!$D:$J,6,0)&amp;""</f>
        <v/>
      </c>
      <c r="G17" s="45" t="str">
        <f>VLOOKUP($I17,ドメイン定義!$D:$J,7,0)&amp;""</f>
        <v>1：申し込み済み、2：抽選中、3：参加確定(未払い)、4：参加確定(支払済)、5：落選、9：キャンセル</v>
      </c>
      <c r="H17" s="29"/>
      <c r="I17" s="29" t="s">
        <v>121</v>
      </c>
    </row>
    <row r="18" spans="1:9" x14ac:dyDescent="0.2">
      <c r="A18" s="5">
        <f t="shared" si="0"/>
        <v>5</v>
      </c>
      <c r="B18" s="45" t="str">
        <f>VLOOKUP($I18,ドメイン定義!$D:$J,2,0)&amp;""</f>
        <v>支払い年月日</v>
      </c>
      <c r="C18" s="45" t="str">
        <f>VLOOKUP($I18,ドメイン定義!$D:$J,3,0)&amp;""</f>
        <v>payment_date</v>
      </c>
      <c r="D18" s="45" t="str">
        <f>VLOOKUP($I18,ドメイン定義!$D:$J,4,0)&amp;""</f>
        <v>date</v>
      </c>
      <c r="E18" s="45" t="str">
        <f>VLOOKUP($I18,ドメイン定義!$D:$J,5,0)&amp;""</f>
        <v/>
      </c>
      <c r="F18" s="45" t="str">
        <f>VLOOKUP($I18,ドメイン定義!$D:$J,6,0)&amp;""</f>
        <v/>
      </c>
      <c r="G18" s="45" t="str">
        <f>VLOOKUP($I18,ドメイン定義!$D:$J,7,0)&amp;""</f>
        <v/>
      </c>
      <c r="H18" s="29"/>
      <c r="I18" s="29" t="s">
        <v>123</v>
      </c>
    </row>
    <row r="19" spans="1:9" x14ac:dyDescent="0.2">
      <c r="A19" s="5">
        <f t="shared" si="0"/>
        <v>6</v>
      </c>
      <c r="B19" s="45" t="str">
        <f>VLOOKUP($I19,ドメイン定義!$D:$J,2,0)&amp;""</f>
        <v>支払金額</v>
      </c>
      <c r="C19" s="45" t="str">
        <f>VLOOKUP($I19,ドメイン定義!$D:$J,3,0)&amp;""</f>
        <v>payment_amount</v>
      </c>
      <c r="D19" s="45" t="str">
        <f>VLOOKUP($I19,ドメイン定義!$D:$J,4,0)&amp;""</f>
        <v>int(7)</v>
      </c>
      <c r="E19" s="45" t="str">
        <f>VLOOKUP($I19,ドメイン定義!$D:$J,5,0)&amp;""</f>
        <v/>
      </c>
      <c r="F19" s="45" t="str">
        <f>VLOOKUP($I19,ドメイン定義!$D:$J,6,0)&amp;""</f>
        <v/>
      </c>
      <c r="G19" s="45" t="str">
        <f>VLOOKUP($I19,ドメイン定義!$D:$J,7,0)&amp;""</f>
        <v/>
      </c>
      <c r="H19" s="29"/>
      <c r="I19" s="29" t="s">
        <v>126</v>
      </c>
    </row>
    <row r="20" spans="1:9" ht="22" x14ac:dyDescent="0.2">
      <c r="A20" s="5">
        <f t="shared" si="0"/>
        <v>7</v>
      </c>
      <c r="B20" s="45" t="str">
        <f>VLOOKUP($I20,ドメイン定義!$D:$J,2,0)&amp;""</f>
        <v>支払確認年月日</v>
      </c>
      <c r="C20" s="45" t="str">
        <f>VLOOKUP($I20,ドメイン定義!$D:$J,3,0)&amp;""</f>
        <v>payment_confirm_date</v>
      </c>
      <c r="D20" s="45" t="str">
        <f>VLOOKUP($I20,ドメイン定義!$D:$J,4,0)&amp;""</f>
        <v>date</v>
      </c>
      <c r="E20" s="45" t="str">
        <f>VLOOKUP($I20,ドメイン定義!$D:$J,5,0)&amp;""</f>
        <v/>
      </c>
      <c r="F20" s="45" t="str">
        <f>VLOOKUP($I20,ドメイン定義!$D:$J,6,0)&amp;""</f>
        <v/>
      </c>
      <c r="G20" s="45" t="str">
        <f>VLOOKUP($I20,ドメイン定義!$D:$J,7,0)&amp;""</f>
        <v/>
      </c>
      <c r="H20" s="29"/>
      <c r="I20" s="29" t="s">
        <v>158</v>
      </c>
    </row>
    <row r="21" spans="1:9" x14ac:dyDescent="0.2">
      <c r="A21" s="5">
        <f t="shared" si="0"/>
        <v>8</v>
      </c>
      <c r="B21" s="45" t="str">
        <f>VLOOKUP($I21,ドメイン定義!$D:$J,2,0)&amp;""</f>
        <v>ポイント付与有無</v>
      </c>
      <c r="C21" s="45" t="str">
        <f>VLOOKUP($I21,ドメイン定義!$D:$J,3,0)&amp;""</f>
        <v>point_granted_flg</v>
      </c>
      <c r="D21" s="45" t="str">
        <f>VLOOKUP($I21,ドメイン定義!$D:$J,4,0)&amp;""</f>
        <v>varchar(1)</v>
      </c>
      <c r="E21" s="45" t="str">
        <f>VLOOKUP($I21,ドメイン定義!$D:$J,5,0)&amp;""</f>
        <v>NOT NULL</v>
      </c>
      <c r="F21" s="45" t="str">
        <f>VLOOKUP($I21,ドメイン定義!$D:$J,6,0)&amp;""</f>
        <v/>
      </c>
      <c r="G21" s="45" t="str">
        <f>VLOOKUP($I21,ドメイン定義!$D:$J,7,0)&amp;""</f>
        <v>0：ポイント計算前、1：ポイント計算済み</v>
      </c>
      <c r="H21" s="29"/>
      <c r="I21" s="29" t="s">
        <v>125</v>
      </c>
    </row>
    <row r="22" spans="1:9" x14ac:dyDescent="0.2">
      <c r="A22" s="5">
        <f t="shared" si="0"/>
        <v>9</v>
      </c>
      <c r="B22" s="45" t="str">
        <f>VLOOKUP($I22,ドメイン定義!$D:$J,2,0)&amp;""</f>
        <v>削除フラグ</v>
      </c>
      <c r="C22" s="45" t="str">
        <f>VLOOKUP($I22,ドメイン定義!$D:$J,3,0)&amp;""</f>
        <v>delete_flg</v>
      </c>
      <c r="D22" s="45" t="str">
        <f>VLOOKUP($I22,ドメイン定義!$D:$J,4,0)&amp;""</f>
        <v>varchar(1)</v>
      </c>
      <c r="E22" s="45" t="str">
        <f>VLOOKUP($I22,ドメイン定義!$D:$J,5,0)&amp;""</f>
        <v>NOT NULL</v>
      </c>
      <c r="F22" s="45" t="str">
        <f>VLOOKUP($I22,ドメイン定義!$D:$J,6,0)&amp;""</f>
        <v/>
      </c>
      <c r="G22" s="45" t="str">
        <f>VLOOKUP($I22,ドメイン定義!$D:$J,7,0)&amp;""</f>
        <v>0：有効、1：論理削除</v>
      </c>
      <c r="H22" s="29"/>
      <c r="I22" s="29" t="s">
        <v>20</v>
      </c>
    </row>
    <row r="23" spans="1:9" x14ac:dyDescent="0.2">
      <c r="A23" s="5">
        <f t="shared" si="0"/>
        <v>10</v>
      </c>
      <c r="B23" s="45" t="str">
        <f>VLOOKUP($I23,ドメイン定義!$D:$J,2,0)&amp;""</f>
        <v>作成者</v>
      </c>
      <c r="C23" s="45" t="str">
        <f>VLOOKUP($I23,ドメイン定義!$D:$J,3,0)&amp;""</f>
        <v>create_user_id</v>
      </c>
      <c r="D23" s="45" t="str">
        <f>VLOOKUP($I23,ドメイン定義!$D:$J,4,0)&amp;""</f>
        <v>varchar(20)</v>
      </c>
      <c r="E23" s="45" t="str">
        <f>VLOOKUP($I23,ドメイン定義!$D:$J,5,0)&amp;""</f>
        <v>NOT NULL</v>
      </c>
      <c r="F23" s="45" t="str">
        <f>VLOOKUP($I23,ドメイン定義!$D:$J,6,0)&amp;""</f>
        <v/>
      </c>
      <c r="G23" s="45" t="str">
        <f>VLOOKUP($I23,ドメイン定義!$D:$J,7,0)&amp;""</f>
        <v/>
      </c>
      <c r="H23" s="29"/>
      <c r="I23" s="29" t="s">
        <v>97</v>
      </c>
    </row>
    <row r="24" spans="1:9" x14ac:dyDescent="0.2">
      <c r="A24" s="5">
        <f t="shared" si="0"/>
        <v>11</v>
      </c>
      <c r="B24" s="45" t="str">
        <f>VLOOKUP($I24,ドメイン定義!$D:$J,2,0)&amp;""</f>
        <v>作成日時</v>
      </c>
      <c r="C24" s="45" t="str">
        <f>VLOOKUP($I24,ドメイン定義!$D:$J,3,0)&amp;""</f>
        <v>create_datetime</v>
      </c>
      <c r="D24" s="45" t="str">
        <f>VLOOKUP($I24,ドメイン定義!$D:$J,4,0)&amp;""</f>
        <v>datetime</v>
      </c>
      <c r="E24" s="45" t="str">
        <f>VLOOKUP($I24,ドメイン定義!$D:$J,5,0)&amp;""</f>
        <v>NOT NULL</v>
      </c>
      <c r="F24" s="45" t="str">
        <f>VLOOKUP($I24,ドメイン定義!$D:$J,6,0)&amp;""</f>
        <v/>
      </c>
      <c r="G24" s="45" t="str">
        <f>VLOOKUP($I24,ドメイン定義!$D:$J,7,0)&amp;""</f>
        <v/>
      </c>
      <c r="H24" s="29"/>
      <c r="I24" s="29" t="s">
        <v>98</v>
      </c>
    </row>
    <row r="25" spans="1:9" x14ac:dyDescent="0.2">
      <c r="A25" s="5">
        <f t="shared" si="0"/>
        <v>12</v>
      </c>
      <c r="B25" s="45" t="str">
        <f>VLOOKUP($I25,ドメイン定義!$D:$J,2,0)&amp;""</f>
        <v>更新者</v>
      </c>
      <c r="C25" s="45" t="str">
        <f>VLOOKUP($I25,ドメイン定義!$D:$J,3,0)&amp;""</f>
        <v>update_user_id</v>
      </c>
      <c r="D25" s="45" t="str">
        <f>VLOOKUP($I25,ドメイン定義!$D:$J,4,0)&amp;""</f>
        <v>varchar(20)</v>
      </c>
      <c r="E25" s="45" t="str">
        <f>VLOOKUP($I25,ドメイン定義!$D:$J,5,0)&amp;""</f>
        <v>NOT NULL</v>
      </c>
      <c r="F25" s="45" t="str">
        <f>VLOOKUP($I25,ドメイン定義!$D:$J,6,0)&amp;""</f>
        <v/>
      </c>
      <c r="G25" s="45" t="str">
        <f>VLOOKUP($I25,ドメイン定義!$D:$J,7,0)&amp;""</f>
        <v/>
      </c>
      <c r="H25" s="29"/>
      <c r="I25" s="29" t="s">
        <v>99</v>
      </c>
    </row>
    <row r="26" spans="1:9" x14ac:dyDescent="0.2">
      <c r="A26" s="5">
        <f t="shared" si="0"/>
        <v>13</v>
      </c>
      <c r="B26" s="45" t="str">
        <f>VLOOKUP($I26,ドメイン定義!$D:$J,2,0)&amp;""</f>
        <v>更新日時</v>
      </c>
      <c r="C26" s="45" t="str">
        <f>VLOOKUP($I26,ドメイン定義!$D:$J,3,0)&amp;""</f>
        <v>update_datetime</v>
      </c>
      <c r="D26" s="45" t="str">
        <f>VLOOKUP($I26,ドメイン定義!$D:$J,4,0)&amp;""</f>
        <v>datetime</v>
      </c>
      <c r="E26" s="45" t="str">
        <f>VLOOKUP($I26,ドメイン定義!$D:$J,5,0)&amp;""</f>
        <v>NOT NULL</v>
      </c>
      <c r="F26" s="45" t="str">
        <f>VLOOKUP($I26,ドメイン定義!$D:$J,6,0)&amp;""</f>
        <v/>
      </c>
      <c r="G26" s="45" t="str">
        <f>VLOOKUP($I26,ドメイン定義!$D:$J,7,0)&amp;""</f>
        <v/>
      </c>
      <c r="H26" s="29"/>
      <c r="I26" s="29" t="s">
        <v>21</v>
      </c>
    </row>
    <row r="27" spans="1:9" x14ac:dyDescent="0.2">
      <c r="A27" s="5">
        <f t="shared" si="0"/>
        <v>14</v>
      </c>
      <c r="B27" s="11"/>
      <c r="C27" s="47"/>
      <c r="D27" s="47"/>
      <c r="E27" s="47"/>
      <c r="F27" s="46"/>
      <c r="G27" s="46"/>
      <c r="H27" s="30"/>
      <c r="I27" s="30"/>
    </row>
    <row r="28" spans="1:9" ht="11.5" thickBot="1" x14ac:dyDescent="0.25">
      <c r="A28" s="6">
        <f t="shared" si="0"/>
        <v>15</v>
      </c>
      <c r="B28" s="12"/>
      <c r="C28" s="48"/>
      <c r="D28" s="48"/>
      <c r="E28" s="48"/>
      <c r="F28" s="49"/>
      <c r="G28" s="49"/>
      <c r="H28" s="31"/>
      <c r="I28" s="31"/>
    </row>
    <row r="30" spans="1:9" ht="11.5" thickBot="1" x14ac:dyDescent="0.25">
      <c r="A30" s="4" t="s">
        <v>17</v>
      </c>
    </row>
    <row r="31" spans="1:9" x14ac:dyDescent="0.2">
      <c r="A31" s="26" t="s">
        <v>1</v>
      </c>
      <c r="B31" s="24" t="s">
        <v>18</v>
      </c>
      <c r="C31" s="27" t="s">
        <v>58</v>
      </c>
      <c r="D31" s="27" t="s">
        <v>19</v>
      </c>
      <c r="E31" s="51"/>
      <c r="F31" s="51"/>
      <c r="G31" s="50"/>
    </row>
    <row r="32" spans="1:9" ht="13.5" customHeight="1" x14ac:dyDescent="0.2">
      <c r="A32" s="7">
        <v>1</v>
      </c>
      <c r="B32" s="57" t="str">
        <f>$C$6&amp;"_IX_"&amp;RIGHT("00"&amp;A32,2)</f>
        <v>t_event_entry_user_IX_01</v>
      </c>
      <c r="C32" s="66"/>
      <c r="D32" s="58" t="str">
        <f>C21&amp;","&amp;C18</f>
        <v>point_granted_flg,payment_date</v>
      </c>
      <c r="E32" s="53"/>
      <c r="F32" s="53"/>
      <c r="G32" s="54"/>
    </row>
    <row r="33" spans="1:7" ht="13.5" customHeight="1" x14ac:dyDescent="0.2">
      <c r="A33" s="7">
        <f ca="1">OFFSET(A33,-1,0)+1</f>
        <v>2</v>
      </c>
      <c r="B33" s="59"/>
      <c r="C33" s="67"/>
      <c r="D33" s="60"/>
      <c r="E33" s="55"/>
      <c r="F33" s="55"/>
      <c r="G33" s="56"/>
    </row>
    <row r="34" spans="1:7" ht="13.5" customHeight="1" x14ac:dyDescent="0.2">
      <c r="A34" s="7">
        <f t="shared" ref="A34:A37" ca="1" si="1">OFFSET(A34,-1,0)+1</f>
        <v>3</v>
      </c>
      <c r="B34" s="59"/>
      <c r="C34" s="67"/>
      <c r="D34" s="60"/>
      <c r="E34" s="55"/>
      <c r="F34" s="55"/>
      <c r="G34" s="56"/>
    </row>
    <row r="35" spans="1:7" ht="13.5" customHeight="1" x14ac:dyDescent="0.2">
      <c r="A35" s="7">
        <f t="shared" ca="1" si="1"/>
        <v>4</v>
      </c>
      <c r="B35" s="59"/>
      <c r="C35" s="67"/>
      <c r="D35" s="60"/>
      <c r="E35" s="55"/>
      <c r="F35" s="55"/>
      <c r="G35" s="56"/>
    </row>
    <row r="36" spans="1:7" ht="13.5" customHeight="1" x14ac:dyDescent="0.2">
      <c r="A36" s="7">
        <f t="shared" ca="1" si="1"/>
        <v>5</v>
      </c>
      <c r="B36" s="59"/>
      <c r="C36" s="67"/>
      <c r="D36" s="60"/>
      <c r="E36" s="55"/>
      <c r="F36" s="55"/>
      <c r="G36" s="56"/>
    </row>
    <row r="37" spans="1:7" ht="14.25" customHeight="1" thickBot="1" x14ac:dyDescent="0.25">
      <c r="A37" s="61">
        <f t="shared" ca="1" si="1"/>
        <v>6</v>
      </c>
      <c r="B37" s="62"/>
      <c r="C37" s="68"/>
      <c r="D37" s="63"/>
      <c r="E37" s="64"/>
      <c r="F37" s="64"/>
      <c r="G37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1">
    <dataValidation type="list" allowBlank="1" showInputMessage="1" showErrorMessage="1" sqref="C32:C37" xr:uid="{109D4546-D597-45BE-89E4-B7C86F4BC9F9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64F22-00DA-4969-82F7-B9879C07F77E}">
  <sheetPr codeName="Sheet41">
    <pageSetUpPr fitToPage="1"/>
  </sheetPr>
  <dimension ref="A1:I36"/>
  <sheetViews>
    <sheetView showGridLines="0" tabSelected="1" zoomScale="190" zoomScaleNormal="190" workbookViewId="0">
      <selection activeCell="A4" sqref="A4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2.632812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32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会員マスタ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143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110</v>
      </c>
      <c r="C7" s="94"/>
      <c r="D7" s="94"/>
      <c r="E7" s="94"/>
      <c r="F7" s="94"/>
      <c r="G7" s="95"/>
    </row>
    <row r="8" spans="1:9" x14ac:dyDescent="0.2">
      <c r="B8" s="76" t="s">
        <v>145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会員ID</v>
      </c>
      <c r="C14" s="74" t="str">
        <f>VLOOKUP($I14,ドメイン定義!$D:$J,3,0)&amp;""</f>
        <v>user_id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/>
      </c>
      <c r="H14" s="75" t="s">
        <v>34</v>
      </c>
      <c r="I14" s="75" t="s">
        <v>116</v>
      </c>
    </row>
    <row r="15" spans="1:9" x14ac:dyDescent="0.2">
      <c r="A15" s="5">
        <f t="shared" ref="A15:A27" si="0">ROW()-13</f>
        <v>2</v>
      </c>
      <c r="B15" s="45" t="str">
        <f>VLOOKUP($I15,ドメイン定義!$D:$J,2,0)&amp;""</f>
        <v>会員名</v>
      </c>
      <c r="C15" s="45" t="str">
        <f>VLOOKUP($I15,ドメイン定義!$D:$J,3,0)&amp;""</f>
        <v>user_name</v>
      </c>
      <c r="D15" s="45" t="str">
        <f>VLOOKUP($I15,ドメイン定義!$D:$J,4,0)&amp;""</f>
        <v>varchar(50)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75"/>
      <c r="I15" s="28" t="s">
        <v>118</v>
      </c>
    </row>
    <row r="16" spans="1:9" x14ac:dyDescent="0.2">
      <c r="A16" s="5">
        <f t="shared" si="0"/>
        <v>3</v>
      </c>
      <c r="B16" s="45" t="str">
        <f>VLOOKUP($I16,ドメイン定義!$D:$J,2,0)&amp;""</f>
        <v>性別</v>
      </c>
      <c r="C16" s="45" t="str">
        <f>VLOOKUP($I16,ドメイン定義!$D:$J,3,0)&amp;""</f>
        <v>gender</v>
      </c>
      <c r="D16" s="45" t="str">
        <f>VLOOKUP($I16,ドメイン定義!$D:$J,4,0)&amp;""</f>
        <v>varchar(1)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>0：不明、1：男性、2：女性、9：適用不能</v>
      </c>
      <c r="H16" s="29"/>
      <c r="I16" s="29" t="s">
        <v>134</v>
      </c>
    </row>
    <row r="17" spans="1:9" x14ac:dyDescent="0.2">
      <c r="A17" s="5">
        <f t="shared" si="0"/>
        <v>4</v>
      </c>
      <c r="B17" s="45" t="str">
        <f>VLOOKUP($I17,ドメイン定義!$D:$J,2,0)&amp;""</f>
        <v>生年月日</v>
      </c>
      <c r="C17" s="45" t="str">
        <f>VLOOKUP($I17,ドメイン定義!$D:$J,3,0)&amp;""</f>
        <v>birthday</v>
      </c>
      <c r="D17" s="45" t="str">
        <f>VLOOKUP($I17,ドメイン定義!$D:$J,4,0)&amp;""</f>
        <v>date</v>
      </c>
      <c r="E17" s="45" t="str">
        <f>VLOOKUP($I17,ドメイン定義!$D:$J,5,0)&amp;""</f>
        <v/>
      </c>
      <c r="F17" s="45" t="str">
        <f>VLOOKUP($I17,ドメイン定義!$D:$J,6,0)&amp;""</f>
        <v/>
      </c>
      <c r="G17" s="45" t="str">
        <f>VLOOKUP($I17,ドメイン定義!$D:$J,7,0)&amp;""</f>
        <v/>
      </c>
      <c r="H17" s="29"/>
      <c r="I17" s="29" t="s">
        <v>138</v>
      </c>
    </row>
    <row r="18" spans="1:9" x14ac:dyDescent="0.2">
      <c r="A18" s="5">
        <f t="shared" si="0"/>
        <v>5</v>
      </c>
      <c r="B18" s="45" t="str">
        <f>VLOOKUP($I18,ドメイン定義!$D:$J,2,0)&amp;""</f>
        <v>メールアドレス</v>
      </c>
      <c r="C18" s="45" t="str">
        <f>VLOOKUP($I18,ドメイン定義!$D:$J,3,0)&amp;""</f>
        <v>mail_address</v>
      </c>
      <c r="D18" s="45" t="str">
        <f>VLOOKUP($I18,ドメイン定義!$D:$J,4,0)&amp;""</f>
        <v>varchar(100)</v>
      </c>
      <c r="E18" s="45" t="str">
        <f>VLOOKUP($I18,ドメイン定義!$D:$J,5,0)&amp;""</f>
        <v>NOT NULL</v>
      </c>
      <c r="F18" s="45" t="str">
        <f>VLOOKUP($I18,ドメイン定義!$D:$J,6,0)&amp;""</f>
        <v/>
      </c>
      <c r="G18" s="45" t="str">
        <f>VLOOKUP($I18,ドメイン定義!$D:$J,7,0)&amp;""</f>
        <v/>
      </c>
      <c r="H18" s="29"/>
      <c r="I18" s="29" t="s">
        <v>74</v>
      </c>
    </row>
    <row r="19" spans="1:9" x14ac:dyDescent="0.2">
      <c r="A19" s="5">
        <f t="shared" si="0"/>
        <v>6</v>
      </c>
      <c r="B19" s="45" t="str">
        <f>VLOOKUP($I19,ドメイン定義!$D:$J,2,0)&amp;""</f>
        <v>削除フラグ</v>
      </c>
      <c r="C19" s="45" t="str">
        <f>VLOOKUP($I19,ドメイン定義!$D:$J,3,0)&amp;""</f>
        <v>delete_flg</v>
      </c>
      <c r="D19" s="45" t="str">
        <f>VLOOKUP($I19,ドメイン定義!$D:$J,4,0)&amp;""</f>
        <v>varchar(1)</v>
      </c>
      <c r="E19" s="45" t="str">
        <f>VLOOKUP($I19,ドメイン定義!$D:$J,5,0)&amp;""</f>
        <v>NOT NULL</v>
      </c>
      <c r="F19" s="45" t="str">
        <f>VLOOKUP($I19,ドメイン定義!$D:$J,6,0)&amp;""</f>
        <v/>
      </c>
      <c r="G19" s="45" t="str">
        <f>VLOOKUP($I19,ドメイン定義!$D:$J,7,0)&amp;""</f>
        <v>0：有効、1：論理削除</v>
      </c>
      <c r="H19" s="29"/>
      <c r="I19" s="29" t="s">
        <v>20</v>
      </c>
    </row>
    <row r="20" spans="1:9" x14ac:dyDescent="0.2">
      <c r="A20" s="5">
        <f t="shared" si="0"/>
        <v>7</v>
      </c>
      <c r="B20" s="45" t="str">
        <f>VLOOKUP($I20,ドメイン定義!$D:$J,2,0)&amp;""</f>
        <v>作成者</v>
      </c>
      <c r="C20" s="45" t="str">
        <f>VLOOKUP($I20,ドメイン定義!$D:$J,3,0)&amp;""</f>
        <v>create_user_id</v>
      </c>
      <c r="D20" s="45" t="str">
        <f>VLOOKUP($I20,ドメイン定義!$D:$J,4,0)&amp;""</f>
        <v>varchar(20)</v>
      </c>
      <c r="E20" s="45" t="str">
        <f>VLOOKUP($I20,ドメイン定義!$D:$J,5,0)&amp;""</f>
        <v>NOT NULL</v>
      </c>
      <c r="F20" s="45" t="str">
        <f>VLOOKUP($I20,ドメイン定義!$D:$J,6,0)&amp;""</f>
        <v/>
      </c>
      <c r="G20" s="45" t="str">
        <f>VLOOKUP($I20,ドメイン定義!$D:$J,7,0)&amp;""</f>
        <v/>
      </c>
      <c r="H20" s="29"/>
      <c r="I20" s="29" t="s">
        <v>97</v>
      </c>
    </row>
    <row r="21" spans="1:9" x14ac:dyDescent="0.2">
      <c r="A21" s="5">
        <f t="shared" si="0"/>
        <v>8</v>
      </c>
      <c r="B21" s="45" t="str">
        <f>VLOOKUP($I21,ドメイン定義!$D:$J,2,0)&amp;""</f>
        <v>作成日時</v>
      </c>
      <c r="C21" s="45" t="str">
        <f>VLOOKUP($I21,ドメイン定義!$D:$J,3,0)&amp;""</f>
        <v>create_datetime</v>
      </c>
      <c r="D21" s="45" t="str">
        <f>VLOOKUP($I21,ドメイン定義!$D:$J,4,0)&amp;""</f>
        <v>datetime</v>
      </c>
      <c r="E21" s="45" t="str">
        <f>VLOOKUP($I21,ドメイン定義!$D:$J,5,0)&amp;""</f>
        <v>NOT NULL</v>
      </c>
      <c r="F21" s="45" t="str">
        <f>VLOOKUP($I21,ドメイン定義!$D:$J,6,0)&amp;""</f>
        <v/>
      </c>
      <c r="G21" s="45" t="str">
        <f>VLOOKUP($I21,ドメイン定義!$D:$J,7,0)&amp;""</f>
        <v/>
      </c>
      <c r="H21" s="29"/>
      <c r="I21" s="29" t="s">
        <v>98</v>
      </c>
    </row>
    <row r="22" spans="1:9" x14ac:dyDescent="0.2">
      <c r="A22" s="5">
        <f t="shared" si="0"/>
        <v>9</v>
      </c>
      <c r="B22" s="45" t="str">
        <f>VLOOKUP($I22,ドメイン定義!$D:$J,2,0)&amp;""</f>
        <v>更新者</v>
      </c>
      <c r="C22" s="45" t="str">
        <f>VLOOKUP($I22,ドメイン定義!$D:$J,3,0)&amp;""</f>
        <v>update_user_id</v>
      </c>
      <c r="D22" s="45" t="str">
        <f>VLOOKUP($I22,ドメイン定義!$D:$J,4,0)&amp;""</f>
        <v>varchar(20)</v>
      </c>
      <c r="E22" s="45" t="str">
        <f>VLOOKUP($I22,ドメイン定義!$D:$J,5,0)&amp;""</f>
        <v>NOT NULL</v>
      </c>
      <c r="F22" s="45" t="str">
        <f>VLOOKUP($I22,ドメイン定義!$D:$J,6,0)&amp;""</f>
        <v/>
      </c>
      <c r="G22" s="45" t="str">
        <f>VLOOKUP($I22,ドメイン定義!$D:$J,7,0)&amp;""</f>
        <v/>
      </c>
      <c r="H22" s="29"/>
      <c r="I22" s="29" t="s">
        <v>99</v>
      </c>
    </row>
    <row r="23" spans="1:9" x14ac:dyDescent="0.2">
      <c r="A23" s="5">
        <f t="shared" si="0"/>
        <v>10</v>
      </c>
      <c r="B23" s="45" t="str">
        <f>VLOOKUP($I23,ドメイン定義!$D:$J,2,0)&amp;""</f>
        <v>更新日時</v>
      </c>
      <c r="C23" s="45" t="str">
        <f>VLOOKUP($I23,ドメイン定義!$D:$J,3,0)&amp;""</f>
        <v>update_datetime</v>
      </c>
      <c r="D23" s="45" t="str">
        <f>VLOOKUP($I23,ドメイン定義!$D:$J,4,0)&amp;""</f>
        <v>datetime</v>
      </c>
      <c r="E23" s="45" t="str">
        <f>VLOOKUP($I23,ドメイン定義!$D:$J,5,0)&amp;""</f>
        <v>NOT NULL</v>
      </c>
      <c r="F23" s="45" t="str">
        <f>VLOOKUP($I23,ドメイン定義!$D:$J,6,0)&amp;""</f>
        <v/>
      </c>
      <c r="G23" s="45" t="str">
        <f>VLOOKUP($I23,ドメイン定義!$D:$J,7,0)&amp;""</f>
        <v/>
      </c>
      <c r="H23" s="29"/>
      <c r="I23" s="29" t="s">
        <v>21</v>
      </c>
    </row>
    <row r="24" spans="1:9" x14ac:dyDescent="0.2">
      <c r="A24" s="5">
        <f t="shared" si="0"/>
        <v>11</v>
      </c>
      <c r="B24" s="45"/>
      <c r="C24" s="45"/>
      <c r="D24" s="45"/>
      <c r="E24" s="45"/>
      <c r="F24" s="45"/>
      <c r="G24" s="45"/>
      <c r="H24" s="29"/>
      <c r="I24" s="29"/>
    </row>
    <row r="25" spans="1:9" x14ac:dyDescent="0.2">
      <c r="A25" s="5">
        <f t="shared" si="0"/>
        <v>12</v>
      </c>
      <c r="B25" s="45"/>
      <c r="C25" s="45"/>
      <c r="D25" s="45"/>
      <c r="E25" s="45"/>
      <c r="F25" s="45"/>
      <c r="G25" s="45"/>
      <c r="H25" s="29"/>
      <c r="I25" s="29"/>
    </row>
    <row r="26" spans="1:9" x14ac:dyDescent="0.2">
      <c r="A26" s="5">
        <f t="shared" si="0"/>
        <v>13</v>
      </c>
      <c r="B26" s="11"/>
      <c r="C26" s="47"/>
      <c r="D26" s="47"/>
      <c r="E26" s="47"/>
      <c r="F26" s="46"/>
      <c r="G26" s="46"/>
      <c r="H26" s="30"/>
      <c r="I26" s="30"/>
    </row>
    <row r="27" spans="1:9" ht="11.5" thickBot="1" x14ac:dyDescent="0.25">
      <c r="A27" s="6">
        <f t="shared" si="0"/>
        <v>14</v>
      </c>
      <c r="B27" s="12"/>
      <c r="C27" s="48"/>
      <c r="D27" s="48"/>
      <c r="E27" s="48"/>
      <c r="F27" s="49"/>
      <c r="G27" s="49"/>
      <c r="H27" s="31"/>
      <c r="I27" s="31"/>
    </row>
    <row r="29" spans="1:9" ht="11.5" thickBot="1" x14ac:dyDescent="0.25">
      <c r="A29" s="4" t="s">
        <v>17</v>
      </c>
    </row>
    <row r="30" spans="1:9" x14ac:dyDescent="0.2">
      <c r="A30" s="26" t="s">
        <v>1</v>
      </c>
      <c r="B30" s="24" t="s">
        <v>18</v>
      </c>
      <c r="C30" s="27" t="s">
        <v>58</v>
      </c>
      <c r="D30" s="27" t="s">
        <v>19</v>
      </c>
      <c r="E30" s="51"/>
      <c r="F30" s="51"/>
      <c r="G30" s="50"/>
    </row>
    <row r="31" spans="1:9" ht="13.5" customHeight="1" x14ac:dyDescent="0.2">
      <c r="A31" s="7">
        <v>1</v>
      </c>
      <c r="B31" s="57"/>
      <c r="C31" s="66"/>
      <c r="D31" s="58"/>
      <c r="E31" s="53"/>
      <c r="F31" s="53"/>
      <c r="G31" s="54"/>
    </row>
    <row r="32" spans="1:9" ht="13.5" customHeight="1" x14ac:dyDescent="0.2">
      <c r="A32" s="7">
        <f ca="1">OFFSET(A32,-1,0)+1</f>
        <v>2</v>
      </c>
      <c r="B32" s="59"/>
      <c r="C32" s="67"/>
      <c r="D32" s="60"/>
      <c r="E32" s="55"/>
      <c r="F32" s="55"/>
      <c r="G32" s="56"/>
    </row>
    <row r="33" spans="1:7" ht="13.5" customHeight="1" x14ac:dyDescent="0.2">
      <c r="A33" s="7">
        <f t="shared" ref="A33:A36" ca="1" si="1">OFFSET(A33,-1,0)+1</f>
        <v>3</v>
      </c>
      <c r="B33" s="59"/>
      <c r="C33" s="67"/>
      <c r="D33" s="60"/>
      <c r="E33" s="55"/>
      <c r="F33" s="55"/>
      <c r="G33" s="56"/>
    </row>
    <row r="34" spans="1:7" ht="13.5" customHeight="1" x14ac:dyDescent="0.2">
      <c r="A34" s="7">
        <f t="shared" ca="1" si="1"/>
        <v>4</v>
      </c>
      <c r="B34" s="59"/>
      <c r="C34" s="67"/>
      <c r="D34" s="60"/>
      <c r="E34" s="55"/>
      <c r="F34" s="55"/>
      <c r="G34" s="56"/>
    </row>
    <row r="35" spans="1:7" ht="13.5" customHeight="1" x14ac:dyDescent="0.2">
      <c r="A35" s="7">
        <f t="shared" ca="1" si="1"/>
        <v>5</v>
      </c>
      <c r="B35" s="59"/>
      <c r="C35" s="67"/>
      <c r="D35" s="60"/>
      <c r="E35" s="55"/>
      <c r="F35" s="55"/>
      <c r="G35" s="56"/>
    </row>
    <row r="36" spans="1:7" ht="14.25" customHeight="1" thickBot="1" x14ac:dyDescent="0.25">
      <c r="A36" s="61">
        <f t="shared" ca="1" si="1"/>
        <v>6</v>
      </c>
      <c r="B36" s="62"/>
      <c r="C36" s="68"/>
      <c r="D36" s="63"/>
      <c r="E36" s="64"/>
      <c r="F36" s="64"/>
      <c r="G36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1">
    <dataValidation type="list" allowBlank="1" showInputMessage="1" showErrorMessage="1" sqref="C31:C36" xr:uid="{8DCBEF84-6D6C-4422-AF1A-2222F84568ED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8EAE8-AA63-47CF-8EC3-00BE5B1BAA59}">
  <sheetPr codeName="Sheet42">
    <pageSetUpPr fitToPage="1"/>
  </sheetPr>
  <dimension ref="A1:I36"/>
  <sheetViews>
    <sheetView showGridLines="0" zoomScale="190" zoomScaleNormal="190" workbookViewId="0">
      <selection activeCell="H20" sqref="B15:H20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2.632812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32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会員ポイント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149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110</v>
      </c>
      <c r="C7" s="94"/>
      <c r="D7" s="94"/>
      <c r="E7" s="94"/>
      <c r="F7" s="94"/>
      <c r="G7" s="95"/>
    </row>
    <row r="8" spans="1:9" x14ac:dyDescent="0.2">
      <c r="B8" s="76" t="s">
        <v>147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会員ID</v>
      </c>
      <c r="C14" s="74" t="str">
        <f>VLOOKUP($I14,ドメイン定義!$D:$J,3,0)&amp;""</f>
        <v>user_id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/>
      </c>
      <c r="H14" s="75" t="s">
        <v>34</v>
      </c>
      <c r="I14" s="75" t="s">
        <v>116</v>
      </c>
    </row>
    <row r="15" spans="1:9" x14ac:dyDescent="0.2">
      <c r="A15" s="5">
        <f t="shared" ref="A15:A27" si="0">ROW()-13</f>
        <v>2</v>
      </c>
      <c r="B15" s="45" t="str">
        <f>VLOOKUP($I15,ドメイン定義!$D:$J,2,0)&amp;""</f>
        <v>ポイント残高</v>
      </c>
      <c r="C15" s="45" t="str">
        <f>VLOOKUP($I15,ドメイン定義!$D:$J,3,0)&amp;""</f>
        <v>point</v>
      </c>
      <c r="D15" s="45" t="str">
        <f>VLOOKUP($I15,ドメイン定義!$D:$J,4,0)&amp;""</f>
        <v>int(7)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75"/>
      <c r="I15" s="28" t="s">
        <v>140</v>
      </c>
    </row>
    <row r="16" spans="1:9" x14ac:dyDescent="0.2">
      <c r="A16" s="5">
        <f t="shared" si="0"/>
        <v>3</v>
      </c>
      <c r="B16" s="45" t="str">
        <f>VLOOKUP($I16,ドメイン定義!$D:$J,2,0)&amp;""</f>
        <v>削除フラグ</v>
      </c>
      <c r="C16" s="45" t="str">
        <f>VLOOKUP($I16,ドメイン定義!$D:$J,3,0)&amp;""</f>
        <v>delete_flg</v>
      </c>
      <c r="D16" s="45" t="str">
        <f>VLOOKUP($I16,ドメイン定義!$D:$J,4,0)&amp;""</f>
        <v>varchar(1)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>0：有効、1：論理削除</v>
      </c>
      <c r="H16" s="75"/>
      <c r="I16" s="29" t="s">
        <v>20</v>
      </c>
    </row>
    <row r="17" spans="1:9" x14ac:dyDescent="0.2">
      <c r="A17" s="5">
        <f t="shared" si="0"/>
        <v>4</v>
      </c>
      <c r="B17" s="45" t="str">
        <f>VLOOKUP($I17,ドメイン定義!$D:$J,2,0)&amp;""</f>
        <v>作成者</v>
      </c>
      <c r="C17" s="45" t="str">
        <f>VLOOKUP($I17,ドメイン定義!$D:$J,3,0)&amp;""</f>
        <v>create_user_id</v>
      </c>
      <c r="D17" s="45" t="str">
        <f>VLOOKUP($I17,ドメイン定義!$D:$J,4,0)&amp;""</f>
        <v>varchar(20)</v>
      </c>
      <c r="E17" s="45" t="str">
        <f>VLOOKUP($I17,ドメイン定義!$D:$J,5,0)&amp;""</f>
        <v>NOT NULL</v>
      </c>
      <c r="F17" s="45" t="str">
        <f>VLOOKUP($I17,ドメイン定義!$D:$J,6,0)&amp;""</f>
        <v/>
      </c>
      <c r="G17" s="45" t="str">
        <f>VLOOKUP($I17,ドメイン定義!$D:$J,7,0)&amp;""</f>
        <v/>
      </c>
      <c r="H17" s="75"/>
      <c r="I17" s="29" t="s">
        <v>97</v>
      </c>
    </row>
    <row r="18" spans="1:9" x14ac:dyDescent="0.2">
      <c r="A18" s="5">
        <f t="shared" si="0"/>
        <v>5</v>
      </c>
      <c r="B18" s="45" t="str">
        <f>VLOOKUP($I18,ドメイン定義!$D:$J,2,0)&amp;""</f>
        <v>作成日時</v>
      </c>
      <c r="C18" s="45" t="str">
        <f>VLOOKUP($I18,ドメイン定義!$D:$J,3,0)&amp;""</f>
        <v>create_datetime</v>
      </c>
      <c r="D18" s="45" t="str">
        <f>VLOOKUP($I18,ドメイン定義!$D:$J,4,0)&amp;""</f>
        <v>datetime</v>
      </c>
      <c r="E18" s="45" t="str">
        <f>VLOOKUP($I18,ドメイン定義!$D:$J,5,0)&amp;""</f>
        <v>NOT NULL</v>
      </c>
      <c r="F18" s="45" t="str">
        <f>VLOOKUP($I18,ドメイン定義!$D:$J,6,0)&amp;""</f>
        <v/>
      </c>
      <c r="G18" s="45" t="str">
        <f>VLOOKUP($I18,ドメイン定義!$D:$J,7,0)&amp;""</f>
        <v/>
      </c>
      <c r="H18" s="75"/>
      <c r="I18" s="29" t="s">
        <v>98</v>
      </c>
    </row>
    <row r="19" spans="1:9" x14ac:dyDescent="0.2">
      <c r="A19" s="5">
        <f t="shared" si="0"/>
        <v>6</v>
      </c>
      <c r="B19" s="45" t="str">
        <f>VLOOKUP($I19,ドメイン定義!$D:$J,2,0)&amp;""</f>
        <v>更新者</v>
      </c>
      <c r="C19" s="45" t="str">
        <f>VLOOKUP($I19,ドメイン定義!$D:$J,3,0)&amp;""</f>
        <v>update_user_id</v>
      </c>
      <c r="D19" s="45" t="str">
        <f>VLOOKUP($I19,ドメイン定義!$D:$J,4,0)&amp;""</f>
        <v>varchar(20)</v>
      </c>
      <c r="E19" s="45" t="str">
        <f>VLOOKUP($I19,ドメイン定義!$D:$J,5,0)&amp;""</f>
        <v>NOT NULL</v>
      </c>
      <c r="F19" s="45" t="str">
        <f>VLOOKUP($I19,ドメイン定義!$D:$J,6,0)&amp;""</f>
        <v/>
      </c>
      <c r="G19" s="45" t="str">
        <f>VLOOKUP($I19,ドメイン定義!$D:$J,7,0)&amp;""</f>
        <v/>
      </c>
      <c r="H19" s="75"/>
      <c r="I19" s="29" t="s">
        <v>99</v>
      </c>
    </row>
    <row r="20" spans="1:9" x14ac:dyDescent="0.2">
      <c r="A20" s="5">
        <f t="shared" si="0"/>
        <v>7</v>
      </c>
      <c r="B20" s="45" t="str">
        <f>VLOOKUP($I20,ドメイン定義!$D:$J,2,0)&amp;""</f>
        <v>更新日時</v>
      </c>
      <c r="C20" s="45" t="str">
        <f>VLOOKUP($I20,ドメイン定義!$D:$J,3,0)&amp;""</f>
        <v>update_datetime</v>
      </c>
      <c r="D20" s="45" t="str">
        <f>VLOOKUP($I20,ドメイン定義!$D:$J,4,0)&amp;""</f>
        <v>datetime</v>
      </c>
      <c r="E20" s="45" t="str">
        <f>VLOOKUP($I20,ドメイン定義!$D:$J,5,0)&amp;""</f>
        <v>NOT NULL</v>
      </c>
      <c r="F20" s="45" t="str">
        <f>VLOOKUP($I20,ドメイン定義!$D:$J,6,0)&amp;""</f>
        <v/>
      </c>
      <c r="G20" s="45" t="str">
        <f>VLOOKUP($I20,ドメイン定義!$D:$J,7,0)&amp;""</f>
        <v/>
      </c>
      <c r="H20" s="75"/>
      <c r="I20" s="29" t="s">
        <v>21</v>
      </c>
    </row>
    <row r="21" spans="1:9" x14ac:dyDescent="0.2">
      <c r="A21" s="5">
        <f t="shared" si="0"/>
        <v>8</v>
      </c>
      <c r="B21" s="45"/>
      <c r="C21" s="45"/>
      <c r="D21" s="45"/>
      <c r="E21" s="45"/>
      <c r="F21" s="45"/>
      <c r="G21" s="45"/>
      <c r="H21" s="29"/>
      <c r="I21" s="29"/>
    </row>
    <row r="22" spans="1:9" x14ac:dyDescent="0.2">
      <c r="A22" s="5">
        <f t="shared" si="0"/>
        <v>9</v>
      </c>
      <c r="B22" s="45"/>
      <c r="C22" s="45"/>
      <c r="D22" s="45"/>
      <c r="E22" s="45"/>
      <c r="F22" s="45"/>
      <c r="G22" s="45"/>
      <c r="H22" s="29"/>
      <c r="I22" s="29"/>
    </row>
    <row r="23" spans="1:9" x14ac:dyDescent="0.2">
      <c r="A23" s="5">
        <f t="shared" si="0"/>
        <v>10</v>
      </c>
      <c r="B23" s="45"/>
      <c r="C23" s="45"/>
      <c r="D23" s="45"/>
      <c r="E23" s="45"/>
      <c r="F23" s="45"/>
      <c r="G23" s="45"/>
      <c r="H23" s="29"/>
      <c r="I23" s="29"/>
    </row>
    <row r="24" spans="1:9" x14ac:dyDescent="0.2">
      <c r="A24" s="5">
        <f t="shared" si="0"/>
        <v>11</v>
      </c>
      <c r="B24" s="45"/>
      <c r="C24" s="45"/>
      <c r="D24" s="45"/>
      <c r="E24" s="45"/>
      <c r="F24" s="45"/>
      <c r="G24" s="45"/>
      <c r="H24" s="29"/>
      <c r="I24" s="29"/>
    </row>
    <row r="25" spans="1:9" x14ac:dyDescent="0.2">
      <c r="A25" s="5">
        <f t="shared" si="0"/>
        <v>12</v>
      </c>
      <c r="B25" s="45"/>
      <c r="C25" s="45"/>
      <c r="D25" s="45"/>
      <c r="E25" s="45"/>
      <c r="F25" s="45"/>
      <c r="G25" s="45"/>
      <c r="H25" s="29"/>
      <c r="I25" s="29"/>
    </row>
    <row r="26" spans="1:9" x14ac:dyDescent="0.2">
      <c r="A26" s="5">
        <f t="shared" si="0"/>
        <v>13</v>
      </c>
      <c r="B26" s="11"/>
      <c r="C26" s="47"/>
      <c r="D26" s="47"/>
      <c r="E26" s="47"/>
      <c r="F26" s="46"/>
      <c r="G26" s="46"/>
      <c r="H26" s="30"/>
      <c r="I26" s="30"/>
    </row>
    <row r="27" spans="1:9" ht="11.5" thickBot="1" x14ac:dyDescent="0.25">
      <c r="A27" s="6">
        <f t="shared" si="0"/>
        <v>14</v>
      </c>
      <c r="B27" s="12"/>
      <c r="C27" s="48"/>
      <c r="D27" s="48"/>
      <c r="E27" s="48"/>
      <c r="F27" s="49"/>
      <c r="G27" s="49"/>
      <c r="H27" s="31"/>
      <c r="I27" s="31"/>
    </row>
    <row r="29" spans="1:9" ht="11.5" thickBot="1" x14ac:dyDescent="0.25">
      <c r="A29" s="4" t="s">
        <v>17</v>
      </c>
    </row>
    <row r="30" spans="1:9" x14ac:dyDescent="0.2">
      <c r="A30" s="26" t="s">
        <v>1</v>
      </c>
      <c r="B30" s="24" t="s">
        <v>18</v>
      </c>
      <c r="C30" s="27" t="s">
        <v>58</v>
      </c>
      <c r="D30" s="27" t="s">
        <v>19</v>
      </c>
      <c r="E30" s="51"/>
      <c r="F30" s="51"/>
      <c r="G30" s="50"/>
    </row>
    <row r="31" spans="1:9" ht="13.5" customHeight="1" x14ac:dyDescent="0.2">
      <c r="A31" s="7">
        <v>1</v>
      </c>
      <c r="B31" s="57"/>
      <c r="C31" s="66"/>
      <c r="D31" s="58"/>
      <c r="E31" s="53"/>
      <c r="F31" s="53"/>
      <c r="G31" s="54"/>
    </row>
    <row r="32" spans="1:9" ht="13.5" customHeight="1" x14ac:dyDescent="0.2">
      <c r="A32" s="7">
        <f ca="1">OFFSET(A32,-1,0)+1</f>
        <v>2</v>
      </c>
      <c r="B32" s="59"/>
      <c r="C32" s="67"/>
      <c r="D32" s="60"/>
      <c r="E32" s="55"/>
      <c r="F32" s="55"/>
      <c r="G32" s="56"/>
    </row>
    <row r="33" spans="1:7" ht="13.5" customHeight="1" x14ac:dyDescent="0.2">
      <c r="A33" s="7">
        <f t="shared" ref="A33:A36" ca="1" si="1">OFFSET(A33,-1,0)+1</f>
        <v>3</v>
      </c>
      <c r="B33" s="59"/>
      <c r="C33" s="67"/>
      <c r="D33" s="60"/>
      <c r="E33" s="55"/>
      <c r="F33" s="55"/>
      <c r="G33" s="56"/>
    </row>
    <row r="34" spans="1:7" ht="13.5" customHeight="1" x14ac:dyDescent="0.2">
      <c r="A34" s="7">
        <f t="shared" ca="1" si="1"/>
        <v>4</v>
      </c>
      <c r="B34" s="59"/>
      <c r="C34" s="67"/>
      <c r="D34" s="60"/>
      <c r="E34" s="55"/>
      <c r="F34" s="55"/>
      <c r="G34" s="56"/>
    </row>
    <row r="35" spans="1:7" ht="13.5" customHeight="1" x14ac:dyDescent="0.2">
      <c r="A35" s="7">
        <f t="shared" ca="1" si="1"/>
        <v>5</v>
      </c>
      <c r="B35" s="59"/>
      <c r="C35" s="67"/>
      <c r="D35" s="60"/>
      <c r="E35" s="55"/>
      <c r="F35" s="55"/>
      <c r="G35" s="56"/>
    </row>
    <row r="36" spans="1:7" ht="14.25" customHeight="1" thickBot="1" x14ac:dyDescent="0.25">
      <c r="A36" s="61">
        <f t="shared" ca="1" si="1"/>
        <v>6</v>
      </c>
      <c r="B36" s="62"/>
      <c r="C36" s="68"/>
      <c r="D36" s="63"/>
      <c r="E36" s="64"/>
      <c r="F36" s="64"/>
      <c r="G36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1">
    <dataValidation type="list" allowBlank="1" showInputMessage="1" showErrorMessage="1" sqref="C31:C36" xr:uid="{72BABB88-6282-4531-A1AC-FEC7E06F0139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994C2-7F95-4EC4-93D4-ADB797E57A13}">
  <sheetPr codeName="Sheet43">
    <pageSetUpPr fitToPage="1"/>
  </sheetPr>
  <dimension ref="A1:I36"/>
  <sheetViews>
    <sheetView showGridLines="0" topLeftCell="D10" zoomScale="190" zoomScaleNormal="190" workbookViewId="0">
      <selection activeCell="E18" sqref="E18"/>
    </sheetView>
  </sheetViews>
  <sheetFormatPr defaultColWidth="9.08984375" defaultRowHeight="11" x14ac:dyDescent="0.2"/>
  <cols>
    <col min="1" max="1" width="3.6328125" style="3" customWidth="1"/>
    <col min="2" max="2" width="16.6328125" style="8" customWidth="1"/>
    <col min="3" max="4" width="14.6328125" style="8" customWidth="1"/>
    <col min="5" max="6" width="8.6328125" style="8" customWidth="1"/>
    <col min="7" max="7" width="28.6328125" style="8" customWidth="1"/>
    <col min="8" max="8" width="9.08984375" style="3"/>
    <col min="9" max="9" width="12.6328125" style="3" bestFit="1" customWidth="1"/>
    <col min="10" max="16384" width="9.08984375" style="3"/>
  </cols>
  <sheetData>
    <row r="1" spans="1:9" ht="11.5" thickBot="1" x14ac:dyDescent="0.25">
      <c r="A1" s="4" t="s">
        <v>5</v>
      </c>
    </row>
    <row r="2" spans="1:9" ht="13" x14ac:dyDescent="0.2">
      <c r="B2" s="22" t="s">
        <v>6</v>
      </c>
      <c r="C2" s="83" t="s">
        <v>32</v>
      </c>
      <c r="D2" s="84"/>
      <c r="E2" s="24" t="s">
        <v>8</v>
      </c>
      <c r="F2" s="83" t="s">
        <v>31</v>
      </c>
      <c r="G2" s="85"/>
    </row>
    <row r="3" spans="1:9" ht="13" x14ac:dyDescent="0.2">
      <c r="B3" s="23" t="s">
        <v>7</v>
      </c>
      <c r="C3" s="86"/>
      <c r="D3" s="87"/>
      <c r="E3" s="25" t="s">
        <v>9</v>
      </c>
      <c r="F3" s="88">
        <f ca="1">TODAY()</f>
        <v>44799</v>
      </c>
      <c r="G3" s="89"/>
    </row>
    <row r="4" spans="1:9" ht="13" x14ac:dyDescent="0.2">
      <c r="B4" s="23" t="s">
        <v>29</v>
      </c>
      <c r="C4" s="86" t="s">
        <v>37</v>
      </c>
      <c r="D4" s="87"/>
      <c r="E4" s="25" t="s">
        <v>10</v>
      </c>
      <c r="F4" s="86" t="s">
        <v>24</v>
      </c>
      <c r="G4" s="90"/>
    </row>
    <row r="5" spans="1:9" ht="13" x14ac:dyDescent="0.2">
      <c r="B5" s="9" t="s">
        <v>2</v>
      </c>
      <c r="C5" s="91" t="str">
        <f ca="1">RIGHT(CELL("filename",A1),LEN(CELL("filename",A1))-FIND("]",CELL("filename",A1)))</f>
        <v>パラメータマスタ</v>
      </c>
      <c r="D5" s="92"/>
      <c r="E5" s="10" t="s">
        <v>25</v>
      </c>
      <c r="F5" s="86" t="s">
        <v>26</v>
      </c>
      <c r="G5" s="90"/>
    </row>
    <row r="6" spans="1:9" ht="13" x14ac:dyDescent="0.2">
      <c r="B6" s="9" t="s">
        <v>3</v>
      </c>
      <c r="C6" s="86" t="s">
        <v>185</v>
      </c>
      <c r="D6" s="87"/>
      <c r="E6" s="10" t="s">
        <v>27</v>
      </c>
      <c r="F6" s="86" t="s">
        <v>28</v>
      </c>
      <c r="G6" s="90"/>
    </row>
    <row r="7" spans="1:9" ht="13" x14ac:dyDescent="0.2">
      <c r="B7" s="93" t="s">
        <v>110</v>
      </c>
      <c r="C7" s="94"/>
      <c r="D7" s="94"/>
      <c r="E7" s="94"/>
      <c r="F7" s="94"/>
      <c r="G7" s="95"/>
    </row>
    <row r="8" spans="1:9" x14ac:dyDescent="0.2">
      <c r="B8" s="76" t="s">
        <v>157</v>
      </c>
      <c r="C8" s="77"/>
      <c r="D8" s="77"/>
      <c r="E8" s="77"/>
      <c r="F8" s="77"/>
      <c r="G8" s="78"/>
    </row>
    <row r="9" spans="1:9" x14ac:dyDescent="0.2">
      <c r="B9" s="79"/>
      <c r="C9" s="77"/>
      <c r="D9" s="77"/>
      <c r="E9" s="77"/>
      <c r="F9" s="77"/>
      <c r="G9" s="78"/>
    </row>
    <row r="10" spans="1:9" ht="11.5" thickBot="1" x14ac:dyDescent="0.25">
      <c r="B10" s="80"/>
      <c r="C10" s="81"/>
      <c r="D10" s="81"/>
      <c r="E10" s="81"/>
      <c r="F10" s="81"/>
      <c r="G10" s="82"/>
    </row>
    <row r="12" spans="1:9" ht="11.5" thickBot="1" x14ac:dyDescent="0.25">
      <c r="A12" s="4" t="s">
        <v>11</v>
      </c>
    </row>
    <row r="13" spans="1:9" x14ac:dyDescent="0.2">
      <c r="A13" s="69" t="s">
        <v>1</v>
      </c>
      <c r="B13" s="70" t="s">
        <v>12</v>
      </c>
      <c r="C13" s="70" t="s">
        <v>13</v>
      </c>
      <c r="D13" s="70" t="s">
        <v>14</v>
      </c>
      <c r="E13" s="70" t="s">
        <v>15</v>
      </c>
      <c r="F13" s="70" t="s">
        <v>16</v>
      </c>
      <c r="G13" s="71" t="s">
        <v>4</v>
      </c>
      <c r="H13" s="72" t="s">
        <v>33</v>
      </c>
      <c r="I13" s="72" t="s">
        <v>45</v>
      </c>
    </row>
    <row r="14" spans="1:9" x14ac:dyDescent="0.2">
      <c r="A14" s="73">
        <f>ROW()-13</f>
        <v>1</v>
      </c>
      <c r="B14" s="74" t="str">
        <f>VLOOKUP($I14,ドメイン定義!$D:$J,2,0)&amp;""</f>
        <v>パラメータID</v>
      </c>
      <c r="C14" s="74" t="str">
        <f>VLOOKUP($I14,ドメイン定義!$D:$J,3,0)&amp;""</f>
        <v>param_id</v>
      </c>
      <c r="D14" s="74" t="str">
        <f>VLOOKUP($I14,ドメイン定義!$D:$J,4,0)&amp;""</f>
        <v>varchar(20)</v>
      </c>
      <c r="E14" s="74" t="str">
        <f>VLOOKUP($I14,ドメイン定義!$D:$J,5,0)&amp;""</f>
        <v>NOT NULL</v>
      </c>
      <c r="F14" s="74" t="str">
        <f>VLOOKUP($I14,ドメイン定義!$D:$J,6,0)&amp;""</f>
        <v/>
      </c>
      <c r="G14" s="74" t="str">
        <f>VLOOKUP($I14,ドメイン定義!$D:$J,7,0)&amp;""</f>
        <v/>
      </c>
      <c r="H14" s="75" t="s">
        <v>34</v>
      </c>
      <c r="I14" s="75" t="s">
        <v>152</v>
      </c>
    </row>
    <row r="15" spans="1:9" x14ac:dyDescent="0.2">
      <c r="A15" s="5">
        <f t="shared" ref="A15:A27" si="0">ROW()-13</f>
        <v>2</v>
      </c>
      <c r="B15" s="45" t="str">
        <f>VLOOKUP($I15,ドメイン定義!$D:$J,2,0)&amp;""</f>
        <v>パラメータ値</v>
      </c>
      <c r="C15" s="45" t="str">
        <f>VLOOKUP($I15,ドメイン定義!$D:$J,3,0)&amp;""</f>
        <v>param_val</v>
      </c>
      <c r="D15" s="45" t="str">
        <f>VLOOKUP($I15,ドメイン定義!$D:$J,4,0)&amp;""</f>
        <v>varchar(100)</v>
      </c>
      <c r="E15" s="45" t="str">
        <f>VLOOKUP($I15,ドメイン定義!$D:$J,5,0)&amp;""</f>
        <v>NOT NULL</v>
      </c>
      <c r="F15" s="45" t="str">
        <f>VLOOKUP($I15,ドメイン定義!$D:$J,6,0)&amp;""</f>
        <v/>
      </c>
      <c r="G15" s="45" t="str">
        <f>VLOOKUP($I15,ドメイン定義!$D:$J,7,0)&amp;""</f>
        <v/>
      </c>
      <c r="H15" s="75"/>
      <c r="I15" s="28" t="s">
        <v>154</v>
      </c>
    </row>
    <row r="16" spans="1:9" x14ac:dyDescent="0.2">
      <c r="A16" s="5">
        <f t="shared" si="0"/>
        <v>3</v>
      </c>
      <c r="B16" s="45" t="str">
        <f>VLOOKUP($I16,ドメイン定義!$D:$J,2,0)&amp;""</f>
        <v>削除フラグ</v>
      </c>
      <c r="C16" s="45" t="str">
        <f>VLOOKUP($I16,ドメイン定義!$D:$J,3,0)&amp;""</f>
        <v>delete_flg</v>
      </c>
      <c r="D16" s="45" t="str">
        <f>VLOOKUP($I16,ドメイン定義!$D:$J,4,0)&amp;""</f>
        <v>varchar(1)</v>
      </c>
      <c r="E16" s="45" t="str">
        <f>VLOOKUP($I16,ドメイン定義!$D:$J,5,0)&amp;""</f>
        <v>NOT NULL</v>
      </c>
      <c r="F16" s="45" t="str">
        <f>VLOOKUP($I16,ドメイン定義!$D:$J,6,0)&amp;""</f>
        <v/>
      </c>
      <c r="G16" s="45" t="str">
        <f>VLOOKUP($I16,ドメイン定義!$D:$J,7,0)&amp;""</f>
        <v>0：有効、1：論理削除</v>
      </c>
      <c r="H16" s="75"/>
      <c r="I16" s="29" t="s">
        <v>20</v>
      </c>
    </row>
    <row r="17" spans="1:9" x14ac:dyDescent="0.2">
      <c r="A17" s="5">
        <f t="shared" si="0"/>
        <v>4</v>
      </c>
      <c r="B17" s="45" t="str">
        <f>VLOOKUP($I17,ドメイン定義!$D:$J,2,0)&amp;""</f>
        <v>作成者</v>
      </c>
      <c r="C17" s="45" t="str">
        <f>VLOOKUP($I17,ドメイン定義!$D:$J,3,0)&amp;""</f>
        <v>create_user_id</v>
      </c>
      <c r="D17" s="45" t="str">
        <f>VLOOKUP($I17,ドメイン定義!$D:$J,4,0)&amp;""</f>
        <v>varchar(20)</v>
      </c>
      <c r="E17" s="45" t="str">
        <f>VLOOKUP($I17,ドメイン定義!$D:$J,5,0)&amp;""</f>
        <v>NOT NULL</v>
      </c>
      <c r="F17" s="45" t="str">
        <f>VLOOKUP($I17,ドメイン定義!$D:$J,6,0)&amp;""</f>
        <v/>
      </c>
      <c r="G17" s="45" t="str">
        <f>VLOOKUP($I17,ドメイン定義!$D:$J,7,0)&amp;""</f>
        <v/>
      </c>
      <c r="H17" s="75"/>
      <c r="I17" s="29" t="s">
        <v>97</v>
      </c>
    </row>
    <row r="18" spans="1:9" x14ac:dyDescent="0.2">
      <c r="A18" s="5">
        <f t="shared" si="0"/>
        <v>5</v>
      </c>
      <c r="B18" s="45" t="str">
        <f>VLOOKUP($I18,ドメイン定義!$D:$J,2,0)&amp;""</f>
        <v>作成日時</v>
      </c>
      <c r="C18" s="45" t="str">
        <f>VLOOKUP($I18,ドメイン定義!$D:$J,3,0)&amp;""</f>
        <v>create_datetime</v>
      </c>
      <c r="D18" s="45" t="str">
        <f>VLOOKUP($I18,ドメイン定義!$D:$J,4,0)&amp;""</f>
        <v>datetime</v>
      </c>
      <c r="E18" s="45" t="str">
        <f>VLOOKUP($I18,ドメイン定義!$D:$J,5,0)&amp;""</f>
        <v>NOT NULL</v>
      </c>
      <c r="F18" s="45" t="str">
        <f>VLOOKUP($I18,ドメイン定義!$D:$J,6,0)&amp;""</f>
        <v/>
      </c>
      <c r="G18" s="45" t="str">
        <f>VLOOKUP($I18,ドメイン定義!$D:$J,7,0)&amp;""</f>
        <v/>
      </c>
      <c r="H18" s="75"/>
      <c r="I18" s="29" t="s">
        <v>98</v>
      </c>
    </row>
    <row r="19" spans="1:9" x14ac:dyDescent="0.2">
      <c r="A19" s="5">
        <f t="shared" si="0"/>
        <v>6</v>
      </c>
      <c r="B19" s="45" t="str">
        <f>VLOOKUP($I19,ドメイン定義!$D:$J,2,0)&amp;""</f>
        <v>更新者</v>
      </c>
      <c r="C19" s="45" t="str">
        <f>VLOOKUP($I19,ドメイン定義!$D:$J,3,0)&amp;""</f>
        <v>update_user_id</v>
      </c>
      <c r="D19" s="45" t="str">
        <f>VLOOKUP($I19,ドメイン定義!$D:$J,4,0)&amp;""</f>
        <v>varchar(20)</v>
      </c>
      <c r="E19" s="45" t="str">
        <f>VLOOKUP($I19,ドメイン定義!$D:$J,5,0)&amp;""</f>
        <v>NOT NULL</v>
      </c>
      <c r="F19" s="45" t="str">
        <f>VLOOKUP($I19,ドメイン定義!$D:$J,6,0)&amp;""</f>
        <v/>
      </c>
      <c r="G19" s="45" t="str">
        <f>VLOOKUP($I19,ドメイン定義!$D:$J,7,0)&amp;""</f>
        <v/>
      </c>
      <c r="H19" s="75"/>
      <c r="I19" s="29" t="s">
        <v>99</v>
      </c>
    </row>
    <row r="20" spans="1:9" x14ac:dyDescent="0.2">
      <c r="A20" s="5">
        <f t="shared" si="0"/>
        <v>7</v>
      </c>
      <c r="B20" s="45" t="str">
        <f>VLOOKUP($I20,ドメイン定義!$D:$J,2,0)&amp;""</f>
        <v>更新日時</v>
      </c>
      <c r="C20" s="45" t="str">
        <f>VLOOKUP($I20,ドメイン定義!$D:$J,3,0)&amp;""</f>
        <v>update_datetime</v>
      </c>
      <c r="D20" s="45" t="str">
        <f>VLOOKUP($I20,ドメイン定義!$D:$J,4,0)&amp;""</f>
        <v>datetime</v>
      </c>
      <c r="E20" s="45" t="str">
        <f>VLOOKUP($I20,ドメイン定義!$D:$J,5,0)&amp;""</f>
        <v>NOT NULL</v>
      </c>
      <c r="F20" s="45" t="str">
        <f>VLOOKUP($I20,ドメイン定義!$D:$J,6,0)&amp;""</f>
        <v/>
      </c>
      <c r="G20" s="45" t="str">
        <f>VLOOKUP($I20,ドメイン定義!$D:$J,7,0)&amp;""</f>
        <v/>
      </c>
      <c r="H20" s="75"/>
      <c r="I20" s="29" t="s">
        <v>21</v>
      </c>
    </row>
    <row r="21" spans="1:9" x14ac:dyDescent="0.2">
      <c r="A21" s="5">
        <f t="shared" si="0"/>
        <v>8</v>
      </c>
      <c r="B21" s="45"/>
      <c r="C21" s="45"/>
      <c r="D21" s="45"/>
      <c r="E21" s="45"/>
      <c r="F21" s="45"/>
      <c r="G21" s="45"/>
      <c r="H21" s="29"/>
      <c r="I21" s="29"/>
    </row>
    <row r="22" spans="1:9" x14ac:dyDescent="0.2">
      <c r="A22" s="5">
        <f t="shared" si="0"/>
        <v>9</v>
      </c>
      <c r="B22" s="45"/>
      <c r="C22" s="45"/>
      <c r="D22" s="45"/>
      <c r="E22" s="45"/>
      <c r="F22" s="45"/>
      <c r="G22" s="45"/>
      <c r="H22" s="29"/>
      <c r="I22" s="29"/>
    </row>
    <row r="23" spans="1:9" x14ac:dyDescent="0.2">
      <c r="A23" s="5">
        <f t="shared" si="0"/>
        <v>10</v>
      </c>
      <c r="B23" s="45"/>
      <c r="C23" s="45"/>
      <c r="D23" s="45"/>
      <c r="E23" s="45"/>
      <c r="F23" s="45"/>
      <c r="G23" s="45"/>
      <c r="H23" s="29"/>
      <c r="I23" s="29"/>
    </row>
    <row r="24" spans="1:9" x14ac:dyDescent="0.2">
      <c r="A24" s="5">
        <f t="shared" si="0"/>
        <v>11</v>
      </c>
      <c r="B24" s="45"/>
      <c r="C24" s="45"/>
      <c r="D24" s="45"/>
      <c r="E24" s="45"/>
      <c r="F24" s="45"/>
      <c r="G24" s="45"/>
      <c r="H24" s="29"/>
      <c r="I24" s="29"/>
    </row>
    <row r="25" spans="1:9" x14ac:dyDescent="0.2">
      <c r="A25" s="5">
        <f t="shared" si="0"/>
        <v>12</v>
      </c>
      <c r="B25" s="45"/>
      <c r="C25" s="45"/>
      <c r="D25" s="45"/>
      <c r="E25" s="45"/>
      <c r="F25" s="45"/>
      <c r="G25" s="45"/>
      <c r="H25" s="29"/>
      <c r="I25" s="29"/>
    </row>
    <row r="26" spans="1:9" x14ac:dyDescent="0.2">
      <c r="A26" s="5">
        <f t="shared" si="0"/>
        <v>13</v>
      </c>
      <c r="B26" s="11"/>
      <c r="C26" s="47"/>
      <c r="D26" s="47"/>
      <c r="E26" s="47"/>
      <c r="F26" s="46"/>
      <c r="G26" s="46"/>
      <c r="H26" s="30"/>
      <c r="I26" s="30"/>
    </row>
    <row r="27" spans="1:9" ht="11.5" thickBot="1" x14ac:dyDescent="0.25">
      <c r="A27" s="6">
        <f t="shared" si="0"/>
        <v>14</v>
      </c>
      <c r="B27" s="12"/>
      <c r="C27" s="48"/>
      <c r="D27" s="48"/>
      <c r="E27" s="48"/>
      <c r="F27" s="49"/>
      <c r="G27" s="49"/>
      <c r="H27" s="31"/>
      <c r="I27" s="31"/>
    </row>
    <row r="29" spans="1:9" ht="11.5" thickBot="1" x14ac:dyDescent="0.25">
      <c r="A29" s="4" t="s">
        <v>17</v>
      </c>
    </row>
    <row r="30" spans="1:9" x14ac:dyDescent="0.2">
      <c r="A30" s="26" t="s">
        <v>1</v>
      </c>
      <c r="B30" s="24" t="s">
        <v>18</v>
      </c>
      <c r="C30" s="27" t="s">
        <v>58</v>
      </c>
      <c r="D30" s="27" t="s">
        <v>19</v>
      </c>
      <c r="E30" s="51"/>
      <c r="F30" s="51"/>
      <c r="G30" s="50"/>
    </row>
    <row r="31" spans="1:9" ht="13.5" customHeight="1" x14ac:dyDescent="0.2">
      <c r="A31" s="7">
        <v>1</v>
      </c>
      <c r="B31" s="57"/>
      <c r="C31" s="66"/>
      <c r="D31" s="58"/>
      <c r="E31" s="53"/>
      <c r="F31" s="53"/>
      <c r="G31" s="54"/>
    </row>
    <row r="32" spans="1:9" ht="13.5" customHeight="1" x14ac:dyDescent="0.2">
      <c r="A32" s="7">
        <f ca="1">OFFSET(A32,-1,0)+1</f>
        <v>2</v>
      </c>
      <c r="B32" s="59"/>
      <c r="C32" s="67"/>
      <c r="D32" s="60"/>
      <c r="E32" s="55"/>
      <c r="F32" s="55"/>
      <c r="G32" s="56"/>
    </row>
    <row r="33" spans="1:7" ht="13.5" customHeight="1" x14ac:dyDescent="0.2">
      <c r="A33" s="7">
        <f t="shared" ref="A33:A36" ca="1" si="1">OFFSET(A33,-1,0)+1</f>
        <v>3</v>
      </c>
      <c r="B33" s="59"/>
      <c r="C33" s="67"/>
      <c r="D33" s="60"/>
      <c r="E33" s="55"/>
      <c r="F33" s="55"/>
      <c r="G33" s="56"/>
    </row>
    <row r="34" spans="1:7" ht="13.5" customHeight="1" x14ac:dyDescent="0.2">
      <c r="A34" s="7">
        <f t="shared" ca="1" si="1"/>
        <v>4</v>
      </c>
      <c r="B34" s="59"/>
      <c r="C34" s="67"/>
      <c r="D34" s="60"/>
      <c r="E34" s="55"/>
      <c r="F34" s="55"/>
      <c r="G34" s="56"/>
    </row>
    <row r="35" spans="1:7" ht="13.5" customHeight="1" x14ac:dyDescent="0.2">
      <c r="A35" s="7">
        <f t="shared" ca="1" si="1"/>
        <v>5</v>
      </c>
      <c r="B35" s="59"/>
      <c r="C35" s="67"/>
      <c r="D35" s="60"/>
      <c r="E35" s="55"/>
      <c r="F35" s="55"/>
      <c r="G35" s="56"/>
    </row>
    <row r="36" spans="1:7" ht="14.25" customHeight="1" thickBot="1" x14ac:dyDescent="0.25">
      <c r="A36" s="61">
        <f t="shared" ca="1" si="1"/>
        <v>6</v>
      </c>
      <c r="B36" s="62"/>
      <c r="C36" s="68"/>
      <c r="D36" s="63"/>
      <c r="E36" s="64"/>
      <c r="F36" s="64"/>
      <c r="G36" s="65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honeticPr fontId="7"/>
  <dataValidations count="1">
    <dataValidation type="list" allowBlank="1" showInputMessage="1" showErrorMessage="1" sqref="C31:C36" xr:uid="{D3DD292D-28B9-4E45-BB37-AEA8EF5485F0}">
      <formula1>",Y"</formula1>
    </dataValidation>
  </dataValidations>
  <pageMargins left="0.7" right="0.7" top="0.75" bottom="0.75" header="0.3" footer="0.3"/>
  <pageSetup paperSize="9" scale="93" fitToHeight="0" orientation="portrait" r:id="rId1"/>
  <headerFooter>
    <oddHeader>&amp;Lテーブル定義書&amp;R&amp;D</oddHeader>
    <oddFooter>&amp;C&amp;P/&amp;N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B607-7EDC-4F2E-808C-B5545A6E4F3E}">
  <sheetPr codeName="Sheet2">
    <tabColor rgb="FFFFC000"/>
  </sheetPr>
  <dimension ref="A1:J47"/>
  <sheetViews>
    <sheetView zoomScale="145" zoomScaleNormal="145" workbookViewId="0">
      <pane xSplit="2" ySplit="3" topLeftCell="E4" activePane="bottomRight" state="frozen"/>
      <selection activeCell="G8" sqref="G8"/>
      <selection pane="topRight" activeCell="G8" sqref="G8"/>
      <selection pane="bottomLeft" activeCell="G8" sqref="G8"/>
      <selection pane="bottomRight" activeCell="J7" sqref="J7"/>
    </sheetView>
  </sheetViews>
  <sheetFormatPr defaultRowHeight="13" x14ac:dyDescent="0.2"/>
  <cols>
    <col min="1" max="1" width="2.453125" customWidth="1"/>
    <col min="2" max="2" width="4.36328125" bestFit="1" customWidth="1"/>
    <col min="3" max="3" width="13" bestFit="1" customWidth="1"/>
    <col min="4" max="4" width="24.90625" customWidth="1"/>
    <col min="5" max="5" width="18.36328125" bestFit="1" customWidth="1"/>
    <col min="6" max="6" width="18.7265625" bestFit="1" customWidth="1"/>
    <col min="7" max="7" width="11.7265625" bestFit="1" customWidth="1"/>
    <col min="8" max="8" width="10.36328125" bestFit="1" customWidth="1"/>
    <col min="9" max="9" width="8.6328125" bestFit="1" customWidth="1"/>
    <col min="10" max="10" width="51.26953125" customWidth="1"/>
  </cols>
  <sheetData>
    <row r="1" spans="1:10" x14ac:dyDescent="0.2">
      <c r="A1" t="s">
        <v>47</v>
      </c>
    </row>
    <row r="3" spans="1:10" x14ac:dyDescent="0.2">
      <c r="B3" s="10" t="s">
        <v>44</v>
      </c>
      <c r="C3" s="10" t="s">
        <v>175</v>
      </c>
      <c r="D3" s="10" t="s">
        <v>46</v>
      </c>
      <c r="E3" s="10" t="s">
        <v>12</v>
      </c>
      <c r="F3" s="10" t="s">
        <v>13</v>
      </c>
      <c r="G3" s="10" t="s">
        <v>14</v>
      </c>
      <c r="H3" s="10" t="s">
        <v>15</v>
      </c>
      <c r="I3" s="10" t="s">
        <v>16</v>
      </c>
      <c r="J3" s="10" t="s">
        <v>4</v>
      </c>
    </row>
    <row r="4" spans="1:10" x14ac:dyDescent="0.2">
      <c r="B4" s="44">
        <v>1</v>
      </c>
      <c r="C4" s="44" t="s">
        <v>30</v>
      </c>
      <c r="D4" s="44" t="s">
        <v>41</v>
      </c>
      <c r="E4" s="44" t="s">
        <v>41</v>
      </c>
      <c r="F4" s="44" t="s">
        <v>42</v>
      </c>
      <c r="G4" s="44" t="s">
        <v>43</v>
      </c>
      <c r="H4" s="44" t="s">
        <v>57</v>
      </c>
      <c r="I4" s="44"/>
      <c r="J4" s="44">
        <v>222</v>
      </c>
    </row>
    <row r="5" spans="1:10" x14ac:dyDescent="0.2">
      <c r="B5" s="44">
        <f ca="1">OFFSET(B5,-1,0)+1</f>
        <v>2</v>
      </c>
      <c r="C5" s="44" t="s">
        <v>30</v>
      </c>
      <c r="D5" s="44" t="s">
        <v>48</v>
      </c>
      <c r="E5" s="44" t="s">
        <v>48</v>
      </c>
      <c r="F5" s="44" t="s">
        <v>52</v>
      </c>
      <c r="G5" s="44" t="s">
        <v>43</v>
      </c>
      <c r="H5" s="44" t="s">
        <v>57</v>
      </c>
      <c r="I5" s="44"/>
      <c r="J5" s="44"/>
    </row>
    <row r="6" spans="1:10" x14ac:dyDescent="0.2">
      <c r="B6" s="44">
        <f t="shared" ref="B6:B47" ca="1" si="0">OFFSET(B6,-1,0)+1</f>
        <v>3</v>
      </c>
      <c r="C6" s="44" t="s">
        <v>30</v>
      </c>
      <c r="D6" s="44" t="s">
        <v>83</v>
      </c>
      <c r="E6" s="44" t="s">
        <v>83</v>
      </c>
      <c r="F6" s="44" t="s">
        <v>84</v>
      </c>
      <c r="G6" s="44" t="s">
        <v>43</v>
      </c>
      <c r="H6" s="44" t="s">
        <v>57</v>
      </c>
      <c r="I6" s="44"/>
      <c r="J6" s="44"/>
    </row>
    <row r="7" spans="1:10" x14ac:dyDescent="0.2">
      <c r="B7" s="44">
        <f t="shared" ca="1" si="0"/>
        <v>4</v>
      </c>
      <c r="C7" s="44" t="s">
        <v>30</v>
      </c>
      <c r="D7" s="44" t="s">
        <v>85</v>
      </c>
      <c r="E7" s="44" t="s">
        <v>85</v>
      </c>
      <c r="F7" s="44" t="s">
        <v>87</v>
      </c>
      <c r="G7" s="44" t="s">
        <v>43</v>
      </c>
      <c r="H7" s="44" t="s">
        <v>57</v>
      </c>
      <c r="I7" s="44"/>
      <c r="J7" s="44"/>
    </row>
    <row r="8" spans="1:10" x14ac:dyDescent="0.2">
      <c r="B8" s="44">
        <f t="shared" ca="1" si="0"/>
        <v>5</v>
      </c>
      <c r="C8" s="44" t="s">
        <v>30</v>
      </c>
      <c r="D8" s="44" t="s">
        <v>113</v>
      </c>
      <c r="E8" s="44" t="s">
        <v>113</v>
      </c>
      <c r="F8" s="44" t="s">
        <v>114</v>
      </c>
      <c r="G8" s="44" t="s">
        <v>43</v>
      </c>
      <c r="H8" s="44" t="s">
        <v>57</v>
      </c>
      <c r="I8" s="44"/>
      <c r="J8" s="44"/>
    </row>
    <row r="9" spans="1:10" x14ac:dyDescent="0.2">
      <c r="B9" s="44">
        <f t="shared" ca="1" si="0"/>
        <v>6</v>
      </c>
      <c r="C9" s="44" t="s">
        <v>30</v>
      </c>
      <c r="D9" s="44" t="s">
        <v>115</v>
      </c>
      <c r="E9" s="44" t="s">
        <v>115</v>
      </c>
      <c r="F9" s="44" t="s">
        <v>86</v>
      </c>
      <c r="G9" s="44" t="s">
        <v>43</v>
      </c>
      <c r="H9" s="44" t="s">
        <v>57</v>
      </c>
      <c r="I9" s="44"/>
      <c r="J9" s="44"/>
    </row>
    <row r="10" spans="1:10" x14ac:dyDescent="0.2">
      <c r="B10" s="44">
        <f t="shared" ca="1" si="0"/>
        <v>7</v>
      </c>
      <c r="C10" s="44" t="s">
        <v>30</v>
      </c>
      <c r="D10" s="44" t="s">
        <v>116</v>
      </c>
      <c r="E10" s="44" t="s">
        <v>116</v>
      </c>
      <c r="F10" s="44" t="s">
        <v>117</v>
      </c>
      <c r="G10" s="44" t="s">
        <v>43</v>
      </c>
      <c r="H10" s="44" t="s">
        <v>57</v>
      </c>
      <c r="I10" s="44"/>
      <c r="J10" s="44"/>
    </row>
    <row r="11" spans="1:10" x14ac:dyDescent="0.2">
      <c r="B11" s="44">
        <f t="shared" ca="1" si="0"/>
        <v>8</v>
      </c>
      <c r="C11" s="44" t="s">
        <v>30</v>
      </c>
      <c r="D11" s="44" t="s">
        <v>153</v>
      </c>
      <c r="E11" s="44" t="s">
        <v>153</v>
      </c>
      <c r="F11" s="44" t="s">
        <v>151</v>
      </c>
      <c r="G11" s="44" t="s">
        <v>43</v>
      </c>
      <c r="H11" s="44" t="s">
        <v>57</v>
      </c>
      <c r="I11" s="44"/>
      <c r="J11" s="44"/>
    </row>
    <row r="12" spans="1:10" x14ac:dyDescent="0.2">
      <c r="B12" s="44">
        <f t="shared" ca="1" si="0"/>
        <v>9</v>
      </c>
      <c r="C12" s="44" t="s">
        <v>176</v>
      </c>
      <c r="D12" s="44" t="s">
        <v>20</v>
      </c>
      <c r="E12" s="44" t="s">
        <v>20</v>
      </c>
      <c r="F12" s="44" t="s">
        <v>95</v>
      </c>
      <c r="G12" s="44" t="s">
        <v>90</v>
      </c>
      <c r="H12" s="44" t="s">
        <v>57</v>
      </c>
      <c r="I12" s="44"/>
      <c r="J12" s="44" t="s">
        <v>96</v>
      </c>
    </row>
    <row r="13" spans="1:10" x14ac:dyDescent="0.2">
      <c r="B13" s="44">
        <f t="shared" ca="1" si="0"/>
        <v>10</v>
      </c>
      <c r="C13" s="44" t="s">
        <v>176</v>
      </c>
      <c r="D13" s="44" t="s">
        <v>97</v>
      </c>
      <c r="E13" s="44" t="s">
        <v>97</v>
      </c>
      <c r="F13" s="44" t="s">
        <v>100</v>
      </c>
      <c r="G13" s="44" t="s">
        <v>43</v>
      </c>
      <c r="H13" s="44" t="s">
        <v>57</v>
      </c>
      <c r="I13" s="44"/>
      <c r="J13" s="44"/>
    </row>
    <row r="14" spans="1:10" x14ac:dyDescent="0.2">
      <c r="B14" s="44">
        <f t="shared" ca="1" si="0"/>
        <v>11</v>
      </c>
      <c r="C14" s="44" t="s">
        <v>176</v>
      </c>
      <c r="D14" s="44" t="s">
        <v>98</v>
      </c>
      <c r="E14" s="44" t="s">
        <v>98</v>
      </c>
      <c r="F14" s="44" t="s">
        <v>174</v>
      </c>
      <c r="G14" s="44" t="s">
        <v>103</v>
      </c>
      <c r="H14" s="44" t="s">
        <v>57</v>
      </c>
      <c r="I14" s="44"/>
      <c r="J14" s="44"/>
    </row>
    <row r="15" spans="1:10" x14ac:dyDescent="0.2">
      <c r="B15" s="44">
        <f t="shared" ca="1" si="0"/>
        <v>12</v>
      </c>
      <c r="C15" s="44" t="s">
        <v>176</v>
      </c>
      <c r="D15" s="44" t="s">
        <v>99</v>
      </c>
      <c r="E15" s="44" t="s">
        <v>99</v>
      </c>
      <c r="F15" s="44" t="s">
        <v>101</v>
      </c>
      <c r="G15" s="44" t="s">
        <v>43</v>
      </c>
      <c r="H15" s="44" t="s">
        <v>57</v>
      </c>
      <c r="I15" s="44"/>
      <c r="J15" s="44"/>
    </row>
    <row r="16" spans="1:10" x14ac:dyDescent="0.2">
      <c r="B16" s="44">
        <f t="shared" ca="1" si="0"/>
        <v>13</v>
      </c>
      <c r="C16" s="44" t="s">
        <v>176</v>
      </c>
      <c r="D16" s="44" t="s">
        <v>21</v>
      </c>
      <c r="E16" s="44" t="s">
        <v>21</v>
      </c>
      <c r="F16" s="44" t="s">
        <v>102</v>
      </c>
      <c r="G16" s="44" t="s">
        <v>103</v>
      </c>
      <c r="H16" s="44" t="s">
        <v>57</v>
      </c>
      <c r="I16" s="44"/>
      <c r="J16" s="44"/>
    </row>
    <row r="17" spans="2:10" x14ac:dyDescent="0.2">
      <c r="B17" s="44">
        <f t="shared" ca="1" si="0"/>
        <v>14</v>
      </c>
      <c r="C17" s="44" t="s">
        <v>182</v>
      </c>
      <c r="D17" s="44" t="s">
        <v>126</v>
      </c>
      <c r="E17" s="44" t="s">
        <v>126</v>
      </c>
      <c r="F17" s="44" t="s">
        <v>127</v>
      </c>
      <c r="G17" s="44" t="s">
        <v>59</v>
      </c>
      <c r="H17" s="44"/>
      <c r="I17" s="44"/>
      <c r="J17" s="44"/>
    </row>
    <row r="18" spans="2:10" x14ac:dyDescent="0.2">
      <c r="B18" s="44">
        <f t="shared" ca="1" si="0"/>
        <v>15</v>
      </c>
      <c r="C18" s="44" t="s">
        <v>182</v>
      </c>
      <c r="D18" s="44" t="s">
        <v>140</v>
      </c>
      <c r="E18" s="44" t="s">
        <v>140</v>
      </c>
      <c r="F18" s="44" t="s">
        <v>141</v>
      </c>
      <c r="G18" s="44" t="s">
        <v>59</v>
      </c>
      <c r="H18" s="44" t="s">
        <v>57</v>
      </c>
      <c r="I18" s="44"/>
      <c r="J18" s="44"/>
    </row>
    <row r="19" spans="2:10" x14ac:dyDescent="0.2">
      <c r="B19" s="44">
        <f t="shared" ca="1" si="0"/>
        <v>16</v>
      </c>
      <c r="C19" s="44" t="s">
        <v>180</v>
      </c>
      <c r="D19" s="44" t="s">
        <v>164</v>
      </c>
      <c r="E19" s="44" t="s">
        <v>164</v>
      </c>
      <c r="F19" s="44" t="s">
        <v>165</v>
      </c>
      <c r="G19" s="44" t="s">
        <v>90</v>
      </c>
      <c r="H19" s="44" t="s">
        <v>57</v>
      </c>
      <c r="I19" s="44"/>
      <c r="J19" s="44" t="s">
        <v>94</v>
      </c>
    </row>
    <row r="20" spans="2:10" x14ac:dyDescent="0.2">
      <c r="B20" s="44">
        <f t="shared" ca="1" si="0"/>
        <v>17</v>
      </c>
      <c r="C20" s="44" t="s">
        <v>180</v>
      </c>
      <c r="D20" s="44" t="s">
        <v>88</v>
      </c>
      <c r="E20" s="44" t="s">
        <v>88</v>
      </c>
      <c r="F20" s="44" t="s">
        <v>89</v>
      </c>
      <c r="G20" s="44" t="s">
        <v>90</v>
      </c>
      <c r="H20" s="44" t="s">
        <v>57</v>
      </c>
      <c r="I20" s="44"/>
      <c r="J20" s="44" t="s">
        <v>91</v>
      </c>
    </row>
    <row r="21" spans="2:10" x14ac:dyDescent="0.2">
      <c r="B21" s="44">
        <f t="shared" ca="1" si="0"/>
        <v>18</v>
      </c>
      <c r="C21" s="44" t="s">
        <v>180</v>
      </c>
      <c r="D21" s="44" t="s">
        <v>121</v>
      </c>
      <c r="E21" s="44" t="s">
        <v>120</v>
      </c>
      <c r="F21" s="44" t="s">
        <v>122</v>
      </c>
      <c r="G21" s="44" t="s">
        <v>90</v>
      </c>
      <c r="H21" s="44" t="s">
        <v>57</v>
      </c>
      <c r="I21" s="44"/>
      <c r="J21" s="44" t="s">
        <v>190</v>
      </c>
    </row>
    <row r="22" spans="2:10" x14ac:dyDescent="0.2">
      <c r="B22" s="44">
        <f t="shared" ca="1" si="0"/>
        <v>19</v>
      </c>
      <c r="C22" s="44" t="s">
        <v>180</v>
      </c>
      <c r="D22" s="44" t="s">
        <v>125</v>
      </c>
      <c r="E22" s="44" t="s">
        <v>125</v>
      </c>
      <c r="F22" s="44" t="s">
        <v>128</v>
      </c>
      <c r="G22" s="44" t="s">
        <v>90</v>
      </c>
      <c r="H22" s="44" t="s">
        <v>57</v>
      </c>
      <c r="I22" s="44"/>
      <c r="J22" s="44" t="s">
        <v>129</v>
      </c>
    </row>
    <row r="23" spans="2:10" x14ac:dyDescent="0.2">
      <c r="B23" s="44">
        <f t="shared" ca="1" si="0"/>
        <v>20</v>
      </c>
      <c r="C23" s="44" t="s">
        <v>180</v>
      </c>
      <c r="D23" s="44" t="s">
        <v>134</v>
      </c>
      <c r="E23" s="44" t="s">
        <v>134</v>
      </c>
      <c r="F23" s="44" t="s">
        <v>135</v>
      </c>
      <c r="G23" s="44" t="s">
        <v>90</v>
      </c>
      <c r="H23" s="44" t="s">
        <v>57</v>
      </c>
      <c r="I23" s="44"/>
      <c r="J23" s="44" t="s">
        <v>136</v>
      </c>
    </row>
    <row r="24" spans="2:10" x14ac:dyDescent="0.2">
      <c r="B24" s="44">
        <f t="shared" ca="1" si="0"/>
        <v>21</v>
      </c>
      <c r="C24" s="44" t="s">
        <v>183</v>
      </c>
      <c r="D24" s="44" t="s">
        <v>104</v>
      </c>
      <c r="E24" s="44" t="s">
        <v>104</v>
      </c>
      <c r="F24" s="44" t="s">
        <v>105</v>
      </c>
      <c r="G24" s="44" t="s">
        <v>59</v>
      </c>
      <c r="H24" s="44" t="s">
        <v>57</v>
      </c>
      <c r="I24" s="44"/>
      <c r="J24" s="44"/>
    </row>
    <row r="25" spans="2:10" x14ac:dyDescent="0.2">
      <c r="B25" s="44">
        <f t="shared" ca="1" si="0"/>
        <v>22</v>
      </c>
      <c r="C25" s="44" t="s">
        <v>181</v>
      </c>
      <c r="D25" s="44" t="s">
        <v>51</v>
      </c>
      <c r="E25" s="44" t="s">
        <v>51</v>
      </c>
      <c r="F25" s="44" t="s">
        <v>56</v>
      </c>
      <c r="G25" s="44" t="s">
        <v>60</v>
      </c>
      <c r="H25" s="44" t="s">
        <v>22</v>
      </c>
      <c r="I25" s="44"/>
      <c r="J25" s="44"/>
    </row>
    <row r="26" spans="2:10" x14ac:dyDescent="0.2">
      <c r="B26" s="44">
        <f t="shared" ca="1" si="0"/>
        <v>23</v>
      </c>
      <c r="C26" s="44" t="s">
        <v>181</v>
      </c>
      <c r="D26" s="44" t="s">
        <v>66</v>
      </c>
      <c r="E26" s="44" t="s">
        <v>66</v>
      </c>
      <c r="F26" s="44" t="s">
        <v>69</v>
      </c>
      <c r="G26" s="44" t="s">
        <v>60</v>
      </c>
      <c r="H26" s="44" t="s">
        <v>22</v>
      </c>
      <c r="I26" s="44"/>
      <c r="J26" s="44"/>
    </row>
    <row r="27" spans="2:10" x14ac:dyDescent="0.2">
      <c r="B27" s="44">
        <f t="shared" ca="1" si="0"/>
        <v>24</v>
      </c>
      <c r="C27" s="44" t="s">
        <v>181</v>
      </c>
      <c r="D27" s="44" t="s">
        <v>67</v>
      </c>
      <c r="E27" s="44" t="s">
        <v>67</v>
      </c>
      <c r="F27" s="44" t="s">
        <v>70</v>
      </c>
      <c r="G27" s="44" t="s">
        <v>60</v>
      </c>
      <c r="H27" s="44" t="s">
        <v>22</v>
      </c>
      <c r="I27" s="44"/>
      <c r="J27" s="44"/>
    </row>
    <row r="28" spans="2:10" x14ac:dyDescent="0.2">
      <c r="B28" s="44">
        <f t="shared" ca="1" si="0"/>
        <v>25</v>
      </c>
      <c r="C28" s="44" t="s">
        <v>181</v>
      </c>
      <c r="D28" s="44" t="s">
        <v>68</v>
      </c>
      <c r="E28" s="44" t="s">
        <v>68</v>
      </c>
      <c r="F28" s="44" t="s">
        <v>71</v>
      </c>
      <c r="G28" s="44" t="s">
        <v>60</v>
      </c>
      <c r="H28" s="44" t="s">
        <v>22</v>
      </c>
      <c r="I28" s="44"/>
      <c r="J28" s="44"/>
    </row>
    <row r="29" spans="2:10" x14ac:dyDescent="0.2">
      <c r="B29" s="44">
        <f t="shared" ca="1" si="0"/>
        <v>26</v>
      </c>
      <c r="C29" s="44" t="s">
        <v>181</v>
      </c>
      <c r="D29" s="44" t="s">
        <v>154</v>
      </c>
      <c r="E29" s="44" t="s">
        <v>154</v>
      </c>
      <c r="F29" s="44" t="s">
        <v>155</v>
      </c>
      <c r="G29" s="44" t="s">
        <v>60</v>
      </c>
      <c r="H29" s="44" t="s">
        <v>57</v>
      </c>
      <c r="I29" s="44"/>
      <c r="J29" s="44"/>
    </row>
    <row r="30" spans="2:10" x14ac:dyDescent="0.2">
      <c r="B30" s="44">
        <f t="shared" ca="1" si="0"/>
        <v>27</v>
      </c>
      <c r="C30" s="44" t="s">
        <v>72</v>
      </c>
      <c r="D30" s="44" t="s">
        <v>72</v>
      </c>
      <c r="E30" s="44" t="s">
        <v>72</v>
      </c>
      <c r="F30" s="44" t="s">
        <v>73</v>
      </c>
      <c r="G30" s="44" t="s">
        <v>54</v>
      </c>
      <c r="H30" s="44" t="s">
        <v>57</v>
      </c>
      <c r="I30" s="44"/>
      <c r="J30" s="44"/>
    </row>
    <row r="31" spans="2:10" x14ac:dyDescent="0.2">
      <c r="B31" s="44">
        <f t="shared" ca="1" si="0"/>
        <v>28</v>
      </c>
      <c r="C31" s="44" t="s">
        <v>179</v>
      </c>
      <c r="D31" s="44" t="s">
        <v>92</v>
      </c>
      <c r="E31" s="44" t="s">
        <v>92</v>
      </c>
      <c r="F31" s="44" t="s">
        <v>93</v>
      </c>
      <c r="G31" s="44" t="s">
        <v>55</v>
      </c>
      <c r="H31" s="44" t="s">
        <v>57</v>
      </c>
      <c r="I31" s="44"/>
      <c r="J31" s="44"/>
    </row>
    <row r="32" spans="2:10" x14ac:dyDescent="0.2">
      <c r="B32" s="44">
        <f t="shared" ca="1" si="0"/>
        <v>29</v>
      </c>
      <c r="C32" s="44" t="s">
        <v>179</v>
      </c>
      <c r="D32" s="44" t="s">
        <v>123</v>
      </c>
      <c r="E32" s="44" t="s">
        <v>123</v>
      </c>
      <c r="F32" s="44" t="s">
        <v>124</v>
      </c>
      <c r="G32" s="44" t="s">
        <v>55</v>
      </c>
      <c r="H32" s="44"/>
      <c r="I32" s="44"/>
      <c r="J32" s="44"/>
    </row>
    <row r="33" spans="2:10" x14ac:dyDescent="0.2">
      <c r="B33" s="44">
        <f t="shared" ca="1" si="0"/>
        <v>30</v>
      </c>
      <c r="C33" s="44" t="s">
        <v>179</v>
      </c>
      <c r="D33" s="44" t="s">
        <v>158</v>
      </c>
      <c r="E33" s="44" t="s">
        <v>158</v>
      </c>
      <c r="F33" s="44" t="s">
        <v>159</v>
      </c>
      <c r="G33" s="44" t="s">
        <v>55</v>
      </c>
      <c r="H33" s="44"/>
      <c r="I33" s="44"/>
      <c r="J33" s="44"/>
    </row>
    <row r="34" spans="2:10" x14ac:dyDescent="0.2">
      <c r="B34" s="44">
        <f t="shared" ca="1" si="0"/>
        <v>31</v>
      </c>
      <c r="C34" s="44" t="s">
        <v>179</v>
      </c>
      <c r="D34" s="44" t="s">
        <v>138</v>
      </c>
      <c r="E34" s="44" t="s">
        <v>137</v>
      </c>
      <c r="F34" s="44" t="s">
        <v>139</v>
      </c>
      <c r="G34" s="44" t="s">
        <v>55</v>
      </c>
      <c r="H34" s="44"/>
      <c r="I34" s="44"/>
      <c r="J34" s="44"/>
    </row>
    <row r="35" spans="2:10" x14ac:dyDescent="0.2">
      <c r="B35" s="44">
        <f t="shared" ca="1" si="0"/>
        <v>32</v>
      </c>
      <c r="C35" s="44" t="s">
        <v>179</v>
      </c>
      <c r="D35" s="44" t="s">
        <v>160</v>
      </c>
      <c r="E35" s="44" t="s">
        <v>160</v>
      </c>
      <c r="F35" s="44" t="s">
        <v>163</v>
      </c>
      <c r="G35" s="44" t="s">
        <v>55</v>
      </c>
      <c r="H35" s="44" t="s">
        <v>57</v>
      </c>
      <c r="I35" s="44"/>
      <c r="J35" s="44"/>
    </row>
    <row r="36" spans="2:10" x14ac:dyDescent="0.2">
      <c r="B36" s="44">
        <f t="shared" ca="1" si="0"/>
        <v>33</v>
      </c>
      <c r="C36" s="44" t="s">
        <v>179</v>
      </c>
      <c r="D36" s="44" t="s">
        <v>161</v>
      </c>
      <c r="E36" s="44" t="s">
        <v>161</v>
      </c>
      <c r="F36" s="44" t="s">
        <v>162</v>
      </c>
      <c r="G36" s="44" t="s">
        <v>55</v>
      </c>
      <c r="H36" s="44" t="s">
        <v>57</v>
      </c>
      <c r="I36" s="44"/>
      <c r="J36" s="44"/>
    </row>
    <row r="37" spans="2:10" x14ac:dyDescent="0.2">
      <c r="B37" s="44">
        <f t="shared" ca="1" si="0"/>
        <v>34</v>
      </c>
      <c r="C37" s="44" t="s">
        <v>178</v>
      </c>
      <c r="D37" s="44" t="s">
        <v>50</v>
      </c>
      <c r="E37" s="44" t="s">
        <v>50</v>
      </c>
      <c r="F37" s="44" t="s">
        <v>177</v>
      </c>
      <c r="G37" s="44" t="s">
        <v>103</v>
      </c>
      <c r="H37" s="44" t="s">
        <v>22</v>
      </c>
      <c r="I37" s="44"/>
      <c r="J37" s="44"/>
    </row>
    <row r="38" spans="2:10" x14ac:dyDescent="0.2">
      <c r="B38" s="44">
        <f t="shared" ca="1" si="0"/>
        <v>35</v>
      </c>
      <c r="C38" s="44" t="s">
        <v>23</v>
      </c>
      <c r="D38" s="44" t="s">
        <v>49</v>
      </c>
      <c r="E38" s="44" t="s">
        <v>49</v>
      </c>
      <c r="F38" s="44" t="s">
        <v>53</v>
      </c>
      <c r="G38" s="44" t="s">
        <v>54</v>
      </c>
      <c r="H38" s="44" t="s">
        <v>57</v>
      </c>
      <c r="I38" s="44"/>
      <c r="J38" s="44"/>
    </row>
    <row r="39" spans="2:10" x14ac:dyDescent="0.2">
      <c r="B39" s="44">
        <f t="shared" ca="1" si="0"/>
        <v>36</v>
      </c>
      <c r="C39" s="44" t="s">
        <v>23</v>
      </c>
      <c r="D39" s="44" t="s">
        <v>61</v>
      </c>
      <c r="E39" s="44" t="s">
        <v>61</v>
      </c>
      <c r="F39" s="44" t="s">
        <v>62</v>
      </c>
      <c r="G39" s="44" t="s">
        <v>54</v>
      </c>
      <c r="H39" s="44" t="s">
        <v>57</v>
      </c>
      <c r="I39" s="44"/>
      <c r="J39" s="44"/>
    </row>
    <row r="40" spans="2:10" x14ac:dyDescent="0.2">
      <c r="B40" s="44">
        <f t="shared" ca="1" si="0"/>
        <v>37</v>
      </c>
      <c r="C40" s="44" t="s">
        <v>23</v>
      </c>
      <c r="D40" s="44" t="s">
        <v>63</v>
      </c>
      <c r="E40" s="44" t="s">
        <v>63</v>
      </c>
      <c r="F40" s="44" t="s">
        <v>64</v>
      </c>
      <c r="G40" s="44" t="s">
        <v>54</v>
      </c>
      <c r="H40" s="44" t="s">
        <v>57</v>
      </c>
      <c r="I40" s="44"/>
      <c r="J40" s="44"/>
    </row>
    <row r="41" spans="2:10" x14ac:dyDescent="0.2">
      <c r="B41" s="44">
        <f t="shared" ca="1" si="0"/>
        <v>38</v>
      </c>
      <c r="C41" s="44" t="s">
        <v>23</v>
      </c>
      <c r="D41" s="44" t="s">
        <v>118</v>
      </c>
      <c r="E41" s="44" t="s">
        <v>118</v>
      </c>
      <c r="F41" s="44" t="s">
        <v>119</v>
      </c>
      <c r="G41" s="44" t="s">
        <v>54</v>
      </c>
      <c r="H41" s="44" t="s">
        <v>57</v>
      </c>
      <c r="I41" s="44"/>
      <c r="J41" s="44"/>
    </row>
    <row r="42" spans="2:10" x14ac:dyDescent="0.2">
      <c r="B42" s="44">
        <f t="shared" ca="1" si="0"/>
        <v>39</v>
      </c>
      <c r="C42" s="44" t="s">
        <v>75</v>
      </c>
      <c r="D42" s="44" t="s">
        <v>75</v>
      </c>
      <c r="E42" s="44" t="s">
        <v>75</v>
      </c>
      <c r="F42" s="44" t="s">
        <v>76</v>
      </c>
      <c r="G42" s="44" t="s">
        <v>60</v>
      </c>
      <c r="H42" s="44" t="s">
        <v>57</v>
      </c>
      <c r="I42" s="44"/>
      <c r="J42" s="44"/>
    </row>
    <row r="43" spans="2:10" x14ac:dyDescent="0.2">
      <c r="B43" s="44">
        <f t="shared" ca="1" si="0"/>
        <v>40</v>
      </c>
      <c r="C43" s="44" t="s">
        <v>65</v>
      </c>
      <c r="D43" s="44" t="s">
        <v>65</v>
      </c>
      <c r="E43" s="44" t="s">
        <v>65</v>
      </c>
      <c r="F43" s="44" t="s">
        <v>150</v>
      </c>
      <c r="G43" s="44" t="s">
        <v>59</v>
      </c>
      <c r="H43" s="44" t="s">
        <v>22</v>
      </c>
      <c r="I43" s="44"/>
      <c r="J43" s="44"/>
    </row>
    <row r="44" spans="2:10" x14ac:dyDescent="0.2">
      <c r="B44" s="44">
        <f t="shared" ca="1" si="0"/>
        <v>41</v>
      </c>
      <c r="C44" s="44"/>
      <c r="D44" s="44"/>
      <c r="E44" s="44"/>
      <c r="F44" s="44"/>
      <c r="G44" s="44"/>
      <c r="H44" s="44"/>
      <c r="I44" s="44"/>
      <c r="J44" s="44"/>
    </row>
    <row r="45" spans="2:10" x14ac:dyDescent="0.2">
      <c r="B45" s="44">
        <f t="shared" ca="1" si="0"/>
        <v>42</v>
      </c>
      <c r="C45" s="44"/>
      <c r="D45" s="44"/>
      <c r="E45" s="44"/>
      <c r="F45" s="44"/>
      <c r="G45" s="44"/>
      <c r="H45" s="44"/>
      <c r="I45" s="44"/>
      <c r="J45" s="44"/>
    </row>
    <row r="46" spans="2:10" x14ac:dyDescent="0.2">
      <c r="B46" s="44">
        <f t="shared" ca="1" si="0"/>
        <v>43</v>
      </c>
      <c r="C46" s="44"/>
      <c r="D46" s="44"/>
      <c r="E46" s="44"/>
      <c r="F46" s="44"/>
      <c r="G46" s="44"/>
      <c r="H46" s="44"/>
      <c r="I46" s="44"/>
      <c r="J46" s="44"/>
    </row>
    <row r="47" spans="2:10" x14ac:dyDescent="0.2">
      <c r="B47" s="44">
        <f t="shared" ca="1" si="0"/>
        <v>44</v>
      </c>
      <c r="C47" s="44"/>
      <c r="D47" s="44"/>
      <c r="E47" s="44"/>
      <c r="F47" s="44"/>
      <c r="G47" s="44"/>
      <c r="H47" s="44"/>
      <c r="I47" s="44"/>
      <c r="J47" s="44"/>
    </row>
  </sheetData>
  <autoFilter ref="B3:J47" xr:uid="{A1110C7F-4931-4EA9-8D9F-8E3F21B7260B}">
    <sortState xmlns:xlrd2="http://schemas.microsoft.com/office/spreadsheetml/2017/richdata2" ref="B4:J47">
      <sortCondition ref="C3:C47"/>
    </sortState>
  </autoFilter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9</vt:i4>
      </vt:variant>
    </vt:vector>
  </HeadingPairs>
  <TitlesOfParts>
    <vt:vector size="20" baseType="lpstr">
      <vt:lpstr>テーブル一覧</vt:lpstr>
      <vt:lpstr>大会マスタ</vt:lpstr>
      <vt:lpstr>主催者マスタ</vt:lpstr>
      <vt:lpstr>エントリ枠</vt:lpstr>
      <vt:lpstr>大会サービス</vt:lpstr>
      <vt:lpstr>大会アイテム</vt:lpstr>
      <vt:lpstr>参加申込み</vt:lpstr>
      <vt:lpstr>会員マスタ</vt:lpstr>
      <vt:lpstr>会員ポイント</vt:lpstr>
      <vt:lpstr>パラメータマスタ</vt:lpstr>
      <vt:lpstr>ドメイン定義</vt:lpstr>
      <vt:lpstr>エントリ枠!インデックス開始位置</vt:lpstr>
      <vt:lpstr>パラメータマスタ!インデックス開始位置</vt:lpstr>
      <vt:lpstr>会員ポイント!インデックス開始位置</vt:lpstr>
      <vt:lpstr>会員マスタ!インデックス開始位置</vt:lpstr>
      <vt:lpstr>参加申込み!インデックス開始位置</vt:lpstr>
      <vt:lpstr>主催者マスタ!インデックス開始位置</vt:lpstr>
      <vt:lpstr>大会アイテム!インデックス開始位置</vt:lpstr>
      <vt:lpstr>大会サービス!インデックス開始位置</vt:lpstr>
      <vt:lpstr>インデックス開始位置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okamoto</dc:creator>
  <cp:lastModifiedBy>kaikyou</cp:lastModifiedBy>
  <cp:lastPrinted>2016-12-01T11:45:24Z</cp:lastPrinted>
  <dcterms:created xsi:type="dcterms:W3CDTF">2015-07-15T10:31:16Z</dcterms:created>
  <dcterms:modified xsi:type="dcterms:W3CDTF">2022-08-26T07:18:19Z</dcterms:modified>
</cp:coreProperties>
</file>