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Users/k.kibe/Downloads/"/>
    </mc:Choice>
  </mc:AlternateContent>
  <xr:revisionPtr revIDLastSave="0" documentId="13_ncr:1_{413C70C9-2C8C-F346-8732-C88ED8B7B5AC}" xr6:coauthVersionLast="46" xr6:coauthVersionMax="46" xr10:uidLastSave="{00000000-0000-0000-0000-000000000000}"/>
  <bookViews>
    <workbookView xWindow="0" yWindow="460" windowWidth="33600" windowHeight="18940" xr2:uid="{00000000-000D-0000-FFFF-FFFF00000000}"/>
  </bookViews>
  <sheets>
    <sheet name="報告用" sheetId="16" r:id="rId1"/>
    <sheet name="発生・消化曲線" sheetId="15" r:id="rId2"/>
    <sheet name="ステータス" sheetId="13" r:id="rId3"/>
    <sheet name="消化原因" sheetId="17" r:id="rId4"/>
    <sheet name="担当別消化数" sheetId="14" state="hidden"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9" i="17"/>
  <c r="B8" i="17"/>
  <c r="B7" i="17"/>
  <c r="B6" i="17"/>
  <c r="B5" i="17"/>
  <c r="B4" i="17"/>
  <c r="B3" i="17"/>
  <c r="B2"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S28" i="15" s="1"/>
  <c r="R25" i="15"/>
  <c r="Q25" i="15"/>
  <c r="P25" i="15"/>
  <c r="O25" i="15"/>
  <c r="O28" i="15" s="1"/>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17" i="14"/>
  <c r="D16" i="14"/>
  <c r="D15" i="14"/>
  <c r="D14" i="14"/>
  <c r="D13" i="14"/>
  <c r="D12" i="14"/>
  <c r="D11" i="14"/>
  <c r="D10" i="14"/>
  <c r="D9" i="14"/>
  <c r="D8" i="14"/>
  <c r="D7" i="14"/>
  <c r="D6" i="14"/>
  <c r="D5" i="14"/>
  <c r="D4" i="14"/>
  <c r="D3" i="14"/>
  <c r="D2" i="14"/>
  <c r="B3" i="14"/>
  <c r="B4" i="14"/>
  <c r="B5" i="14"/>
  <c r="B6" i="14"/>
  <c r="B7" i="14"/>
  <c r="B8" i="14"/>
  <c r="B9" i="14"/>
  <c r="B10" i="14"/>
  <c r="B11" i="14"/>
  <c r="B12" i="14"/>
  <c r="B13" i="14"/>
  <c r="B14" i="14"/>
  <c r="B15" i="14"/>
  <c r="B16" i="14"/>
  <c r="B17" i="14"/>
  <c r="C3" i="14"/>
  <c r="C4" i="14"/>
  <c r="C5" i="14"/>
  <c r="C6" i="14"/>
  <c r="C7" i="14"/>
  <c r="C8" i="14"/>
  <c r="C9" i="14"/>
  <c r="C10" i="14"/>
  <c r="C11" i="14"/>
  <c r="C12" i="14"/>
  <c r="C13" i="14"/>
  <c r="C14" i="14"/>
  <c r="C15" i="14"/>
  <c r="C16" i="14"/>
  <c r="C17"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M28" i="15" l="1"/>
  <c r="N28" i="15"/>
  <c r="R28" i="15"/>
  <c r="B4" i="15" s="1"/>
  <c r="V28" i="15"/>
  <c r="Z28" i="15"/>
  <c r="P28" i="15"/>
  <c r="X28" i="15"/>
  <c r="AB28" i="15"/>
  <c r="Q28" i="15"/>
  <c r="U28" i="15"/>
  <c r="Y28" i="15"/>
  <c r="W28" i="15"/>
  <c r="AA28" i="15"/>
  <c r="E28" i="15"/>
  <c r="G28" i="15"/>
  <c r="T28" i="15"/>
  <c r="F28" i="15"/>
  <c r="H28" i="15"/>
  <c r="I28" i="15"/>
  <c r="J28" i="15"/>
  <c r="B28" i="15"/>
  <c r="B29" i="15" s="1"/>
  <c r="K28" i="15"/>
  <c r="C28" i="15"/>
  <c r="L28" i="15"/>
  <c r="J19" i="15"/>
  <c r="R19" i="15"/>
  <c r="B3" i="15" s="1"/>
  <c r="Z19" i="15"/>
  <c r="B18" i="14"/>
  <c r="C5" i="17"/>
  <c r="D5" i="17" s="1"/>
  <c r="C6" i="17"/>
  <c r="D6" i="17" s="1"/>
  <c r="C7" i="17"/>
  <c r="D7" i="17" s="1"/>
  <c r="C8" i="17"/>
  <c r="D8" i="17" s="1"/>
  <c r="C9" i="17"/>
  <c r="D9" i="17" s="1"/>
  <c r="C2" i="17"/>
  <c r="C3" i="17"/>
  <c r="D3" i="17" s="1"/>
  <c r="C4" i="17"/>
  <c r="D4" i="17" s="1"/>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18" i="14"/>
  <c r="C18" i="14"/>
  <c r="E17" i="14"/>
  <c r="E9" i="14"/>
  <c r="E16" i="14"/>
  <c r="E8" i="14"/>
  <c r="E15" i="14"/>
  <c r="E7" i="14"/>
  <c r="E14" i="14"/>
  <c r="E6" i="14"/>
  <c r="E13" i="14"/>
  <c r="E5" i="14"/>
  <c r="E12" i="14"/>
  <c r="E4" i="14"/>
  <c r="E11" i="14"/>
  <c r="E3" i="14"/>
  <c r="E10" i="14"/>
  <c r="E2" i="14"/>
  <c r="E6" i="13"/>
  <c r="E5" i="13"/>
  <c r="E4" i="13"/>
  <c r="E3" i="13"/>
  <c r="D7" i="13"/>
  <c r="C7" i="13"/>
  <c r="B5" i="15" l="1"/>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2" i="17"/>
  <c r="D10" i="17" s="1"/>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18" i="14"/>
  <c r="E7" i="13"/>
  <c r="B7" i="13"/>
  <c r="E2" i="17" l="1"/>
  <c r="E10" i="17" s="1"/>
  <c r="B2" i="10"/>
  <c r="B2" i="9"/>
</calcChain>
</file>

<file path=xl/sharedStrings.xml><?xml version="1.0" encoding="utf-8"?>
<sst xmlns="http://schemas.openxmlformats.org/spreadsheetml/2006/main" count="1517" uniqueCount="892">
  <si>
    <t>個人 API Key</t>
    <rPh sb="0" eb="2">
      <t>コジン</t>
    </rPh>
    <phoneticPr fontId="4"/>
  </si>
  <si>
    <t>リンク</t>
    <phoneticPr fontId="4"/>
  </si>
  <si>
    <t>IssueID</t>
    <phoneticPr fontId="4"/>
  </si>
  <si>
    <t>タイトル</t>
    <phoneticPr fontId="4"/>
  </si>
  <si>
    <t>Backlog API URL</t>
    <phoneticPr fontId="4"/>
  </si>
  <si>
    <t>https://sasuke-fl.backlog.com/view/</t>
    <phoneticPr fontId="4"/>
  </si>
  <si>
    <t>Backlog URL</t>
    <phoneticPr fontId="4"/>
  </si>
  <si>
    <t>OPEN</t>
  </si>
  <si>
    <t>親課題</t>
    <rPh sb="0" eb="1">
      <t>オヤ</t>
    </rPh>
    <rPh sb="1" eb="3">
      <t>カダイ</t>
    </rPh>
    <phoneticPr fontId="4"/>
  </si>
  <si>
    <t>バックログID</t>
    <phoneticPr fontId="4"/>
  </si>
  <si>
    <t>https://sasuke-fl.backlog.com/api/v2/issues</t>
    <phoneticPr fontId="4"/>
  </si>
  <si>
    <t>backlog</t>
    <phoneticPr fontId="4"/>
  </si>
  <si>
    <t>現担当者</t>
    <rPh sb="0" eb="4">
      <t>ゲンタントウシャ</t>
    </rPh>
    <phoneticPr fontId="4"/>
  </si>
  <si>
    <t>ステータス</t>
    <phoneticPr fontId="4"/>
  </si>
  <si>
    <t>開始日</t>
    <rPh sb="0" eb="3">
      <t>カイシビ</t>
    </rPh>
    <phoneticPr fontId="4"/>
  </si>
  <si>
    <t>終了日</t>
    <rPh sb="0" eb="3">
      <t>シュウリョウビ</t>
    </rPh>
    <phoneticPr fontId="4"/>
  </si>
  <si>
    <t>事象内容</t>
    <rPh sb="0" eb="2">
      <t>ジショウ</t>
    </rPh>
    <rPh sb="2" eb="4">
      <t>ナイヨウ</t>
    </rPh>
    <phoneticPr fontId="4"/>
  </si>
  <si>
    <t>障害原因</t>
    <rPh sb="0" eb="2">
      <t>ショウガイ</t>
    </rPh>
    <rPh sb="2" eb="4">
      <t>ゲンイン</t>
    </rPh>
    <phoneticPr fontId="4"/>
  </si>
  <si>
    <t>対応内容</t>
    <rPh sb="0" eb="2">
      <t>タイオウ</t>
    </rPh>
    <rPh sb="2" eb="4">
      <t>ナイヨウ</t>
    </rPh>
    <phoneticPr fontId="4"/>
  </si>
  <si>
    <t>障害分類</t>
    <rPh sb="0" eb="2">
      <t>ショウガイ</t>
    </rPh>
    <rPh sb="2" eb="4">
      <t>ブンルイ</t>
    </rPh>
    <phoneticPr fontId="4"/>
  </si>
  <si>
    <t>未対応</t>
  </si>
  <si>
    <t>完了</t>
  </si>
  <si>
    <t>実装不備</t>
  </si>
  <si>
    <t>その他</t>
  </si>
  <si>
    <t xml:space="preserve">kz94UACQFS002bGiYmEjPb3lJHiLHOk1jig9Q1jtvOW2dk5OySaPDkWlOSAqoD9B </t>
    <phoneticPr fontId="4"/>
  </si>
  <si>
    <t>障害対象設計書</t>
    <phoneticPr fontId="4"/>
  </si>
  <si>
    <t>SASUKE_PROJ_H8739-511</t>
    <phoneticPr fontId="4"/>
  </si>
  <si>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</si>
  <si>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</si>
  <si>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</si>
  <si>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</si>
  <si>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</si>
  <si>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</si>
  <si>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</si>
  <si>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</si>
  <si>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</si>
  <si>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</si>
  <si>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</si>
  <si>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</si>
  <si>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</si>
  <si>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</si>
  <si>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</si>
  <si>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</si>
  <si>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</si>
  <si>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</si>
  <si>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</si>
  <si>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</si>
  <si>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</si>
  <si>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</si>
  <si>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</si>
  <si>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</si>
  <si>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</si>
  <si>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</si>
  <si>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</si>
  <si>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</si>
  <si>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</si>
  <si>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</si>
  <si>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</si>
  <si>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</si>
  <si>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</si>
  <si>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</si>
  <si>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</si>
  <si>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</si>
  <si>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</si>
  <si>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</si>
  <si>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</si>
  <si>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</si>
  <si>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</si>
  <si>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</si>
  <si>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</si>
  <si>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</si>
  <si>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</si>
  <si>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</si>
  <si>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</si>
  <si>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</si>
  <si>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</si>
  <si>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</si>
  <si>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</si>
  <si>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</si>
  <si>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SASUKE_PROJ_H8739-521</t>
  </si>
  <si>
    <t>SASUKE_PROJ_H8739-711</t>
    <phoneticPr fontId="4"/>
  </si>
  <si>
    <t>SASUKE_PROJ_H8739-756</t>
    <phoneticPr fontId="4"/>
  </si>
  <si>
    <t>【親課題】単体テストで発見された不具合・障害報告(SP1～SP5)</t>
  </si>
  <si>
    <t>【親課題】単体テストで発見された不具合・障害報告(SP1～SP5)</t>
    <phoneticPr fontId="4"/>
  </si>
  <si>
    <t>【親課題】単体テストで発見された不具合・障害報告(SP6)</t>
  </si>
  <si>
    <t>【親課題】単体テストで発見された横断対応(優先度低)</t>
  </si>
  <si>
    <t>【親課題】単体テストで発見された不具合・障害報告(SP6)</t>
    <phoneticPr fontId="4"/>
  </si>
  <si>
    <t>【親課題】単体テストで発見された横断対応(優先度低)</t>
    <phoneticPr fontId="4"/>
  </si>
  <si>
    <t>SP1～SP5</t>
    <phoneticPr fontId="4"/>
  </si>
  <si>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</si>
  <si>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</si>
  <si>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</si>
  <si>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</si>
  <si>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</si>
  <si>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</si>
  <si>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</si>
  <si>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</si>
  <si>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</si>
  <si>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</si>
  <si>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</si>
  <si>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【単体テスト・不具合】全画面共通_「次へ」系の遷移ボタンの多重押下防止処理の対応</t>
  </si>
  <si>
    <t>TM石川</t>
  </si>
  <si>
    <t>SASUKE_PROJ_H8739-771</t>
  </si>
  <si>
    <t>SASUKE_PROJ_H8739-765</t>
  </si>
  <si>
    <t>PCデザインに変更した際に、正しくバリデーションが効かなくなった。</t>
  </si>
  <si>
    <t>SASUKE_PROJ_H8739-649で行った対応と同様。
次へボタンが有効になる条件を変更。</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</si>
  <si>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</si>
  <si>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</si>
  <si>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</si>
  <si>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</si>
  <si>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</si>
  <si>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【単体テスト・不具合】G0125_申込完了画面_セッションが削除されていない</t>
  </si>
  <si>
    <t>セッション削除処理が未実装なため、画面描画後、画面リフレッシュすると申込完了画面が再表示される</t>
  </si>
  <si>
    <t>実装不備
（詳細設計書には、セッションより全ての申込情報を破棄する　記載あり）</t>
  </si>
  <si>
    <t>申込完了画面表示処理後に申込セッション情報の初期化をおこなった。</t>
  </si>
  <si>
    <t>詳細設計書_G0125_申込完了画面.xlsx</t>
  </si>
  <si>
    <t>SASUKE_PROJ_H8739-743</t>
  </si>
  <si>
    <t>SA/UI設計不備</t>
  </si>
  <si>
    <t>SA/UI設計不備、実装不備</t>
  </si>
  <si>
    <t>SA/UI設計書を修正
実装：条件式のコード値を修正</t>
  </si>
  <si>
    <t>画面設計書_G0125_申込完了画面.xlsx</t>
  </si>
  <si>
    <t>SASUKE_PROJ_H8739-729</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</si>
  <si>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</si>
  <si>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</si>
  <si>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SASUKE_PROJ_H8739-728</t>
  </si>
  <si>
    <t>SASUKE_PROJ_H8739-727</t>
  </si>
  <si>
    <t>SASUKE_PROJ_H8739-726</t>
  </si>
  <si>
    <t>親質問更新時にスクロール位置が保持されているため</t>
  </si>
  <si>
    <t>親質問更新時に、最上部へ自動スクロールするように変更</t>
  </si>
  <si>
    <t>SASUKE_PROJ_H8739-725</t>
  </si>
  <si>
    <t>SASUKE_PROJ_H8739-724</t>
  </si>
  <si>
    <t>SASUKE_PROJ_H8739-723</t>
  </si>
  <si>
    <t>SASUKE_PROJ_H8739-722</t>
  </si>
  <si>
    <t>SASUKE_PROJ_H8739-721</t>
  </si>
  <si>
    <t>SASUKE_PROJ_H8739-720</t>
  </si>
  <si>
    <t>SASUKE_PROJ_H8739-718</t>
  </si>
  <si>
    <t>SASUKE_PROJ_H8739-717</t>
  </si>
  <si>
    <t>詳細設計書_G0107_個人情報入力画面.xlsx</t>
  </si>
  <si>
    <t>SASUKE_PROJ_H8739-716</t>
  </si>
  <si>
    <t>実装修正</t>
  </si>
  <si>
    <t>SASUKE_PROJ_H8739-713</t>
  </si>
  <si>
    <t>SASUKE_PROJ_H8739-712</t>
  </si>
  <si>
    <t>詳細設計書_G0124_申込内容最終確認画面</t>
  </si>
  <si>
    <t>SASUKE_PROJ_H8739-710</t>
  </si>
  <si>
    <t>SASUKE_PROJ_H8739-709</t>
  </si>
  <si>
    <t>未実装</t>
  </si>
  <si>
    <t>SASUKE_PROJ_H8739-708</t>
  </si>
  <si>
    <t>SASUKE_PROJ_H8739-707</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</si>
  <si>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</si>
  <si>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</si>
  <si>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</si>
  <si>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</si>
  <si>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SASUKE_PROJ_H8739-705</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</si>
  <si>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</si>
  <si>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SASUKE_PROJ_H8739-704</t>
  </si>
  <si>
    <t>SASUKE_PROJ_H8739-702</t>
  </si>
  <si>
    <t>口座振替を選択した際に表示されるモーダルの×ボタンが非表示になっている。
![image][口座振替モーダルの×ボタンが非表示.png]</t>
  </si>
  <si>
    <t>【単体テスト・不具合】詳細設計書_G0121_保険料払込方法選択画面.xlsx
https://docs.google.com/spreadsheets/d/1yz8WC-mIkkmnPHbe1dGw_bFlZsuHjbnN/edit#gid=1692270551</t>
  </si>
  <si>
    <t>SASUKE_PROJ_H8739-700</t>
  </si>
  <si>
    <t>SASUKE_PROJ_H8739-698</t>
  </si>
  <si>
    <t>SASUKE_PROJ_H8739-697</t>
  </si>
  <si>
    <t>処理済み</t>
  </si>
  <si>
    <t>SASUKE_PROJ_H8739-694</t>
  </si>
  <si>
    <t>SASUKE_PROJ_H8739-692</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</si>
  <si>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</si>
  <si>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</si>
  <si>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</si>
  <si>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SASUKE_PROJ_H8739-691</t>
  </si>
  <si>
    <t>SASUKE_PROJ_H8739-687</t>
  </si>
  <si>
    <t>SASUKE_PROJ_H8739-682</t>
  </si>
  <si>
    <t>SASUKE_PROJ_H8739-681</t>
  </si>
  <si>
    <t>SASUKE_PROJ_H8739-679</t>
  </si>
  <si>
    <t>【単体テスト・不具合】G0106 ご本人さま確認に関して画面 次へボタンを押下した際に二重押下防止の処理がなく、押下できてしまう</t>
  </si>
  <si>
    <t>SASUKE_PROJ_H8739-678</t>
  </si>
  <si>
    <t>TM_y-ishigaki</t>
  </si>
  <si>
    <t>SASUKE_PROJ_H8739-676</t>
  </si>
  <si>
    <t>Koichi Kibe</t>
  </si>
  <si>
    <t>詳細設計書_G0128_Web申込み専用ページログイン画面（仮登録後）.xlsx
https://drive.google.com/file/d/17FsWMQyY9xLFEOz3DQbbqFsJpwIlMciS/view?usp=sharing</t>
  </si>
  <si>
    <t>SASUKE_PROJ_H8739-675</t>
  </si>
  <si>
    <t>SASUKE_PROJ_H8739-674</t>
  </si>
  <si>
    <t>TM薬袋</t>
  </si>
  <si>
    <t>SASUKE_PROJ_H8739-673</t>
  </si>
  <si>
    <t>SASUKE_PROJ_H8739-672</t>
  </si>
  <si>
    <t>SASUKE_PROJ_H8739-671</t>
  </si>
  <si>
    <t>SASUKE_PROJ_H8739-670</t>
  </si>
  <si>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</si>
  <si>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</si>
  <si>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</si>
  <si>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対応時の取り込み漏れと思われる。</t>
  </si>
  <si>
    <t>下記をFigmaに合わせて修正しました。
・「認証する」ボタンの形状が異なる
・背景色がついていない</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</si>
  <si>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</si>
  <si>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</si>
  <si>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</si>
  <si>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</si>
  <si>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</si>
  <si>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</si>
  <si>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</si>
  <si>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</si>
  <si>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</si>
  <si>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SASUKE_PROJ_H8739-762
セッション取得処理が不要だったため、処理を削除しました。</t>
  </si>
  <si>
    <t>詳細設計書_G0128_Web申込み専用ページログイン画面（仮登録後）.xlsx
https://drive.google.com/file/d/17FsWMQyY9xLFEOz3DQbbqFsJpwIlMciS/view</t>
  </si>
  <si>
    <t>SASUKE_PROJ_H8739-664</t>
  </si>
  <si>
    <t>【未実装】G0119_受取人・請求人入力画面</t>
  </si>
  <si>
    <t>生年月日周りのJS処理    (計算機から持ってくる)</t>
  </si>
  <si>
    <t>計算機画面をG0119の生年月日と合わせました</t>
  </si>
  <si>
    <t>詳細設計書_G0119_受取人・請求人入力画面</t>
  </si>
  <si>
    <t>SASUKE_PROJ_H8739-659</t>
  </si>
  <si>
    <t>【単体テスト・不具合】G0127_Web申込み専用ページ仮登録完了画面　再読込み時エラー画面に遷移される。</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</si>
  <si>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</si>
  <si>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</si>
  <si>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</si>
  <si>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</si>
  <si>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</si>
  <si>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遷移先であるWeb申込み専用ページログイン画面（G0201）がセットされていなかった。</t>
  </si>
  <si>
    <t>hrefに遷移先を追加　&lt;a href="{{ route('G0201') }}" class="btn small white rounded-login personal-content-item-btn"&gt;</t>
  </si>
  <si>
    <t>SASUKE_PROJ_H8739-657</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</si>
  <si>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</si>
  <si>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</si>
  <si>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</si>
  <si>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SASUKE_PROJ_H8739-656</t>
  </si>
  <si>
    <t>【単体テスト・不具合】G0127_Web申込み専用ページ仮登録完了画面　エラー画面に遷移されてしまう。</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</si>
  <si>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</si>
  <si>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</si>
  <si>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</si>
  <si>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</si>
  <si>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</si>
  <si>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</si>
  <si>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</si>
  <si>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SASUKE_PROJ_H8739-654</t>
  </si>
  <si>
    <t>SASUKE_PROJ_H8739-653</t>
  </si>
  <si>
    <t>二重押下防止の処理の実装を実施。</t>
  </si>
  <si>
    <t>SASUKE_PROJ_H8739-652</t>
  </si>
  <si>
    <t>SASUKE_PROJ_H8739-651</t>
  </si>
  <si>
    <t>SASUKE_PROJ_H8739-650</t>
  </si>
  <si>
    <t>SASUKE_PROJ_H8739-649</t>
  </si>
  <si>
    <t>戻るで遷移した際に入力内容が反映される実装が行われていなかったため。</t>
  </si>
  <si>
    <t>セッションに格納されているデータを取得し、設定するように修正。</t>
  </si>
  <si>
    <t>SASUKE_PROJ_H8739-648</t>
  </si>
  <si>
    <t>川上祐輝</t>
  </si>
  <si>
    <t>SASUKE_PROJ_H8739-647</t>
  </si>
  <si>
    <t>画面設計書_G0116_ご職業・年収入力画面</t>
  </si>
  <si>
    <t>SASUKE_PROJ_H8739-643</t>
  </si>
  <si>
    <t>SASUKE_PROJ_H8739-641</t>
  </si>
  <si>
    <t>詳細設計書_G0123_本人確認書類提出画面</t>
  </si>
  <si>
    <t>SASUKE_PROJ_H8739-640</t>
  </si>
  <si>
    <t>cssの設定値不備</t>
  </si>
  <si>
    <t>PCレイアウト修正時にセレクトボックスのデザイン修正</t>
  </si>
  <si>
    <t>SASUKE_PROJ_H8739-639</t>
  </si>
  <si>
    <t>SASUKE_PROJ_H8739-638</t>
  </si>
  <si>
    <t>【単体テスト・不具合】G127_Web申込み専用ページ仮登録完了画面　閉じるボタンでウィンドウが閉じない。</t>
  </si>
  <si>
    <t>閉じるボタンでウィンドウが閉じない。</t>
  </si>
  <si>
    <t>window.close() は、chromeにおいてセキュリティ的にNGとなっている。</t>
  </si>
  <si>
    <t>「閉じる」ボタンではなく、「TOPに戻る」ボタンに変更いたしました。
（須永さん確認済み　→　Figma変更済み）</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</si>
  <si>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</si>
  <si>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</si>
  <si>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</si>
  <si>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</si>
  <si>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</si>
  <si>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</si>
  <si>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</si>
  <si>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</si>
  <si>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</si>
  <si>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画面設計書_共通バリデーションチェック仕様書不備</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</si>
  <si>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</si>
  <si>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</si>
  <si>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</si>
  <si>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SASUKE_PROJ_H8739-628</t>
  </si>
  <si>
    <t>画面設計書_G0119_受取人・請求人入力画面</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</si>
  <si>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</si>
  <si>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</si>
  <si>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</si>
  <si>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</si>
  <si>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</si>
  <si>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</si>
  <si>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</si>
  <si>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</si>
  <si>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</si>
  <si>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</si>
  <si>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</si>
  <si>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</si>
  <si>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</si>
  <si>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</si>
  <si>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</si>
  <si>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SASUKE_PROJ_H8739-610</t>
  </si>
  <si>
    <t>SASUKE_PROJ_H8739-608</t>
  </si>
  <si>
    <t>SASUKE_PROJ_H8739-607</t>
  </si>
  <si>
    <t>SASUKE_PROJ_H8739-605</t>
  </si>
  <si>
    <t>SASUKE_PROJ_H8739-604</t>
  </si>
  <si>
    <t>SASUKE_PROJ_H8739-601</t>
  </si>
  <si>
    <t>SASUKE_PROJ_H8739-600</t>
  </si>
  <si>
    <t>【単体テスト・不具合】G0121_保険料払込方法選択画面_ボタンの二重押下防止が未実装</t>
  </si>
  <si>
    <t>・ボタン押下後にボタンが非活性化していない</t>
  </si>
  <si>
    <t>実装しました。</t>
  </si>
  <si>
    <t>SASUKE_PROJ_H8739-599</t>
  </si>
  <si>
    <t>【単体テスト・不具合】G0121_保険料払込方法選択画面_支払方法未選択前にボタンが活性化していない</t>
  </si>
  <si>
    <t>・支払方法が未選択状態で活性状態であること</t>
  </si>
  <si>
    <t>SASUKE_PROJ_H8739-596</t>
  </si>
  <si>
    <t>【単体テスト・不具合】商品の表示順が未実装</t>
  </si>
  <si>
    <t>申込内容確認画面などにおいて、商品（主契約特約の約款含む）の表示順が担保されていない。</t>
  </si>
  <si>
    <t>SASUKE_PROJ_H8739-593</t>
  </si>
  <si>
    <t>SASUKE_PROJ_H8739-592</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</si>
  <si>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</si>
  <si>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</si>
  <si>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詳細設計書_G0120_受取人・請求人確認画面.xlsx</t>
  </si>
  <si>
    <t>SASUKE_PROJ_H8739-591</t>
  </si>
  <si>
    <t>松橋佑矢</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</si>
  <si>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</si>
  <si>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</si>
  <si>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SASUKE_PROJ_H8739-587</t>
  </si>
  <si>
    <t>SASUKE_PROJ_H8739-582</t>
  </si>
  <si>
    <t>SASUKE_PROJ_H8739-580</t>
  </si>
  <si>
    <t>【単体テスト・不具合】G0111意向確認画面　戻るボタンで戻ってきた時にチェックがクリアされている</t>
  </si>
  <si>
    <t>チェックがクリアされていて、次へボタンが押せない</t>
  </si>
  <si>
    <t>SASUKE_PROJ_H8739-578</t>
  </si>
  <si>
    <t>【単体テスト・不具合】G0111 意向確認画面「 次へ」ボタンを押下した際に二重押下防止の処理がなく、押下できてしまう</t>
  </si>
  <si>
    <t>SASUKE_PROJ_H8739-575</t>
  </si>
  <si>
    <t>【SS設計不備】G0111_意向確認画面_詳細設計 意向カテゴリ文言誤り</t>
  </si>
  <si>
    <t>【誤】特定の疾病の **補償** （がんなどへの備え）
【正】特定の疾病の **保障** （がんなどへの備え）</t>
  </si>
  <si>
    <t>詳細設計書_G0111_意向確認画面</t>
  </si>
  <si>
    <t>SASUKE_PROJ_H8739-574</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</si>
  <si>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</si>
  <si>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</si>
  <si>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</si>
  <si>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</si>
  <si>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</si>
  <si>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</si>
  <si>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</si>
  <si>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</si>
  <si>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</si>
  <si>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</si>
  <si>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</si>
  <si>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</si>
  <si>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</si>
  <si>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</si>
  <si>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</si>
  <si>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</si>
  <si>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</si>
  <si>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</si>
  <si>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</si>
  <si>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SASUKE_PROJ_H8739-569</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</si>
  <si>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</si>
  <si>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</si>
  <si>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SASUKE_PROJ_H8739-568</t>
  </si>
  <si>
    <t>【単体テスト・不具合】G0111意向確認画面 セッションの商品コード、もしくは商品付加バージョン3のデータがない場合に最終意向が空で表示される</t>
  </si>
  <si>
    <t>セッションの商品コード、もしくは商品付加バージョン3のデータがない場合に最終意向が空で表示される
（正しい挙動）
システムエラー画面に遷移するのが正しい挙動</t>
  </si>
  <si>
    <t>SASUKE_PROJ_H8739-567</t>
  </si>
  <si>
    <t>SASUKE_PROJ_H8739-566</t>
  </si>
  <si>
    <t>【単体テスト・不具合】G0119_受取人・請求人入力画面_入力情報の確認へボタンが２重押下できる</t>
  </si>
  <si>
    <t>SASUKE_PROJ_H8739-565</t>
  </si>
  <si>
    <t>SASUKE_PROJ_H8739-558</t>
  </si>
  <si>
    <t>詳細設計書_G0105_申込前確認画面.xlsx＞プロセス概要
　→資料URL：https://docs.google.com/spreadsheets/d/1vfRgJpXYhrNNFllllc5LllSvjJFnepyQ/edit#gid=1646711699</t>
  </si>
  <si>
    <t>Safari(iOS)のみ、次画面の"G0106_重要事項確認画面"からブラウザバックで遷移してきたとき際に、「次へ」ボタンが非活性のまま表示されている</t>
  </si>
  <si>
    <t>【SS設計不備】G0106 ご本人さま確認に関して画面_申込セッションが存在しないときG9991画面にリダイレクトと記載されているがG9990が正</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</si>
  <si>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</si>
  <si>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</si>
  <si>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</si>
  <si>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</si>
  <si>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</si>
  <si>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</si>
  <si>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</si>
  <si>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</si>
  <si>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</si>
  <si>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</si>
  <si>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</si>
  <si>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SASUKE_PROJ_H8739-776</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</si>
  <si>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</si>
  <si>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</si>
  <si>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</si>
  <si>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</si>
  <si>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</si>
  <si>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【SS設計不備】G0213_Web申込み専用ページパスワード変更確認画面_変更するボタン押下時にログインされていたらパスワード変更せずにリダイレクトされるが不要</t>
  </si>
  <si>
    <t>詳細設計書_G0213_Web申込み専用ページパスワード変更確認画面</t>
  </si>
  <si>
    <t>SASUKE_PROJ_H8739-768</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</si>
  <si>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</si>
  <si>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</si>
  <si>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SASUKE_PROJ_H8739-766</t>
  </si>
  <si>
    <t>【単体テスト・不具合】G0212_Web申込み専用ページパスワード変更画面（未ログイン）_戻るボタン押下のURLがおかしい</t>
  </si>
  <si>
    <t>戻るボタン押下のURLがおかしい
![image][スクリーンショット 2021-01-20 12.40.41.png]
![image][スクリーンショット 2021-01-20 12.41.15.png]
![image][スクリーンショット 2021-01-20 12.41.25.png]
![image][スクリーンショット 2021-01-20 12.41.30.png]</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</si>
  <si>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</si>
  <si>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</si>
  <si>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</si>
  <si>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</si>
  <si>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</si>
  <si>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</si>
  <si>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詳細設計書_G0212_Web申込み専用パスワード変更画面(未ログイン)</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</si>
  <si>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</si>
  <si>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</si>
  <si>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</si>
  <si>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</si>
  <si>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</si>
  <si>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</si>
  <si>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</si>
  <si>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</si>
  <si>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</si>
  <si>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</si>
  <si>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</si>
  <si>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</si>
  <si>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SASUKE_PROJ_H8739-719</t>
  </si>
  <si>
    <t>【その他】G0117_告知情報入力画面(AURA)_告知のポイント、用語解説モーダルのiframe内のHTMLを受領できていない</t>
  </si>
  <si>
    <t>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</si>
  <si>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</si>
  <si>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</si>
  <si>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</si>
  <si>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</si>
  <si>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【単体テスト・不具合】G0107_個人情報入力画面_Figma上のデザインと異なる</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</si>
  <si>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</si>
  <si>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</si>
  <si>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</si>
  <si>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</si>
  <si>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</si>
  <si>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</si>
  <si>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</si>
  <si>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【単体テスト・不具合】（PEND）G0121_保険料払込方法選択画面_ポップアップのデザイン・文言が異なる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</si>
  <si>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</si>
  <si>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</si>
  <si>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【単体テスト・不具合】キーボードのEnterによる挙動</t>
  </si>
  <si>
    <t>Enterにより次の画面に遷移させるかどうか</t>
  </si>
  <si>
    <t>SASUKE_PROJ_H8739-590</t>
  </si>
  <si>
    <t>【単体テスト・不具合】（PEND）G0120_受取人・請求人確認画面_初期表示がfigmaと異なる</t>
  </si>
  <si>
    <t>1.配偶者が表示されない
![image][No1_2.png]
2.画面上部の文言がfigmaと異なる
![image][figmaと文言が異なる箇所.jpg]</t>
  </si>
  <si>
    <t>SASUKE_PROJ_H8739-586</t>
  </si>
  <si>
    <t>【単体テスト・不具合】（未実装）再開時の承諾対象コード確認</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</si>
  <si>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</si>
  <si>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</si>
  <si>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</si>
  <si>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</si>
  <si>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</si>
  <si>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</si>
  <si>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</si>
  <si>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</si>
  <si>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</si>
  <si>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</si>
  <si>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</si>
  <si>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</si>
  <si>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</si>
  <si>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</si>
  <si>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</si>
  <si>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</si>
  <si>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</si>
  <si>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</si>
  <si>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</si>
  <si>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</si>
  <si>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【SA/UI設計不備】（PEND）G0111_意向確認画面_割増しされている　と　割増されていない　の表記揺れ　</t>
  </si>
  <si>
    <t>G0111_意向確認画面_割増しされている　と　割増されていない　の表記揺れ　
添付参照</t>
  </si>
  <si>
    <t>デザイン</t>
  </si>
  <si>
    <t>SASUKE_PROJ_H8739-576</t>
  </si>
  <si>
    <t>【SA/UI設計不備】（PEND）G0111_意向確認画面_冒頭文言とチェックボックスの文言について</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</si>
  <si>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</si>
  <si>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</si>
  <si>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【単体テスト・不具合】（PEND）G0111_意向確認画面 意向変更された際のメッセージの文言に誤りがある</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</si>
  <si>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</si>
  <si>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【単体テスト・不具合】（PEND）G0112_告知情報事前確認画面_表のレイアウトが異なる</t>
  </si>
  <si>
    <t>表のタイトル、本文がFigmaでは横並びだが、実装では縦並びのレイアウトになっている</t>
  </si>
  <si>
    <t>定性コメント：</t>
    <rPh sb="0" eb="2">
      <t>テイセイ</t>
    </rPh>
    <phoneticPr fontId="14"/>
  </si>
  <si>
    <t>一人当たり予定消化件数</t>
    <rPh sb="0" eb="2">
      <t>ヒトリ</t>
    </rPh>
    <rPh sb="2" eb="3">
      <t>ア</t>
    </rPh>
    <rPh sb="5" eb="7">
      <t>ヨテイ</t>
    </rPh>
    <rPh sb="7" eb="9">
      <t>ショウカ</t>
    </rPh>
    <rPh sb="9" eb="11">
      <t>ケンスウ</t>
    </rPh>
    <phoneticPr fontId="14"/>
  </si>
  <si>
    <t>対応メンバ数</t>
    <rPh sb="0" eb="2">
      <t>タイオウ</t>
    </rPh>
    <rPh sb="5" eb="6">
      <t>スウ</t>
    </rPh>
    <phoneticPr fontId="14"/>
  </si>
  <si>
    <t>残日数
(翌日～1月末の営業日数)</t>
    <rPh sb="0" eb="1">
      <t>ザン</t>
    </rPh>
    <rPh sb="1" eb="3">
      <t>ニッスウ</t>
    </rPh>
    <rPh sb="5" eb="7">
      <t>ヨクジツ</t>
    </rPh>
    <rPh sb="9" eb="11">
      <t>ガツマツ</t>
    </rPh>
    <rPh sb="12" eb="14">
      <t>エイギョウ</t>
    </rPh>
    <rPh sb="14" eb="16">
      <t>ニッスウ</t>
    </rPh>
    <phoneticPr fontId="14"/>
  </si>
  <si>
    <t>対応件数予実差分</t>
    <rPh sb="0" eb="4">
      <t xml:space="preserve">タイオウケンスウ </t>
    </rPh>
    <rPh sb="4" eb="6">
      <t xml:space="preserve">ヨジツ </t>
    </rPh>
    <rPh sb="6" eb="8">
      <t xml:space="preserve">サブン </t>
    </rPh>
    <phoneticPr fontId="14"/>
  </si>
  <si>
    <t>参考数値</t>
    <rPh sb="0" eb="4">
      <t xml:space="preserve">サンコウスウチ </t>
    </rPh>
    <phoneticPr fontId="14"/>
  </si>
  <si>
    <t>見込み完了日</t>
    <rPh sb="0" eb="2">
      <t xml:space="preserve">ミコミ </t>
    </rPh>
    <rPh sb="3" eb="6">
      <t xml:space="preserve">カンリョウビ </t>
    </rPh>
    <phoneticPr fontId="14"/>
  </si>
  <si>
    <t>見込み残日数
（未完了/平均減少件数）</t>
    <rPh sb="0" eb="2">
      <t xml:space="preserve">ミコミ </t>
    </rPh>
    <rPh sb="3" eb="4">
      <t xml:space="preserve">ザンケンスウ </t>
    </rPh>
    <rPh sb="4" eb="6">
      <t xml:space="preserve">ニッスウ </t>
    </rPh>
    <phoneticPr fontId="14"/>
  </si>
  <si>
    <t>-</t>
    <phoneticPr fontId="14"/>
  </si>
  <si>
    <t>チケット減少件数</t>
    <rPh sb="4" eb="6">
      <t xml:space="preserve">ゲンショウ </t>
    </rPh>
    <rPh sb="6" eb="8">
      <t xml:space="preserve">ケンスウ </t>
    </rPh>
    <phoneticPr fontId="14"/>
  </si>
  <si>
    <t>完了前日比</t>
    <rPh sb="0" eb="2">
      <t xml:space="preserve">カンリョウ </t>
    </rPh>
    <rPh sb="2" eb="4">
      <t xml:space="preserve">ゼンジツヒ </t>
    </rPh>
    <rPh sb="4" eb="5">
      <t xml:space="preserve">ヒ </t>
    </rPh>
    <phoneticPr fontId="14"/>
  </si>
  <si>
    <t>追加チケット数</t>
    <rPh sb="0" eb="2">
      <t xml:space="preserve">ツイカ </t>
    </rPh>
    <rPh sb="6" eb="7">
      <t xml:space="preserve">スウ </t>
    </rPh>
    <phoneticPr fontId="14"/>
  </si>
  <si>
    <t>チケット</t>
    <phoneticPr fontId="14"/>
  </si>
  <si>
    <t>合計：全件数</t>
    <rPh sb="0" eb="2">
      <t>ゴウケイ</t>
    </rPh>
    <rPh sb="2" eb="3">
      <t>：</t>
    </rPh>
    <rPh sb="3" eb="6">
      <t xml:space="preserve">ゼンケンスウ </t>
    </rPh>
    <phoneticPr fontId="4"/>
  </si>
  <si>
    <t>合計：未完了件数</t>
    <rPh sb="0" eb="2">
      <t>ゴウケイ</t>
    </rPh>
    <rPh sb="3" eb="8">
      <t xml:space="preserve">ミカンリョウケンスウ </t>
    </rPh>
    <phoneticPr fontId="4"/>
  </si>
  <si>
    <t>合計</t>
    <rPh sb="0" eb="2">
      <t>ゴウケイ</t>
    </rPh>
    <phoneticPr fontId="4"/>
  </si>
  <si>
    <t>合計</t>
    <rPh sb="0" eb="2">
      <t>ゴウケイ</t>
    </rPh>
    <phoneticPr fontId="14"/>
  </si>
  <si>
    <t>完了</t>
    <rPh sb="0" eb="2">
      <t>カンリョウ</t>
    </rPh>
    <phoneticPr fontId="4"/>
  </si>
  <si>
    <t>処理中</t>
    <rPh sb="0" eb="3">
      <t>ショリチュウ</t>
    </rPh>
    <phoneticPr fontId="4"/>
  </si>
  <si>
    <t>未対応</t>
    <rPh sb="0" eb="3">
      <t>ミタイオウ</t>
    </rPh>
    <phoneticPr fontId="4"/>
  </si>
  <si>
    <t>ステータス</t>
    <phoneticPr fontId="14"/>
  </si>
  <si>
    <t>未完了件数見込み
（総量は仮置き）</t>
    <rPh sb="0" eb="3">
      <t xml:space="preserve">ミカンリョウ </t>
    </rPh>
    <rPh sb="3" eb="5">
      <t xml:space="preserve">ケンスウ </t>
    </rPh>
    <rPh sb="5" eb="7">
      <t xml:space="preserve">ミコミ </t>
    </rPh>
    <rPh sb="10" eb="12">
      <t xml:space="preserve">ソウリョウ </t>
    </rPh>
    <phoneticPr fontId="14"/>
  </si>
  <si>
    <t>予定対応件数</t>
    <rPh sb="0" eb="2">
      <t xml:space="preserve">ヨテイ </t>
    </rPh>
    <rPh sb="2" eb="4">
      <t xml:space="preserve">タイオウ </t>
    </rPh>
    <rPh sb="4" eb="6">
      <t xml:space="preserve">ケンスウ </t>
    </rPh>
    <phoneticPr fontId="14"/>
  </si>
  <si>
    <t>予定</t>
    <rPh sb="0" eb="1">
      <t xml:space="preserve">ヨテイ </t>
    </rPh>
    <phoneticPr fontId="14"/>
  </si>
  <si>
    <t>日付</t>
    <rPh sb="0" eb="2">
      <t>ヒヅケ</t>
    </rPh>
    <phoneticPr fontId="14"/>
  </si>
  <si>
    <t>＜SP1〜5のPTサマリ＞</t>
    <phoneticPr fontId="14"/>
  </si>
  <si>
    <t>＜計算用＞</t>
    <rPh sb="1" eb="4">
      <t>ケイサンヨウ</t>
    </rPh>
    <phoneticPr fontId="4"/>
  </si>
  <si>
    <t>SP6</t>
    <phoneticPr fontId="4"/>
  </si>
  <si>
    <t>優先度低</t>
  </si>
  <si>
    <t>修正
担当者</t>
    <rPh sb="0" eb="2">
      <t>シュウセイ</t>
    </rPh>
    <rPh sb="3" eb="6">
      <t>タントウシャ</t>
    </rPh>
    <phoneticPr fontId="4"/>
  </si>
  <si>
    <t>森山</t>
  </si>
  <si>
    <t>担当者</t>
    <rPh sb="0" eb="3">
      <t>タントウシャ</t>
    </rPh>
    <phoneticPr fontId="4"/>
  </si>
  <si>
    <t>森山</t>
    <rPh sb="0" eb="2">
      <t>モリヤマ</t>
    </rPh>
    <phoneticPr fontId="4"/>
  </si>
  <si>
    <t>石川</t>
    <rPh sb="0" eb="2">
      <t>イシカワ</t>
    </rPh>
    <phoneticPr fontId="4"/>
  </si>
  <si>
    <t>消化</t>
    <rPh sb="0" eb="2">
      <t>ショウカ</t>
    </rPh>
    <phoneticPr fontId="4"/>
  </si>
  <si>
    <t>空欄</t>
    <rPh sb="0" eb="2">
      <t>クウラン</t>
    </rPh>
    <phoneticPr fontId="4"/>
  </si>
  <si>
    <t>＜発生＞</t>
    <rPh sb="1" eb="3">
      <t>ハッセイ</t>
    </rPh>
    <phoneticPr fontId="4"/>
  </si>
  <si>
    <t>～1/10</t>
    <phoneticPr fontId="4"/>
  </si>
  <si>
    <t>発生</t>
    <rPh sb="0" eb="2">
      <t>ハッセイ</t>
    </rPh>
    <phoneticPr fontId="4"/>
  </si>
  <si>
    <t>要件不備</t>
  </si>
  <si>
    <t>テスト仕様書不備</t>
  </si>
  <si>
    <t>テスト実施不備</t>
  </si>
  <si>
    <t>原因分類</t>
    <rPh sb="0" eb="4">
      <t>ゲンインブンルイ</t>
    </rPh>
    <phoneticPr fontId="4"/>
  </si>
  <si>
    <t>＜日付指定＞</t>
    <rPh sb="1" eb="5">
      <t>ヒヅケシテイ</t>
    </rPh>
    <phoneticPr fontId="4"/>
  </si>
  <si>
    <t>分類</t>
    <rPh sb="0" eb="2">
      <t>ブンルイ</t>
    </rPh>
    <phoneticPr fontId="4"/>
  </si>
  <si>
    <t>＜完了＞</t>
    <rPh sb="1" eb="3">
      <t>カンリョウ</t>
    </rPh>
    <phoneticPr fontId="4"/>
  </si>
  <si>
    <t>増減</t>
    <rPh sb="0" eb="2">
      <t>ゾウゲン</t>
    </rPh>
    <phoneticPr fontId="4"/>
  </si>
  <si>
    <t>＜収束予定日＞</t>
    <rPh sb="1" eb="3">
      <t>シュウソク</t>
    </rPh>
    <rPh sb="3" eb="6">
      <t>ヨテイビ</t>
    </rPh>
    <phoneticPr fontId="4"/>
  </si>
  <si>
    <t>01/18～現在</t>
    <rPh sb="6" eb="8">
      <t>ゲンザイ</t>
    </rPh>
    <phoneticPr fontId="4"/>
  </si>
  <si>
    <t>小川</t>
  </si>
  <si>
    <t>SASUKE_PROJ_H8739-822</t>
  </si>
  <si>
    <t>「なし」の文字を表示するIF文処理のなかに色用のクラス付けのタグを追加しました。</t>
  </si>
  <si>
    <t>【単体テスト・不具合】G0107_個人情報入力画面_外部認証コードの設定値が違う</t>
  </si>
  <si>
    <t>TM有友</t>
  </si>
  <si>
    <t>外部認証の共通ビジネスロジックで設定されている、外部認証コード(extAuthCode)が違う
下記のように設定されている。
Yahoo：1
LINE：2
dアカウント：3</t>
  </si>
  <si>
    <t>外部認証する際のURL　`"/webdirect/register-login/callback"`のURLを下記のいずれかの方法で変更する。
+ 定義の順番を変えてみる
+ 正規表現で制約をかける
+ ルート階層を変える</t>
  </si>
  <si>
    <t>sunaga-natsuko</t>
  </si>
  <si>
    <t>【SS設計不備】G127_Web申込み専用ページ仮登録完了画面_閉じるボタンが使えない</t>
  </si>
  <si>
    <t>閉じるボタンを実行するための、window.close() がchromeのセキュリティ的に動作しないので変更する必要がある。
→TOPに戻るボタンに変更する。
→実装は対応済みのため、設計書への反映をお願いします。
SASUKE_PROJ_H8739-638</t>
  </si>
  <si>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</si>
  <si>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</si>
  <si>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CSSの不備に関するもの
`:hover` はスマホではタップ時のみ機能するものではないので、PCと挙動が異なるため発生するもの</t>
  </si>
  <si>
    <t>【サスケ】小川啓太</t>
  </si>
  <si>
    <t>処理中</t>
  </si>
  <si>
    <t>CSSで横幅720px以上で非表示にする処理が入っているため</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</si>
  <si>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</si>
  <si>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</si>
  <si>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</si>
  <si>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</si>
  <si>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</si>
  <si>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【単体テスト・不具合】G0128_Web申込専用ページログイン画面（仮登録後） 外部認証ログインの設計不備</t>
  </si>
  <si>
    <t>基本設計不備</t>
  </si>
  <si>
    <t>外部認証でログインするとき、初期表示のとき外部認証IDと外部認証コードを保持していない。
そのため、認証するボタンを押下時、アカウント認証APIに外部認証IDと外部認証コードをポストできない。　</t>
  </si>
  <si>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</si>
  <si>
    <t>値によって表示出し分け
項目「仕事の内容」については、
無しの場合はセッション空ではなく、00になる。</t>
  </si>
  <si>
    <t>【単体テスト・不具合】G0107_個人情報入力画面_二重押下出来てしまう</t>
  </si>
  <si>
    <t>次画面へ遷移するために、「次へ」ボタンを二重で押下出来てしまう。</t>
  </si>
  <si>
    <t>詳細設計書_G0107_個人情報入力画面.xlsx
画面設計書_共通バリデーションチェック仕様書.xlsx</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</si>
  <si>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</si>
  <si>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</si>
  <si>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SS設計不備による、実装不備</t>
  </si>
  <si>
    <t>ZIPSERVERのエラーコードを対応できるようにIF文に追加しました。</t>
  </si>
  <si>
    <t>【未実装】G0128_Web申込み専用ページログイン画面（仮登録後）_外部認証ログイン画面が表示されない</t>
  </si>
  <si>
    <t>下記3種類の外部認証ログイン画面が表示されない
・LINE
・dアカウント
・Yahoo!</t>
  </si>
  <si>
    <t>画面設計書_共通メッセージ仕様書.xlsx
画面設計書_G0107_個人情報入力画面.xlsx
詳細設計書_G0107_個人情報入力画面.xlsx</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</si>
  <si>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</si>
  <si>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</si>
  <si>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</si>
  <si>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</si>
  <si>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</si>
  <si>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</si>
  <si>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dアカウントで画像アップロードしたら次へボタンのポップアップを出るようにの処理がありました。</t>
  </si>
  <si>
    <t>dアカウントで画像アップロードしたら次へボタンのポップアップを出るようにの処理を外しました。</t>
  </si>
  <si>
    <t>【単体テスト・不具合】G0107_個人情報入力画面　外部認証ができない。</t>
  </si>
  <si>
    <t>Yahoo,Line,DocomoのClient_idが設定されていないため外部認証ができない。</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</si>
  <si>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</si>
  <si>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</si>
  <si>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</si>
  <si>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【単体テスト・不具合】G0123_本人確認書類提出画面_dアカウントで確認完了後の画面遷移でエラー</t>
  </si>
  <si>
    <t>dアカウントで確認完了後の画面遷移でエラー
![image][スクリーンショット 2021-01-12 12.38.27.png]</t>
  </si>
  <si>
    <t>「次へ」に意事項のチェックに反応できる処理はなかったです。</t>
  </si>
  <si>
    <t>「×ボタン」に表示・非表示の処理が含まれていなかったです。</t>
  </si>
  <si>
    <t>「×ボタン」は初期表示時、非表示。
アップロード済みの場合、表示とする。</t>
  </si>
  <si>
    <t>【未実装】G0128_Web申込み専用ページログイン画面（仮登録後）_外部認証ログイン機能</t>
  </si>
  <si>
    <t>外部認証コードがまだ揃っていないため、検証環境にて該当部分が動作しない。
外部認証コードについては以下のチケット参照
https://sasuke-fl.backlog.com/view/SASUKE_PROJ_H8739-557</t>
  </si>
  <si>
    <t>【単体テスト・不具合】最初から始める際セッションに前回の申込情報がいる場合の考慮</t>
  </si>
  <si>
    <t>最初から始める際セッションに前回の申込情報がいる場合の考慮ができていない</t>
  </si>
  <si>
    <t>家塚</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</si>
  <si>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</si>
  <si>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</si>
  <si>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▼vue.jsってそもそも・・・
E11対象外。
フロントエンドのライブラリ選定でそもそもミスっている。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</si>
  <si>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</si>
  <si>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</si>
  <si>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</si>
  <si>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</si>
  <si>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</si>
  <si>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</si>
  <si>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</si>
  <si>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【内部変更】告知検索APIの実装</t>
  </si>
  <si>
    <t>集計日</t>
    <rPh sb="0" eb="2">
      <t>シュウケイホンブン</t>
    </rPh>
    <phoneticPr fontId="4"/>
  </si>
  <si>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</si>
  <si>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</si>
  <si>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・バリデーションメッセージ追加・修正
・許容文字追加
・電話番号、携帯電話番号の合計桁数に関するバリデーション追加</t>
  </si>
  <si>
    <t>SASUKE_PROJ_H8739-829</t>
  </si>
  <si>
    <t>【単体テスト・不具合】G0201_Web申込み専用ページログイン画面 ログイン後、G0202画面にリダイレクトされない。</t>
    <phoneticPr fontId="4"/>
  </si>
  <si>
    <t>伊東 雅弘</t>
    <phoneticPr fontId="4"/>
  </si>
  <si>
    <t>未対応</t>
    <phoneticPr fontId="4"/>
  </si>
  <si>
    <t>実装不備</t>
    <phoneticPr fontId="4"/>
  </si>
  <si>
    <t>G0201_Web申込み専用ページログイン画面 でメールアドレスでログイン後、`/webdirect/login`のURLに遷移しても、G0202画面にリダイレクトされない。
G9990_エラー画面に遷移されてしまう。</t>
    <phoneticPr fontId="4"/>
  </si>
  <si>
    <t>【SA/UI設計不備】G0124_申込内容最終確認画面_先進医療特約の表示がfigmaと異なる</t>
    <phoneticPr fontId="4"/>
  </si>
  <si>
    <t>川村和英</t>
    <phoneticPr fontId="4"/>
  </si>
  <si>
    <t>SA/UI設計不備</t>
    <phoneticPr fontId="4"/>
  </si>
  <si>
    <t>~~先進医療特約(該当約款コードD1A)の保険料と「付加する」の文言が表示されない~~
先進医療特約(該当約款コードD1A)の保険料が表示されない
![image][2021-01-25_10h30_46.png]</t>
    <phoneticPr fontId="4"/>
  </si>
  <si>
    <t>処理済み</t>
    <phoneticPr fontId="4"/>
  </si>
  <si>
    <t>【単体テスト・不具合】G0118_告知情報確認画面(AURA)_修正するボタン押下してモーダル開くとコンソールにエラーが出ている</t>
    <phoneticPr fontId="4"/>
  </si>
  <si>
    <t>inouchi</t>
    <phoneticPr fontId="4"/>
  </si>
  <si>
    <t>完了</t>
    <phoneticPr fontId="4"/>
  </si>
  <si>
    <t>修正するボタン押下してモーダル開くとコンソールにエラーが出ている
以下添付参照
![image][スクリーンショット 2021-01-21 11.19.31.png]</t>
    <phoneticPr fontId="4"/>
  </si>
  <si>
    <t>【単体テスト・不具合】全画面共通_「次へ」系の遷移ボタンの多重押下防止処理の対応</t>
    <phoneticPr fontId="4"/>
  </si>
  <si>
    <t>sunaga-natsuko</t>
    <phoneticPr fontId="4"/>
  </si>
  <si>
    <t>★要件不備／SA/UI設計不備／SS設計不備／実装不備／テスト仕様書不備／テスト実施不備／テスト環境不備／その他</t>
    <phoneticPr fontId="4"/>
  </si>
  <si>
    <t>【単体テスト・不具合】G0118_告知情報確認画面(AURA)_身長を修正後に無関係に思われるモーダルが表示されて閉じると修正が反映されていない</t>
    <phoneticPr fontId="4"/>
  </si>
  <si>
    <t xml:space="preserve">身長を修正後に無関係に思われるモーダルが表示されて閉じると修正が反映されていない
</t>
    <phoneticPr fontId="4"/>
  </si>
  <si>
    <t>【単体テスト・不具合】G0117_告知情報入力画面(AURA)_次の質問へ遷移する際に縦スクロール位置が保持されているために、次の質問を読む際に再度上にスクロールしないと読めない</t>
    <phoneticPr fontId="4"/>
  </si>
  <si>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4"/>
  </si>
  <si>
    <t>【単体テスト・不具合】G0117_告知情報入力画面(AURA)_告知のポイントのリンククリックしたモーダルのタイトルが表示されない</t>
    <phoneticPr fontId="4"/>
  </si>
  <si>
    <t>【サスケ】小川啓太</t>
    <phoneticPr fontId="4"/>
  </si>
  <si>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phoneticPr fontId="4"/>
  </si>
  <si>
    <t>・まだ表示させる静的HTMLファイルの連携がされていないため</t>
    <phoneticPr fontId="4"/>
  </si>
  <si>
    <t>【単体テスト・不具合】G0117_告知情報入力画面(AURA)_PCレイアウトだと〜門中〜問目の表記が表示されない</t>
    <phoneticPr fontId="4"/>
  </si>
  <si>
    <t>PCレイアウトだと〜門中〜問目の表記が表示されない
![image][スクリーンショット 2021-01-18 13.10.47.png]
![image][スクリーンショット 2021-01-18 13.11.03.png]</t>
    <phoneticPr fontId="4"/>
  </si>
  <si>
    <t>tm-s_teramoto</t>
    <phoneticPr fontId="4"/>
  </si>
  <si>
    <t>t.taguchi</t>
    <phoneticPr fontId="4"/>
  </si>
  <si>
    <t>【単体テスト・不具合】G0108_個情報確認画面 ログイン時に次へボタンを押下すると、常にポップアップが表示される。</t>
    <phoneticPr fontId="4"/>
  </si>
  <si>
    <t>TM_y-ishigaki</t>
    <phoneticPr fontId="4"/>
  </si>
  <si>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4"/>
  </si>
  <si>
    <t>https://drive.google.com/file/d/1vntEud9OYMEiIKA6Cv1XISIDK1m_zmDS/view?usp=sharing</t>
    <phoneticPr fontId="4"/>
  </si>
  <si>
    <t>TM森山</t>
    <phoneticPr fontId="4"/>
  </si>
  <si>
    <t>SS設計不備</t>
    <phoneticPr fontId="4"/>
  </si>
  <si>
    <t>詳細設計書_G0128_Web申込み専用ページログイン画面（仮登録後）.xlsx
https://drive.google.com/file/d/17FsWMQyY9xLFEOz3DQbbqFsJpwIlMciS/view?usp=sharing</t>
    <phoneticPr fontId="4"/>
  </si>
  <si>
    <t>https://drive.google.com/drive/u/0/folders/1fXyon-jhtG9DaFNDJ0Qot7R0vGHClbzR 詳細設計書_G0116_ご職業・年収入力画面</t>
    <phoneticPr fontId="4"/>
  </si>
  <si>
    <t>処理中</t>
    <phoneticPr fontId="4"/>
  </si>
  <si>
    <t>【SA/UI設計不備】G0116_ご職業・年収入力画面_勤務先で半角文字入力途中で禁則文字エラーが表示される</t>
    <phoneticPr fontId="4"/>
  </si>
  <si>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4"/>
  </si>
  <si>
    <t>Justin  Brunnette</t>
    <phoneticPr fontId="4"/>
  </si>
  <si>
    <t>【単体テスト・不具合】元号が「昭和64・平成1」とならず「平成1」となっている</t>
    <phoneticPr fontId="4"/>
  </si>
  <si>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4"/>
  </si>
  <si>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4"/>
  </si>
  <si>
    <t>【単体テスト・不具合】G0123_本人確認書類提出画面_画像アップロード後にデザインの「OK」が表示されない</t>
    <phoneticPr fontId="4"/>
  </si>
  <si>
    <t>【単体テスト・不具合】G0123_本人確認書類提出画面_画像アップロード後にデザイン（Figma）の「OK」が表示されない
以下はFigmaのコピー
![image][スクリーンショット 2021-01-12 16.04.57.png]</t>
    <phoneticPr fontId="4"/>
  </si>
  <si>
    <t>【単体テスト・不具合】外部ログインの共有ロジックファイルについて</t>
    <phoneticPr fontId="4"/>
  </si>
  <si>
    <t>テスト環境不備</t>
    <phoneticPr fontId="4"/>
  </si>
  <si>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4"/>
  </si>
  <si>
    <t>【単体テスト・不具合】G0123_本人確認書類提出画面_SPでファイルアップロード時、ファイルサイズ大きい場合にバリデーションエラーメッセージに気づかない</t>
    <phoneticPr fontId="4"/>
  </si>
  <si>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4"/>
  </si>
  <si>
    <t>TM有友</t>
    <phoneticPr fontId="4"/>
  </si>
  <si>
    <t>【詳細設計書不備】G0123_本人確認書類提出画面_ファイルアップロードしてるがよろしいですかのメッセージ文言</t>
    <phoneticPr fontId="4"/>
  </si>
  <si>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4"/>
  </si>
  <si>
    <t>【SS設計不備】G0123_本人確認書類提出画面_次へボタンの活性化制御</t>
    <phoneticPr fontId="4"/>
  </si>
  <si>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4"/>
  </si>
  <si>
    <t>中道信行</t>
    <phoneticPr fontId="4"/>
  </si>
  <si>
    <t>井内</t>
  </si>
  <si>
    <t>取得日時：2021/01/26 17:00:35</t>
    <phoneticPr fontId="4"/>
  </si>
  <si>
    <t>SASUKE_PROJ_H8739-833</t>
  </si>
  <si>
    <t>【単体テスト・不具合】G0123_本人確認書類提出画面_同じファイルを一度アップロードして削除して再アップロードするとプレビューが表示されない</t>
    <phoneticPr fontId="4"/>
  </si>
  <si>
    <t>Justin  Brunnette</t>
  </si>
  <si>
    <t>同じファイルを一度アップロードして削除して再アップロードするとプレビューが表示されない</t>
    <phoneticPr fontId="4"/>
  </si>
  <si>
    <t>SASUKE_PROJ_H8739-832</t>
  </si>
  <si>
    <t>【単体テスト・不具合】G0121_保険料払込方法選択画面_sbps不具合、保険商品チェックApiの実装漏れ</t>
    <phoneticPr fontId="4"/>
  </si>
  <si>
    <t>家塚晃慈</t>
    <phoneticPr fontId="4"/>
  </si>
  <si>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4"/>
  </si>
  <si>
    <t>sbpsに渡すパラメータに誤りがあった
保険商品チェックApiを呼ぶ処理が漏れていた</t>
  </si>
  <si>
    <t>①
sbpsに渡すパラメータにpagecon_urlを追加
スペルミスの修正
②
保険商品チェックApiの処理追加
それにともなってエラーハンドリングの処理追加</t>
  </si>
  <si>
    <t>詳細設計書_G0121_保険料払込方法選択画面</t>
  </si>
  <si>
    <t>SA/UI設計不備
SS設計不備
実装不備</t>
    <phoneticPr fontId="4"/>
  </si>
  <si>
    <t>SA/UI設計不備
SS設計不備
による実装漏れ</t>
    <phoneticPr fontId="4"/>
  </si>
  <si>
    <t>SA/UI設計
SS設計：詳細設計書の該当箇所に記載
実装：G0124.blade.phpの先進医療特約と引受緩和型先進医療特約に保険料の実装を記載</t>
    <phoneticPr fontId="4"/>
  </si>
  <si>
    <t>・画面設計書_G0124_申込内容最終確認画面
・詳細設計書_G0124_申込内容最終確認画面</t>
    <phoneticPr fontId="4"/>
  </si>
  <si>
    <t>【未実装】G0123_本人確認書類提出画面の「この画面でアップロードする」ラジオボタン押下時の機能未実装</t>
  </si>
  <si>
    <t>Justin</t>
  </si>
  <si>
    <t>この画面でアップロードするラジオボタンの押下前から、
アップロードUIが表示されている</t>
  </si>
  <si>
    <t>仕様把握漏れによる未実装</t>
  </si>
  <si>
    <t>UIを表示するフラグを追加し、RadioボタンをクリックでフラグをTrue/Falseし、UIはフラグ次第で表示する処理を追加しました。</t>
  </si>
  <si>
    <t>詳細設計書_G0123_本人確認書類提出画面.xlsx</t>
  </si>
  <si>
    <t>【デザイン変更】G0109_申込内容確認画面_特約の文字色出し分け</t>
  </si>
  <si>
    <t>野寺樹</t>
  </si>
  <si>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</si>
  <si>
    <t>色変更処理はまだ入れてなかったみたいです。</t>
  </si>
  <si>
    <t>マジックナンバーによる外部認証コード指定を、定数指定に変更(config/externalAuthorizationCode.php)</t>
  </si>
  <si>
    <t>なし</t>
  </si>
  <si>
    <t>【単体テスト・不具合】G0117_告知情報入力画面(AURA)_フリーワード検索から選択して入力後も必須バリデーションエラーメッセージが消えない</t>
    <phoneticPr fontId="4"/>
  </si>
  <si>
    <t>小川</t>
    <phoneticPr fontId="4"/>
  </si>
  <si>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4"/>
  </si>
  <si>
    <t>【単体テスト・不具合】G0117_告知情報入力画面(AURA)_子質問で「戻る」を押下すると質問回答済みだが「次へ」が押せない</t>
    <phoneticPr fontId="4"/>
  </si>
  <si>
    <t>実装不備</t>
    <phoneticPr fontId="4"/>
  </si>
  <si>
    <t>子質問で「戻る」を押下すると質問回答済みだが「次へ」が押せない
![image][スクリーンショット 2021-01-21 12.30.50.png]
　↓
![image][スクリーンショット 2021-01-21 12.31.03.png]
　↓
![image][スクリーンショット 2021-01-21 12.31.12.png]</t>
    <phoneticPr fontId="4"/>
  </si>
  <si>
    <t>【単体テスト・不具合】G0117_告知情報入力画面(AURA)_テキストエリア入力のUI</t>
  </si>
  <si>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</si>
  <si>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 | | @click="validateCheckBox"|
| G0107  個人情報入力画面 | | | 未実装 | 実装済 sasuketmにマージされれば完了 | 
| G0108  個人情報確認画面 | | | 実装済 | v-on:click.prevent="clickNextButton()"| 
| G0109  申込内容確認画面 | | | 未実装 | |
| G0110 重要事項確認画面 | |済 | 対応済 | v-on:click="checkEnableElements" | 
| G0111  意向確認画面 |  井内(確認)| | | v-on:click="checkEnableElements" |
| G0112	 告知情報事前確認画面 | |済 | 対応済 | @click="pushBtn()" | 
| G0116	ご職業・年収入力画面   | 井内(確認) | | | |
| G0117	告知情報入力画面(AURA)  | | | 未実装 | |  
| G0118	告知情報確認画面(AURA)  | | | 未実装 |  |  
| G0119	受取人・請求人入力画面 | |済 | 対応済 | @click="pushBtn()" |
| G0120	受取人・請求人確認画面 | |済 | 対応済 | @click="pushBtn()" |  
| G0121	保険料払込方法選択画面 | |済 | 対応済 | | 
| G0123	本人確認書類提出画面 | | | 未実装 | | 
| G0124	申込内容最終確認画面 | | | 未実装 | 関数はあったが未実装 onNextSubmit()|
| G0125	申込完了画面 | | |  未実装 | | 
| G0127	Web申込み専用ページ仮登録完了画面 | | | 未実装 | システムエラー及びコード未完成 | 
| G0128	Web申込み専用ページログイン画面（仮登録後） | | | 一部未実装 | システムエラー （認証するボタンは（@click="pushBtn()"）、次へボタンがbladeにない）| 
| G0201	Web申込み専用ページログイン画面 | | | 未実装 | | </t>
    <phoneticPr fontId="4"/>
  </si>
  <si>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4"/>
  </si>
  <si>
    <t>【単体テスト・不具合】G0128_Web申込み専用ページログイン画面（仮登録後）外部認証のコールバックURLの不備</t>
    <phoneticPr fontId="4"/>
  </si>
  <si>
    <t>★SS設計不備／実装不備</t>
    <phoneticPr fontId="4"/>
  </si>
  <si>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4"/>
  </si>
  <si>
    <t>G0128_Web申込み専用ページログイン画面（仮登録後）詳細設計書　プロセス概要
https://docs.google.com/spreadsheets/d/17FsWMQyY9xLFEOz3DQbbqFsJpwIlMciS/edit#gid=418015088</t>
    <phoneticPr fontId="4"/>
  </si>
  <si>
    <t>【単体テスト・不具合】G0116_ ご職業・年収入力画面_「次へ」ボタンが有効にならない</t>
  </si>
  <si>
    <t>入力項目が全てOKな状態になっても、「次へ」ボタンが有効にならない
![image][スクリーンショット 2021-01-20 12.27.01.png]</t>
  </si>
  <si>
    <t>【SS設計不備】G0128_Web申込み専用ページログイン画面（仮登録後）_単体テスト不具合の確認で修正が必要な箇所がある</t>
  </si>
  <si>
    <t>関連する単体テスト不具合（SASUKE_PROJ_H8739-675）
■初期表示
![image][G0128_1.png]
関連する単体テスト不具合（SASUKE_PROJ_H8739-665）
■メールアドレスパスワードによる認証
![image][G0128_2.png]</t>
  </si>
  <si>
    <t>古いバージョンの画面設計書の際に作成したものが残っていた</t>
  </si>
  <si>
    <t>2. ログイン状態チェック、3. セッションより必要な情報を取得するを削除</t>
  </si>
  <si>
    <t>G0128_Web申込み専用ページログイン画面（仮登録後）</t>
  </si>
  <si>
    <t>実装内容変更による、詳細設計書修正</t>
  </si>
  <si>
    <t>閉じるボタンをTOPに戻るボタンに変更する。
JavaScriptにて画面を閉じる→はなさく生命のTOP画面に遷移するに修正</t>
  </si>
  <si>
    <t>G0127_Web申込み専用ページ仮登録完了画面</t>
  </si>
  <si>
    <t>【単体テスト・不具合】G0125_申込完了画面_本人書類確認提出のコードが格納されているときに完了とならない</t>
    <phoneticPr fontId="4"/>
  </si>
  <si>
    <t>須永</t>
  </si>
  <si>
    <t>承諾コードに「16：本人確認書類提出完了」が格納されている際に、判定フラグがtrueにならない</t>
    <phoneticPr fontId="4"/>
  </si>
  <si>
    <t>【SS設計不備】G0124_申込内容最終確認画面_生年月日の月日部分のフォーマットについて</t>
    <phoneticPr fontId="4"/>
  </si>
  <si>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phoneticPr fontId="4"/>
  </si>
  <si>
    <t>【単体テスト・不具合】G0117_告知情報入力画面(AURA)_先の質問から前の質問に戻ると先の質問で入力した値が保持されていない</t>
  </si>
  <si>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</si>
  <si>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</si>
  <si>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</si>
  <si>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【単体テスト・不具合】G0117_告知情報入力画面(AURA)_３問目の初期表示の際に「次へ」ボタンの色が薄い</t>
    <phoneticPr fontId="4"/>
  </si>
  <si>
    <t>３問目の初期表示の際に「次へ」ボタンの色が薄い
２問目
![image][スクリーンショット 2021-01-18 17.05.26.png]
↓
３問目
![image][スクリーンショット 2021-01-18 17.05.37.png]</t>
    <phoneticPr fontId="4"/>
  </si>
  <si>
    <t>【単体テスト・不具合】G0117_告知情報入力画面(AURA)_次へで質問を進めていくとシステムエラー</t>
    <phoneticPr fontId="4"/>
  </si>
  <si>
    <t>次へで質問を進めていくとシステムエラーが発生して先に進めなくなる</t>
    <phoneticPr fontId="4"/>
  </si>
  <si>
    <t>チェックボックスタイプでエラー</t>
    <phoneticPr fontId="4"/>
  </si>
  <si>
    <t>実装ロジックのミスを修正</t>
    <phoneticPr fontId="4"/>
  </si>
  <si>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</si>
  <si>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</si>
  <si>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・静的HTMLファイルの連携がされたら呼び出し部分の実装</t>
    <phoneticPr fontId="4"/>
  </si>
  <si>
    <t>【単体テスト・不具合】G0107_個人情報入力画面_セッションにアカウント情報がセットされていない</t>
    <phoneticPr fontId="4"/>
  </si>
  <si>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4"/>
  </si>
  <si>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</si>
  <si>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</si>
  <si>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実装時にUI設計書、SS設計書の見落とし</t>
  </si>
  <si>
    <t>SS設計不備による実装漏れ</t>
  </si>
  <si>
    <t>主契約の定期（03A）と特約の入院一時給付特約（D1B）の保険料が表示されるようにG0124.blade.phpのswitchに記載</t>
  </si>
  <si>
    <t>【単体テスト・不具合】G0116_ご職業・年収入力画面_職業が無職の人が一時金じゃない商品を申し込んだ際のバリデーションが効かない</t>
  </si>
  <si>
    <t>対応なし</t>
  </si>
  <si>
    <t>職業が無職の人が一時金じゃない商品を申し込んだ際のバリデーションが効かない</t>
  </si>
  <si>
    <t>【単体テスト・不具合】G0124_申込内容最終確認画面_請求人・受取人情報の見出しが設計書と異なる</t>
    <phoneticPr fontId="4"/>
  </si>
  <si>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4"/>
  </si>
  <si>
    <t>未実装</t>
    <phoneticPr fontId="4"/>
  </si>
  <si>
    <t>表示条件取得処理実装
表示条件出し分け処理実装</t>
    <phoneticPr fontId="4"/>
  </si>
  <si>
    <t>詳細設計書_G0124_申込内容最終確認画面</t>
    <phoneticPr fontId="4"/>
  </si>
  <si>
    <t>【単体テスト・不具合】G0107_個人情報入力画面(G0124から遷移)_Web申込み専用ページログインの場合の文言が表示されない</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</si>
  <si>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</si>
  <si>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</si>
  <si>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【単体テスト・不具合】G0121_保険料払込方法選択画面_口座振替モーダルの×ボタンが非表示</t>
    <phoneticPr fontId="4"/>
  </si>
  <si>
    <t>中道</t>
  </si>
  <si>
    <t>詳細には確認できていませんが、クレジットカードのモーダルとdiv構造が異なっているように感じました。</t>
    <phoneticPr fontId="4"/>
  </si>
  <si>
    <t>モーダルの記述が崩れていたため修正しました。</t>
    <phoneticPr fontId="4"/>
  </si>
  <si>
    <t>【単体テスト・不具合】詳細設計書_G0121_保険料払込方法選択画面.xlsx
https://docs.google.com/spreadsheets/d/1yz8WC-mIkkmnPHbe1dGw_bFlZsuHjbnN/edit#gid=1692270551</t>
    <phoneticPr fontId="4"/>
  </si>
  <si>
    <t>【単体テスト・不具合】G0124_申込内容最終確認画面_保険料払込免除特約の給付金額・日額等に「付加する」が表示されない</t>
    <phoneticPr fontId="4"/>
  </si>
  <si>
    <t>5商品の保険料払込免除特約に付加区分１をセットしても「付加する」と表示されない
（該当約款コード'03A', '31A', '31C', '31D', '31E'）
![image][2021-01-15_15h07_20.png]</t>
    <phoneticPr fontId="4"/>
  </si>
  <si>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4"/>
  </si>
  <si>
    <t>画面へ表示する値変更</t>
    <phoneticPr fontId="4"/>
  </si>
  <si>
    <t>詳細設計書_G0124_申込内容最終確認画面</t>
    <phoneticPr fontId="4"/>
  </si>
  <si>
    <t>【未実装】G0105_申込前確認画面_商品付加バージョン１の商品を複写する</t>
  </si>
  <si>
    <t>新規追加処理の為、未実装</t>
  </si>
  <si>
    <t>セッションから申込情報を取得し、商品付加バージョンを調べ１しかなかった場合に、複写する処理追加</t>
  </si>
  <si>
    <t>詳細設計書_G0105_申込前確認画面.xlsx
　→https://docs.google.com/spreadsheets/d/1vfRgJpXYhrNNFllllc5LllSvjJFnepyQ/edit#gid=1719533969</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</si>
  <si>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</si>
  <si>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</si>
  <si>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【詳細設計不備】G0121_保険料払込方法選択画面_「あとで入力を行う」押下時のPOSTパラメタ名が詳細設計書と実装で異なる</t>
    <phoneticPr fontId="4"/>
  </si>
  <si>
    <t>あとで入力を行う処理時のPOSTパラメタ名が詳細設計書と実装で異なる。
詳細設計書：paymentMethod　　　
実装：paymentChannel
paymentMethodは、払込方法（回数）で
paymentChannelが、払込経路であると思います。</t>
    <phoneticPr fontId="4"/>
  </si>
  <si>
    <t>コメント欄にて記載されているプルリクでの修正は、
森山さんのほうで戻しておくとのことです。</t>
    <phoneticPr fontId="4"/>
  </si>
  <si>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</si>
  <si>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</si>
  <si>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・表示するプロパティの修正
※郵便番号「4520961」であればtownまで入っているのでスペースが追加されていることを確認できます。</t>
  </si>
  <si>
    <t>【単体テスト・不具合】G0107_個人情報入力画面_該当住所取得後のプリセット箇所が違う</t>
    <phoneticPr fontId="4"/>
  </si>
  <si>
    <t>郵便番号検索し、該当住所を取得してきた際に、下記フォームにプリセットする内容が異なる。
・市区群・町村
・丁目・番地</t>
    <phoneticPr fontId="4"/>
  </si>
  <si>
    <t>SS設計不備による、取得したきたデータのプリセット箇所誤り</t>
    <phoneticPr fontId="4"/>
  </si>
  <si>
    <t>取得してきたデータを下記のように設定するに変更
市区群・町村：city  **+ town**
丁目・番地： ~~town +~~  house_num</t>
    <phoneticPr fontId="4"/>
  </si>
  <si>
    <t>詳細設計書_G0107_個人情報入力画面.xlsx
https://drive.google.com/file/d/1vjYYd-hfRQHndNoOJd4-kagjKeZ32vu0/view?usp=sharing</t>
    <phoneticPr fontId="4"/>
  </si>
  <si>
    <t>石川</t>
  </si>
  <si>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4"/>
  </si>
  <si>
    <t>SS設計を正規のURLに修正
・参照するプロパティの値についてスペルミスを修正「applyDateTime」→「applyDatetime」
・判定をemptyからis_nullへ変更</t>
    <phoneticPr fontId="4"/>
  </si>
  <si>
    <t>画面設計書_G0128_Web申込み専用ページログイン画面（仮登録後）の画面項目定義書に記載があった為、
詳細設計書にも記載されている。
![image][pasted-2021.01.26-11.52.30.png]</t>
  </si>
  <si>
    <t>詳細設計書の該当項目を削除</t>
  </si>
  <si>
    <t>【単体テスト・不具合】G0128_Web申込み専用ページログイン画面（仮登録後）_パスワードのバリデーションが表示されてしまう</t>
  </si>
  <si>
    <t>薬袋</t>
  </si>
  <si>
    <t>パスワード入力時にパスワードに関するバリデーションエラーが表示されている</t>
  </si>
  <si>
    <t>バリデーションが設定されている</t>
  </si>
  <si>
    <t>入力文字数によるボタンのON/OFF制御以外のバリエーションを削除しました。</t>
  </si>
  <si>
    <t>【単体テスト・不具合】G0128_Web申込み専用ページログイン画面（仮登録後）_認証するボタンの多重押下が可能</t>
    <phoneticPr fontId="4"/>
  </si>
  <si>
    <t>TM薬袋</t>
    <phoneticPr fontId="4"/>
  </si>
  <si>
    <t>「認証する」ボタンが複数回クリックできる</t>
    <phoneticPr fontId="4"/>
  </si>
  <si>
    <t>特にボタン押下時の制御は何も行われていない状態であった。</t>
    <phoneticPr fontId="4"/>
  </si>
  <si>
    <t>ボタン押下時のチェックをフラグ形式で行うように修正。</t>
    <phoneticPr fontId="4"/>
  </si>
  <si>
    <t>【単体テスト・不具合】G0128_Web申込み専用ページログイン画面（仮登録後）_helpers.phpでエラーが発生する</t>
    <phoneticPr fontId="4"/>
  </si>
  <si>
    <t>ハッシュID有効期限切れ確認のため、APIで【HTTPステータスコード401 errorType=401001】を返却した際に
Laravelのエラー画面に遷移し、「$apierrosが定義されていない」という内容が表示される。</t>
    <phoneticPr fontId="4"/>
  </si>
  <si>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4"/>
  </si>
  <si>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</si>
  <si>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</si>
  <si>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</si>
  <si>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</si>
  <si>
    <t>【単体テスト・不具合】G0107_個人情報入力画面_ZIPSERVERエラー通知画面が表示されない</t>
  </si>
  <si>
    <t>ZIPSERVERから、レスポンスエラーが返ってきた際に、システムエラー画面に遷移してしまう。</t>
  </si>
  <si>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</si>
  <si>
    <t>寺本</t>
  </si>
  <si>
    <t>Justin Brunnette</t>
  </si>
  <si>
    <t>【単体テスト・不具合】G0116_ご職業・年収入力画面_バリデーションエラー通知モーダル画面に「×」ボタンがない</t>
    <phoneticPr fontId="4"/>
  </si>
  <si>
    <t>バリデーションエラー通知モーダル画面に「×」ボタンがない
![image][スクリーンショット 2021-01-13 20.41.03.png]</t>
    <phoneticPr fontId="4"/>
  </si>
  <si>
    <t>変更されたモーダルのデザインに対応していなかった。</t>
    <phoneticPr fontId="4"/>
  </si>
  <si>
    <t>変更されたモーダルのデザインに対応するためにheaderの記述を修正。</t>
    <phoneticPr fontId="4"/>
  </si>
  <si>
    <t>https://drive.google.com/drive/u/0/folders/1fXyon-jhtG9DaFNDJ0Qot7R0vGHClbzR 詳細設計書_G0116_ご職業・年収入力画面</t>
    <phoneticPr fontId="4"/>
  </si>
  <si>
    <t>川上</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</si>
  <si>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</si>
  <si>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</si>
  <si>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【未実装】G0107_個人情報入力画面_商品付加バージョン３である際の処理実装</t>
    <phoneticPr fontId="4"/>
  </si>
  <si>
    <t>G0124_申込内容最終確認画面から遷移してきた際の挙動で、商品付加バージョン３を考慮する必要あり</t>
    <phoneticPr fontId="4"/>
  </si>
  <si>
    <t>G0124 申込内容最終確認画面からの戻り時に、申込セッションから商品付加バージョン２を取得していた。</t>
    <phoneticPr fontId="4"/>
  </si>
  <si>
    <t>G0124 申込内容最終確認画面からの戻り時は、商品付加バージョン３を取得する。</t>
    <phoneticPr fontId="4"/>
  </si>
  <si>
    <t>詳細設計書_G0107_個人情報入力画面.xlsx (1/26 修正済)</t>
    <phoneticPr fontId="4"/>
  </si>
  <si>
    <t>【単体テスト・不具合】G0116_ご職業・年収入力画面_「次へ」押下後に二重押下防止のために非活性にならない</t>
    <phoneticPr fontId="4"/>
  </si>
  <si>
    <t>「次へ」押下後に二重押下防止のために非活性にならない</t>
    <phoneticPr fontId="4"/>
  </si>
  <si>
    <t>二重押下防止の処理の実装漏れ。</t>
    <phoneticPr fontId="4"/>
  </si>
  <si>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</si>
  <si>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</si>
  <si>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</si>
  <si>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</si>
  <si>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必須入力フォームと"不正な文字種…"について
・実装不備
そのほか
・設計書変更により、別途実装対応の必要あり</t>
  </si>
  <si>
    <t>【単体テスト・不具合】G0116_ご職業・年収入力画面_次の告知情報事前確認画面から「戻る」で遷移した際に入力内容が反映されない</t>
    <phoneticPr fontId="4"/>
  </si>
  <si>
    <t>次の告知情報入力画面から「戻る」で遷移した際に入力内容が反映されない</t>
    <phoneticPr fontId="4"/>
  </si>
  <si>
    <t>詳細設計書_G0116_ご職業・年収入力画面</t>
    <phoneticPr fontId="4"/>
  </si>
  <si>
    <t>【単体テスト・不具合】G0116_ご職業・年収入力画面_文言（各職業配下全ての）職種「サービス業」</t>
    <phoneticPr fontId="4"/>
  </si>
  <si>
    <t>川上祐輝</t>
    <phoneticPr fontId="4"/>
  </si>
  <si>
    <t>文言（各職業配下全ての）職種「サービス業」
【誤】サービス業
【正】サービス業(他に分類されないもの)
![image][スクリーンショット 2021-01-13 18.42.18.png]</t>
    <phoneticPr fontId="4"/>
  </si>
  <si>
    <t>【詳細設計不備】G0116_ご職業・年収入力画面_専門技術職の文言表記</t>
  </si>
  <si>
    <t>川村</t>
  </si>
  <si>
    <t>正しくは「専門技術職」とのこと
![image][スクリーンショット 2021-01-13 17.57.50.png]
 同様に「芸能」となっているが正しくは「芸者」っぽい
![image][スクリーンショット 2021-01-13 18.32.30.png]</t>
  </si>
  <si>
    <t>テキストボックスに対してonChange()的なトリガーでチェックをしているため。</t>
    <phoneticPr fontId="4"/>
  </si>
  <si>
    <t>focusout的なトリガーにチェックタイミングを変更すること。</t>
    <phoneticPr fontId="4"/>
  </si>
  <si>
    <t>ジャスティン</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</si>
  <si>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</si>
  <si>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</si>
  <si>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【SS設計不備／単体テスト・不具合】G0116_ご職業・年収入力画面_自営業の勤務先に「なし」と入れないとバリデーションエラー</t>
    <phoneticPr fontId="4"/>
  </si>
  <si>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4"/>
  </si>
  <si>
    <t>画面設計書_共通バリデーションチェック仕様書の修正</t>
    <phoneticPr fontId="4"/>
  </si>
  <si>
    <t>https://drive.google.com/drive/u/0/folders/1CbM56AVtzmWiYuitAMop9srEf2sz1X7- 画面設計書_共通バリデーションチェック仕様書</t>
    <phoneticPr fontId="4"/>
  </si>
  <si>
    <t>【SA/UI設計不備】G0119_受取人・請求人入力画面_JS側のバリデーションエラーのメッセージが設計書と異なる</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</si>
  <si>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</si>
  <si>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</si>
  <si>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【単体テスト・不具合】G0123_本人確認書類提出画面_HEIC画像をアップロードするとプレビューが表示されない</t>
    <phoneticPr fontId="4"/>
  </si>
  <si>
    <t>HEIC画像をアップロードするとプレビューが表示されない</t>
    <phoneticPr fontId="4"/>
  </si>
  <si>
    <t>HEIFも同様に対応する。</t>
    <phoneticPr fontId="4"/>
  </si>
  <si>
    <t>【単体テスト・不具合】G0123_本人確認書類提出画面_PDFファイルを添付するとプレビューが正しく表示されない</t>
    <phoneticPr fontId="4"/>
  </si>
  <si>
    <t>PDFファイルを添付するとプレビューが正しく表示されない
（Macのプレビューなどのソフトだと表示される）</t>
    <phoneticPr fontId="4"/>
  </si>
  <si>
    <t>PDFのプレビューはブラウザが対応していない</t>
    <phoneticPr fontId="4"/>
  </si>
  <si>
    <t>PDF.jsを使用してプレビューを実現するようにした
参考：https://qiita.com/kakita-yzrh/items/3761a6599c783284aa60</t>
    <phoneticPr fontId="4"/>
  </si>
  <si>
    <t>詳細設計書_G0123_本人確認書類提出画面.xlsx
https://drive.google.com/file/d/19eZc78CcA-W0XCM0iUBE6dOCF6Rlb2IZ/view?usp=sharing</t>
    <phoneticPr fontId="4"/>
  </si>
  <si>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</si>
  <si>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OK iconのコードが追加されていませんでした。</t>
    <phoneticPr fontId="4"/>
  </si>
  <si>
    <t>OK iconのタグをBlade.phpに追加しまして、v-if="removeImg"の処理でフィアルアップロード時に出るようにしました。</t>
    <phoneticPr fontId="4"/>
  </si>
  <si>
    <t>詳細設計書_G0123_本人確認書類提出画面</t>
    <phoneticPr fontId="4"/>
  </si>
  <si>
    <t>引数のタイプに差異があるため
※外部認証の動作確認をすることが不可能なため、現コードで正常に動作するか不明です。</t>
  </si>
  <si>
    <t>ファイルサイズ大きい場合にバリデーションエラーメッセージは直下にはなかったです。</t>
    <phoneticPr fontId="4"/>
  </si>
  <si>
    <t>ファイルサイズ大きい場合にバリデーションエラーメッセージをアップロードの直下に追加しました。
ファイルサイズエラー時のみ表示するようにしました。</t>
    <phoneticPr fontId="4"/>
  </si>
  <si>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</si>
  <si>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</si>
  <si>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</si>
  <si>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</si>
  <si>
    <t>【詳細設計書不備】G0123_本人確認書類提出画面_書類ドロップダウン変更時にアップロード済ファイル情報がクリアされる仕様は必要ないので削除</t>
    <phoneticPr fontId="4"/>
  </si>
  <si>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4"/>
  </si>
  <si>
    <t xml:space="preserve"> 詳細設計書_G0123_本人確認書類提出画面</t>
    <phoneticPr fontId="4"/>
  </si>
  <si>
    <t>【単体テスト・不具合】G0123_本人確認書類提出画面_マイナンバー、保険証選択後の注意事項のチェックを片方入れて閉じるともう片方に変更してチェックしなくても次へが押せてしまう</t>
    <phoneticPr fontId="4"/>
  </si>
  <si>
    <t>マイナンバー、保険証選択後の注意事項のチェックを片方入れて閉じるともう片方に変更してチェックしなくても次へが押せてしまう</t>
    <phoneticPr fontId="4"/>
  </si>
  <si>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4"/>
  </si>
  <si>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</si>
  <si>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</si>
  <si>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</si>
  <si>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</si>
  <si>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</si>
  <si>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対応なし（重複）</t>
  </si>
  <si>
    <t>【単体テスト・不具合】G0119_受取人・請求人入力画面_コンソールにjsのエラーが出力される</t>
    <phoneticPr fontId="4"/>
  </si>
  <si>
    <t>下記のエラーが開発者ツールのコンソールに表示される
Error in v-on handler:"TypeError: Cannot read property 'selected' of undefined"
TypeError: Cannot read property 'selected' of undefined</t>
    <phoneticPr fontId="4"/>
  </si>
  <si>
    <t>うるう年の判定用の関数に、準備されていないオブジェクトを渡していたため。</t>
    <phoneticPr fontId="4"/>
  </si>
  <si>
    <t>オブジェクトの有無の判定とデフォルト値の指定。</t>
    <phoneticPr fontId="4"/>
  </si>
  <si>
    <t>詳細設計書_G0119_受取人・請求人入力画面.xlsx</t>
    <phoneticPr fontId="4"/>
  </si>
  <si>
    <t>【単体テスト・不具合】G0120_受取人・請求人確認画面_戻るを押下した際、プリセットで被保険者からみた続柄が選択されない</t>
    <phoneticPr fontId="4"/>
  </si>
  <si>
    <t>プリセットで被保険者からみた続柄が選択されない
![image][No5.png]</t>
    <phoneticPr fontId="4"/>
  </si>
  <si>
    <t>詳細設計書_G0120_受取人・請求人確認画面.xlsx</t>
    <phoneticPr fontId="4"/>
  </si>
  <si>
    <t>【単体テスト・不具合】G0102_試算結果画面_申込内容確認画面からプラン修正ボタンを押下して遷移した際エラーになる</t>
  </si>
  <si>
    <t>松橋</t>
  </si>
  <si>
    <t>　試算結果画面が表示されずにシステムエラー画面へ遷移する</t>
  </si>
  <si>
    <t>詳細設計書_G0102_試算結果画面.xlsx</t>
  </si>
  <si>
    <t>【単体テスト・不具合】ヘッダー誤り</t>
  </si>
  <si>
    <t xml:space="preserve">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
| ------------- |------------- |------------- |
| G0105  申込前確認画面 | |済 | フリーダイヤル| 対応済 |
| G0106  ご本人さま確認に関して画面 | |済 | フリーダイヤル| 対応済 |
| G0107  個人情報入力画面 | |済 | フリーダイヤル| 対応済 |
| G0108  個人情報確認画面| |済 |  フリーダイヤル| 対応済 | 
| G0109  申込内容確認画面 | |済 |  フリーダイヤル| 対応済 | 
| G0110 重要事項確認画面 | |済 |  フリーダイヤル| 対応済 | 
| G0111  意向確認画面 |  |済 | フリーダイヤル| 対応済 |
| G0112	 告知情報事前確認画面| |済 | フリーダイヤル| 対応済 |
| G0116	ご職業・年収入力画面   | |済 | フリーダイヤル| 対応済 |
| G0117	告知情報入力画面(AURA) | |済 | フリーダイヤル| 対応済 |
| G0118	告知情報確認画面(AURA) | |済 | フリーダイヤル| 対応済 |
| G0119	受取人・請求人入力画面 | |済 | フリーダイヤル| 対応済 |
| G0120	受取人・請求人確認画面 | |済| フリーダイヤル| 対応済 |
| G0121	保険料払込方法選択画面 | |済 | フリーダイヤル| 対応済 |
| G0123	本人確認書類提出画面 | |済 | フリーダイヤル| 対応済 |
| G0124	申込内容最終確認画面 | |済 | フリーダイヤル| 対応済 |
| G0125	申込完了画面 | |済 | フリーダイヤル| 対応済 | 
| G0127	Web申込み専用ページ仮登録完了画面 | |済 | フリーダイヤル| 対応済 |
| G0128	Web申込み専用ページログイン画面（仮登録後） | |済 | フリーダイヤル| 対応済 |
| G0201	Web申込み専用ページログイン画面 | |済 | フリーダイヤル| 対応済 | </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</si>
  <si>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</si>
  <si>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</si>
  <si>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【単体テスト・不具合】G0111意向確認画面 当初意向→最終意向で同じ商品は残ったまま商品追加されている場合に変更確認メッセージが出ない</t>
    <phoneticPr fontId="4"/>
  </si>
  <si>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4"/>
  </si>
  <si>
    <t>【SA/UI設計不備】G0119_受取人・請求人入力画面_氏名欄に合計35文字以上入力した場合のJS側のバリデーションメッセージが表示されない</t>
  </si>
  <si>
    <t>「氏名は姓と名の合計で34文字以内で入力してください」と表示されない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</si>
  <si>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</si>
  <si>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対応なし（他チケットにて対応）</t>
  </si>
  <si>
    <t>田口</t>
  </si>
  <si>
    <t>伊東</t>
  </si>
  <si>
    <t xml:space="preserve"> 【単体テスト・不具合】G0112_告知情報事前確認画面_次へボタン押下時にエラー画面に遷移</t>
    <phoneticPr fontId="4"/>
  </si>
  <si>
    <t>・エラー画面に遷移する</t>
    <phoneticPr fontId="4"/>
  </si>
  <si>
    <t>・未実装のため
　web.phpが下記のようになっているためsasuketmにコードが入っていないと考えられます。
```
// G0117.告知情報入力画面（AURA）のルート
Route::get('/G0117', 'G9999Controller')-&gt;name('G0117');
```</t>
    <phoneticPr fontId="4"/>
  </si>
  <si>
    <t>ー</t>
    <phoneticPr fontId="4"/>
  </si>
  <si>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</si>
  <si>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</si>
  <si>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</si>
  <si>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</si>
  <si>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取得日時：2021/01/26 17:01:43</t>
    <phoneticPr fontId="4"/>
  </si>
  <si>
    <t>取得日時：2021/01/26 17:01:53</t>
    <phoneticPr fontId="4"/>
  </si>
  <si>
    <t>Justin  Brunnette</t>
    <phoneticPr fontId="4"/>
  </si>
  <si>
    <t>Justin</t>
    <phoneticPr fontId="4"/>
  </si>
  <si>
    <t>家塚</t>
    <rPh sb="0" eb="2">
      <t>イエヅカ</t>
    </rPh>
    <phoneticPr fontId="4"/>
  </si>
  <si>
    <t>薬袋</t>
    <rPh sb="0" eb="2">
      <t>ミナイ</t>
    </rPh>
    <phoneticPr fontId="4"/>
  </si>
  <si>
    <t>有友担当について未対応が多い為、本日19時よりヒアリングし</t>
    <rPh sb="0" eb="2">
      <t>アリトモ</t>
    </rPh>
    <rPh sb="2" eb="4">
      <t>タントウ</t>
    </rPh>
    <rPh sb="8" eb="11">
      <t>ミタイオウ</t>
    </rPh>
    <rPh sb="12" eb="13">
      <t>オオ</t>
    </rPh>
    <rPh sb="14" eb="15">
      <t>タメ</t>
    </rPh>
    <rPh sb="16" eb="18">
      <t>ホンジツ</t>
    </rPh>
    <rPh sb="20" eb="21">
      <t>ジ</t>
    </rPh>
    <phoneticPr fontId="4"/>
  </si>
  <si>
    <t>有友</t>
    <rPh sb="0" eb="2">
      <t>アリトモ</t>
    </rPh>
    <phoneticPr fontId="4"/>
  </si>
  <si>
    <t>明日の完了件数を増加できるように整理する。</t>
    <rPh sb="0" eb="2">
      <t>アス</t>
    </rPh>
    <rPh sb="3" eb="5">
      <t>カンリョウ</t>
    </rPh>
    <rPh sb="5" eb="7">
      <t>ケンスウ</t>
    </rPh>
    <rPh sb="8" eb="10">
      <t>ゾウカ</t>
    </rPh>
    <rPh sb="16" eb="18">
      <t>セイリ</t>
    </rPh>
    <phoneticPr fontId="4"/>
  </si>
  <si>
    <t>※バックログチケットに担当者を記入途中のため不正値（1/26）</t>
    <rPh sb="22" eb="25">
      <t xml:space="preserve">フセイチ </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</si>
</sst>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7">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8" fillId="0" borderId="0" applyNumberFormat="0" applyFill="0" applyBorder="0" applyAlignment="0" applyProtection="0"/>
    <xf numFmtId="0" fontId="3" fillId="0" borderId="0">
      <alignment vertical="center"/>
    </xf>
  </cellStyleXfs>
  <cellXfs count="106">
    <xf numFmtId="0" fontId="0" fillId="0" borderId="0" xfId="0"/>
    <xf numFmtId="0" fontId="5" fillId="0" borderId="0" xfId="0" applyFont="1"/>
    <xf numFmtId="0" fontId="5" fillId="0" borderId="1" xfId="0" applyFont="1" applyBorder="1" applyAlignment="1">
      <alignment horizontal="left"/>
    </xf>
    <xf numFmtId="0" fontId="5" fillId="0" borderId="1" xfId="0" applyFont="1" applyBorder="1"/>
    <xf numFmtId="0" fontId="6" fillId="2" borderId="1" xfId="0" applyFont="1" applyFill="1" applyBorder="1"/>
    <xf numFmtId="0" fontId="7" fillId="0" borderId="0" xfId="0" applyFont="1"/>
    <xf numFmtId="0" fontId="0" fillId="0" borderId="1" xfId="0" applyFill="1" applyBorder="1"/>
    <xf numFmtId="0" fontId="6" fillId="4" borderId="1" xfId="0" applyFont="1" applyFill="1" applyBorder="1" applyAlignment="1"/>
    <xf numFmtId="0" fontId="6" fillId="3" borderId="1" xfId="0" applyFont="1" applyFill="1" applyBorder="1"/>
    <xf numFmtId="0" fontId="8" fillId="0" borderId="1" xfId="1" applyBorder="1"/>
    <xf numFmtId="0" fontId="6"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2" fillId="0" borderId="1" xfId="1" applyFont="1" applyBorder="1"/>
    <xf numFmtId="14" fontId="5" fillId="0" borderId="1" xfId="0" applyNumberFormat="1" applyFont="1" applyBorder="1"/>
    <xf numFmtId="0" fontId="5" fillId="0" borderId="1" xfId="0" applyFont="1" applyBorder="1" applyAlignment="1">
      <alignment wrapText="1"/>
    </xf>
    <xf numFmtId="0" fontId="11" fillId="4" borderId="1" xfId="0" applyFont="1" applyFill="1" applyBorder="1" applyAlignment="1">
      <alignment horizontal="center" vertical="center" wrapText="1"/>
    </xf>
    <xf numFmtId="0" fontId="11" fillId="4" borderId="1" xfId="0" applyFont="1" applyFill="1" applyBorder="1" applyAlignment="1">
      <alignment horizontal="center" vertical="center"/>
    </xf>
    <xf numFmtId="0" fontId="3" fillId="0" borderId="0" xfId="2">
      <alignment vertical="center"/>
    </xf>
    <xf numFmtId="0" fontId="3" fillId="0" borderId="2" xfId="2" applyBorder="1">
      <alignment vertical="center"/>
    </xf>
    <xf numFmtId="0" fontId="3" fillId="0" borderId="3" xfId="2" applyBorder="1">
      <alignment vertical="center"/>
    </xf>
    <xf numFmtId="0" fontId="3" fillId="0" borderId="4" xfId="2" applyBorder="1">
      <alignment vertical="center"/>
    </xf>
    <xf numFmtId="0" fontId="3" fillId="0" borderId="5" xfId="2" applyBorder="1">
      <alignment vertical="center"/>
    </xf>
    <xf numFmtId="0" fontId="3" fillId="0" borderId="6" xfId="2" applyBorder="1">
      <alignment vertical="center"/>
    </xf>
    <xf numFmtId="0" fontId="11" fillId="0" borderId="0" xfId="2" applyFont="1">
      <alignment vertical="center"/>
    </xf>
    <xf numFmtId="0" fontId="3" fillId="0" borderId="7" xfId="2" applyBorder="1">
      <alignment vertical="center"/>
    </xf>
    <xf numFmtId="0" fontId="3" fillId="0" borderId="8" xfId="2" applyBorder="1">
      <alignment vertical="center"/>
    </xf>
    <xf numFmtId="0" fontId="3" fillId="0" borderId="9" xfId="2" applyBorder="1">
      <alignment vertical="center"/>
    </xf>
    <xf numFmtId="0" fontId="13" fillId="0" borderId="10" xfId="2" applyFont="1" applyBorder="1">
      <alignment vertical="center"/>
    </xf>
    <xf numFmtId="0" fontId="3" fillId="0" borderId="10" xfId="2" applyBorder="1">
      <alignment vertical="center"/>
    </xf>
    <xf numFmtId="0" fontId="3" fillId="5" borderId="10" xfId="2" applyFill="1" applyBorder="1" applyAlignment="1">
      <alignment vertical="center" shrinkToFit="1"/>
    </xf>
    <xf numFmtId="0" fontId="3" fillId="0" borderId="1" xfId="2" applyBorder="1">
      <alignment vertical="center"/>
    </xf>
    <xf numFmtId="0" fontId="3" fillId="5" borderId="1" xfId="2" applyFill="1" applyBorder="1">
      <alignment vertical="center"/>
    </xf>
    <xf numFmtId="0" fontId="3" fillId="5" borderId="1" xfId="2" applyFill="1" applyBorder="1" applyAlignment="1">
      <alignment vertical="center" wrapText="1"/>
    </xf>
    <xf numFmtId="0" fontId="15" fillId="5" borderId="1" xfId="2" applyFont="1" applyFill="1" applyBorder="1">
      <alignment vertical="center"/>
    </xf>
    <xf numFmtId="0" fontId="11" fillId="3" borderId="1" xfId="2" applyFont="1" applyFill="1" applyBorder="1">
      <alignment vertical="center"/>
    </xf>
    <xf numFmtId="176" fontId="3" fillId="0" borderId="1" xfId="2" applyNumberFormat="1" applyBorder="1">
      <alignment vertical="center"/>
    </xf>
    <xf numFmtId="0" fontId="11" fillId="3" borderId="1" xfId="2" applyFont="1" applyFill="1" applyBorder="1" applyAlignment="1">
      <alignment vertical="center" wrapText="1"/>
    </xf>
    <xf numFmtId="0" fontId="13" fillId="0" borderId="1" xfId="2" applyFont="1" applyBorder="1">
      <alignment vertical="center"/>
    </xf>
    <xf numFmtId="0" fontId="3" fillId="2" borderId="1" xfId="2" applyFill="1" applyBorder="1">
      <alignment vertical="center"/>
    </xf>
    <xf numFmtId="0" fontId="3" fillId="0" borderId="1" xfId="2" applyBorder="1" applyAlignment="1"/>
    <xf numFmtId="0" fontId="17" fillId="0" borderId="1" xfId="2" applyFont="1" applyBorder="1" applyAlignment="1"/>
    <xf numFmtId="0" fontId="3" fillId="2" borderId="1" xfId="2" applyFill="1" applyBorder="1" applyAlignment="1"/>
    <xf numFmtId="0" fontId="13" fillId="0" borderId="1" xfId="2" applyFont="1" applyBorder="1" applyAlignment="1"/>
    <xf numFmtId="0" fontId="3" fillId="6" borderId="1" xfId="2" applyFill="1" applyBorder="1" applyAlignment="1"/>
    <xf numFmtId="0" fontId="3" fillId="4" borderId="1" xfId="2" applyFill="1" applyBorder="1" applyAlignment="1"/>
    <xf numFmtId="0" fontId="3" fillId="0" borderId="1" xfId="2" applyBorder="1" applyAlignment="1">
      <alignment vertical="center" wrapText="1"/>
    </xf>
    <xf numFmtId="0" fontId="20" fillId="0" borderId="0" xfId="2" applyFont="1">
      <alignment vertical="center"/>
    </xf>
    <xf numFmtId="177" fontId="15" fillId="0" borderId="1" xfId="2" applyNumberFormat="1" applyFont="1" applyBorder="1">
      <alignment vertical="center"/>
    </xf>
    <xf numFmtId="177" fontId="11" fillId="7" borderId="1" xfId="2" applyNumberFormat="1" applyFont="1" applyFill="1" applyBorder="1">
      <alignment vertical="center"/>
    </xf>
    <xf numFmtId="177" fontId="11" fillId="7" borderId="1" xfId="2" applyNumberFormat="1" applyFont="1" applyFill="1" applyBorder="1" applyAlignment="1">
      <alignment horizontal="center" vertical="center"/>
    </xf>
    <xf numFmtId="177" fontId="11" fillId="8" borderId="1" xfId="2" applyNumberFormat="1" applyFont="1" applyFill="1" applyBorder="1" applyAlignment="1">
      <alignment horizontal="center" vertical="center"/>
    </xf>
    <xf numFmtId="0" fontId="9" fillId="0" borderId="0" xfId="0" applyFont="1" applyBorder="1" applyAlignment="1">
      <alignment horizontal="left"/>
    </xf>
    <xf numFmtId="0" fontId="0" fillId="0" borderId="1" xfId="0" applyBorder="1"/>
    <xf numFmtId="177" fontId="11"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1" fillId="2" borderId="1" xfId="2" applyNumberFormat="1" applyFont="1" applyFill="1" applyBorder="1" applyAlignment="1">
      <alignment horizontal="center" vertical="center"/>
    </xf>
    <xf numFmtId="178" fontId="21" fillId="2" borderId="1" xfId="2" applyNumberFormat="1" applyFont="1" applyFill="1" applyBorder="1" applyAlignment="1">
      <alignment horizontal="center" vertical="center"/>
    </xf>
    <xf numFmtId="0" fontId="11" fillId="8" borderId="1" xfId="0" applyFont="1" applyFill="1" applyBorder="1" applyAlignment="1">
      <alignment horizontal="center"/>
    </xf>
    <xf numFmtId="176" fontId="0" fillId="0" borderId="12" xfId="0" applyNumberFormat="1" applyBorder="1"/>
    <xf numFmtId="0" fontId="11" fillId="8" borderId="13" xfId="0" applyFont="1" applyFill="1" applyBorder="1" applyAlignment="1">
      <alignment horizontal="center"/>
    </xf>
    <xf numFmtId="176" fontId="0" fillId="0" borderId="13" xfId="0" applyNumberFormat="1" applyBorder="1"/>
    <xf numFmtId="0" fontId="3" fillId="0" borderId="1" xfId="2" applyFill="1" applyBorder="1" applyAlignment="1"/>
    <xf numFmtId="177" fontId="11" fillId="0" borderId="1" xfId="2" applyNumberFormat="1" applyFont="1" applyFill="1" applyBorder="1" applyAlignment="1">
      <alignment horizontal="center" vertical="center"/>
    </xf>
    <xf numFmtId="177" fontId="11" fillId="0" borderId="12" xfId="2" applyNumberFormat="1" applyFont="1" applyFill="1" applyBorder="1" applyAlignment="1">
      <alignment horizontal="center" vertical="center"/>
    </xf>
    <xf numFmtId="0" fontId="0" fillId="0" borderId="0" xfId="0" applyFill="1" applyBorder="1"/>
    <xf numFmtId="0" fontId="22" fillId="0" borderId="0" xfId="0" applyFont="1" applyFill="1"/>
    <xf numFmtId="0" fontId="23" fillId="0" borderId="0" xfId="0" applyFont="1" applyFill="1"/>
    <xf numFmtId="0" fontId="0" fillId="0" borderId="0" xfId="0" applyFill="1"/>
    <xf numFmtId="0" fontId="3" fillId="0" borderId="9" xfId="2" applyFill="1" applyBorder="1" applyAlignment="1">
      <alignment horizontal="left" vertical="top"/>
    </xf>
    <xf numFmtId="0" fontId="3" fillId="0" borderId="8" xfId="2" applyFill="1" applyBorder="1" applyAlignment="1">
      <alignment horizontal="left" vertical="top"/>
    </xf>
    <xf numFmtId="0" fontId="0" fillId="0" borderId="8" xfId="0" applyFill="1" applyBorder="1"/>
    <xf numFmtId="0" fontId="0" fillId="0" borderId="7" xfId="0" applyFill="1" applyBorder="1"/>
    <xf numFmtId="0" fontId="3" fillId="0" borderId="6" xfId="2" applyFill="1" applyBorder="1" applyAlignment="1">
      <alignment horizontal="left" vertical="top"/>
    </xf>
    <xf numFmtId="0" fontId="3" fillId="0" borderId="0" xfId="2" applyFill="1" applyBorder="1" applyAlignment="1">
      <alignment horizontal="left" vertical="top"/>
    </xf>
    <xf numFmtId="0" fontId="3"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0" fontId="2" fillId="0" borderId="0" xfId="2" applyFont="1" applyFill="1" applyBorder="1" applyAlignment="1">
      <alignment horizontal="left" vertical="top"/>
    </xf>
    <xf numFmtId="0" fontId="1" fillId="0" borderId="0" xfId="2" applyFont="1" applyFill="1" applyBorder="1" applyAlignment="1">
      <alignment horizontal="left" vertical="top"/>
    </xf>
    <xf numFmtId="0" fontId="25" fillId="10" borderId="1" xfId="0" applyFont="1" applyFill="1" applyBorder="1" applyAlignment="1">
      <alignment horizontal="center" vertical="center"/>
    </xf>
    <xf numFmtId="0" fontId="24" fillId="10" borderId="1" xfId="0" applyFont="1" applyFill="1" applyBorder="1" applyAlignment="1">
      <alignment horizontal="center" vertical="center"/>
    </xf>
    <xf numFmtId="14" fontId="26" fillId="0" borderId="1" xfId="0" applyNumberFormat="1" applyFont="1" applyFill="1" applyBorder="1" applyAlignment="1">
      <alignment horizontal="center"/>
    </xf>
    <xf numFmtId="177" fontId="11" fillId="2" borderId="14" xfId="0" applyNumberFormat="1" applyFont="1" applyFill="1" applyBorder="1" applyAlignment="1">
      <alignment horizontal="center"/>
    </xf>
    <xf numFmtId="177" fontId="11" fillId="2" borderId="15" xfId="0" applyNumberFormat="1" applyFont="1" applyFill="1" applyBorder="1" applyAlignment="1">
      <alignment horizontal="center"/>
    </xf>
    <xf numFmtId="0" fontId="11" fillId="9" borderId="10" xfId="0" applyFont="1" applyFill="1" applyBorder="1" applyAlignment="1">
      <alignment horizontal="center" vertical="center"/>
    </xf>
    <xf numFmtId="0" fontId="11" fillId="9" borderId="17" xfId="0" applyFont="1" applyFill="1" applyBorder="1" applyAlignment="1">
      <alignment horizontal="center" vertical="center"/>
    </xf>
    <xf numFmtId="177" fontId="11" fillId="2" borderId="1" xfId="0" applyNumberFormat="1" applyFont="1" applyFill="1" applyBorder="1" applyAlignment="1">
      <alignment horizontal="center"/>
    </xf>
    <xf numFmtId="0" fontId="11" fillId="2" borderId="14" xfId="2" applyFont="1" applyFill="1" applyBorder="1" applyAlignment="1">
      <alignment horizontal="center" vertical="center"/>
    </xf>
    <xf numFmtId="0" fontId="11" fillId="2" borderId="16" xfId="2" applyFont="1" applyFill="1" applyBorder="1" applyAlignment="1">
      <alignment horizontal="center" vertical="center"/>
    </xf>
    <xf numFmtId="0" fontId="11" fillId="2" borderId="15" xfId="2" applyFont="1" applyFill="1" applyBorder="1" applyAlignment="1">
      <alignment horizontal="center" vertical="center"/>
    </xf>
    <xf numFmtId="177" fontId="11" fillId="2" borderId="14" xfId="2" applyNumberFormat="1" applyFont="1" applyFill="1" applyBorder="1" applyAlignment="1">
      <alignment horizontal="center" vertical="center"/>
    </xf>
    <xf numFmtId="177" fontId="11" fillId="2" borderId="16" xfId="2" applyNumberFormat="1" applyFont="1" applyFill="1" applyBorder="1" applyAlignment="1">
      <alignment horizontal="center" vertical="center"/>
    </xf>
    <xf numFmtId="177" fontId="11" fillId="2" borderId="15" xfId="2" applyNumberFormat="1" applyFont="1" applyFill="1" applyBorder="1" applyAlignment="1">
      <alignment horizontal="center" vertical="center"/>
    </xf>
    <xf numFmtId="0" fontId="5" fillId="4" borderId="1" xfId="2" applyFont="1" applyFill="1" applyBorder="1" applyAlignment="1">
      <alignment horizontal="center" vertical="center" textRotation="255"/>
    </xf>
    <xf numFmtId="0" fontId="19" fillId="6" borderId="1" xfId="2" applyFont="1" applyFill="1" applyBorder="1" applyAlignment="1">
      <alignment horizontal="center" vertical="center" textRotation="255"/>
    </xf>
    <xf numFmtId="0" fontId="18" fillId="6" borderId="1" xfId="2" applyFont="1" applyFill="1" applyBorder="1" applyAlignment="1">
      <alignment horizontal="center" vertical="center" textRotation="255"/>
    </xf>
    <xf numFmtId="0" fontId="16" fillId="2" borderId="1" xfId="2" applyFont="1" applyFill="1" applyBorder="1" applyAlignment="1">
      <alignment horizontal="center" vertical="center" textRotation="255"/>
    </xf>
    <xf numFmtId="0" fontId="11" fillId="7" borderId="0" xfId="2" applyFont="1" applyFill="1" applyAlignment="1">
      <alignment horizontal="center" vertical="center"/>
    </xf>
    <xf numFmtId="0" fontId="11" fillId="7" borderId="11" xfId="2" applyFont="1" applyFill="1" applyBorder="1" applyAlignment="1">
      <alignment horizontal="center" vertical="center"/>
    </xf>
    <xf numFmtId="0" fontId="9" fillId="0" borderId="1" xfId="0" applyFont="1" applyBorder="1" applyAlignment="1">
      <alignment horizontal="left"/>
    </xf>
    <xf numFmtId="0" fontId="11" fillId="0" borderId="0" xfId="0" applyFont="1"/>
  </cellXfs>
  <cellStyles count="3">
    <cellStyle name="ハイパーリンク" xfId="1" builtinId="8"/>
    <cellStyle name="標準" xfId="0" builtinId="0"/>
    <cellStyle name="標準 2" xfId="2" xr:uid="{E7ED17EE-B63A-4973-AA6B-A5CB9893BBE8}"/>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20</c:v>
                </c:pt>
                <c:pt idx="8">
                  <c:v>9</c:v>
                </c:pt>
                <c:pt idx="9">
                  <c:v>7</c:v>
                </c:pt>
                <c:pt idx="10">
                  <c:v>5</c:v>
                </c:pt>
                <c:pt idx="11">
                  <c:v>3</c:v>
                </c:pt>
                <c:pt idx="12">
                  <c:v>0</c:v>
                </c:pt>
                <c:pt idx="13">
                  <c:v>0</c:v>
                </c:pt>
                <c:pt idx="14">
                  <c:v>2</c:v>
                </c:pt>
                <c:pt idx="15">
                  <c:v>1</c:v>
                </c:pt>
                <c:pt idx="16">
                  <c:v>0</c:v>
                </c:pt>
                <c:pt idx="17">
                  <c:v>0</c:v>
                </c:pt>
                <c:pt idx="18">
                  <c:v>0</c:v>
                </c:pt>
                <c:pt idx="19">
                  <c:v>0</c:v>
                </c:pt>
                <c:pt idx="20">
                  <c:v>0</c:v>
                </c:pt>
                <c:pt idx="21">
                  <c:v>1</c:v>
                </c:pt>
                <c:pt idx="22">
                  <c:v>0</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6</c:v>
                </c:pt>
                <c:pt idx="12">
                  <c:v>0</c:v>
                </c:pt>
                <c:pt idx="13">
                  <c:v>0</c:v>
                </c:pt>
                <c:pt idx="14">
                  <c:v>3</c:v>
                </c:pt>
                <c:pt idx="15">
                  <c:v>11</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53</c:v>
                </c:pt>
                <c:pt idx="1">
                  <c:v>72</c:v>
                </c:pt>
                <c:pt idx="2">
                  <c:v>91</c:v>
                </c:pt>
                <c:pt idx="3">
                  <c:v>105</c:v>
                </c:pt>
                <c:pt idx="4">
                  <c:v>120</c:v>
                </c:pt>
                <c:pt idx="5">
                  <c:v>120</c:v>
                </c:pt>
                <c:pt idx="6">
                  <c:v>120</c:v>
                </c:pt>
                <c:pt idx="7">
                  <c:v>140</c:v>
                </c:pt>
                <c:pt idx="8">
                  <c:v>149</c:v>
                </c:pt>
                <c:pt idx="9">
                  <c:v>156</c:v>
                </c:pt>
                <c:pt idx="10">
                  <c:v>161</c:v>
                </c:pt>
                <c:pt idx="11">
                  <c:v>164</c:v>
                </c:pt>
                <c:pt idx="12">
                  <c:v>164</c:v>
                </c:pt>
                <c:pt idx="13">
                  <c:v>164</c:v>
                </c:pt>
                <c:pt idx="14">
                  <c:v>166</c:v>
                </c:pt>
                <c:pt idx="15">
                  <c:v>167</c:v>
                </c:pt>
                <c:pt idx="16">
                  <c:v>167</c:v>
                </c:pt>
                <c:pt idx="17">
                  <c:v>167</c:v>
                </c:pt>
                <c:pt idx="18">
                  <c:v>167</c:v>
                </c:pt>
                <c:pt idx="19">
                  <c:v>167</c:v>
                </c:pt>
                <c:pt idx="20">
                  <c:v>167</c:v>
                </c:pt>
                <c:pt idx="21">
                  <c:v>168</c:v>
                </c:pt>
                <c:pt idx="22">
                  <c:v>168</c:v>
                </c:pt>
                <c:pt idx="23">
                  <c:v>168</c:v>
                </c:pt>
                <c:pt idx="24">
                  <c:v>168</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15</c:v>
                </c:pt>
                <c:pt idx="1">
                  <c:v>19</c:v>
                </c:pt>
                <c:pt idx="2">
                  <c:v>27</c:v>
                </c:pt>
                <c:pt idx="3">
                  <c:v>28</c:v>
                </c:pt>
                <c:pt idx="4">
                  <c:v>31</c:v>
                </c:pt>
                <c:pt idx="5">
                  <c:v>31</c:v>
                </c:pt>
                <c:pt idx="6">
                  <c:v>31</c:v>
                </c:pt>
                <c:pt idx="7">
                  <c:v>44</c:v>
                </c:pt>
                <c:pt idx="8">
                  <c:v>50</c:v>
                </c:pt>
                <c:pt idx="9">
                  <c:v>69</c:v>
                </c:pt>
                <c:pt idx="10">
                  <c:v>83</c:v>
                </c:pt>
                <c:pt idx="11">
                  <c:v>89</c:v>
                </c:pt>
                <c:pt idx="12">
                  <c:v>89</c:v>
                </c:pt>
                <c:pt idx="13">
                  <c:v>89</c:v>
                </c:pt>
                <c:pt idx="14">
                  <c:v>92</c:v>
                </c:pt>
                <c:pt idx="15">
                  <c:v>103</c:v>
                </c:pt>
                <c:pt idx="16">
                  <c:v>103</c:v>
                </c:pt>
                <c:pt idx="17">
                  <c:v>103</c:v>
                </c:pt>
                <c:pt idx="18">
                  <c:v>103</c:v>
                </c:pt>
                <c:pt idx="19">
                  <c:v>103</c:v>
                </c:pt>
                <c:pt idx="20">
                  <c:v>103</c:v>
                </c:pt>
                <c:pt idx="21">
                  <c:v>103</c:v>
                </c:pt>
                <c:pt idx="22">
                  <c:v>103</c:v>
                </c:pt>
                <c:pt idx="23">
                  <c:v>103</c:v>
                </c:pt>
                <c:pt idx="24">
                  <c:v>103</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4</c:v>
                </c:pt>
                <c:pt idx="2">
                  <c:v>20</c:v>
                </c:pt>
                <c:pt idx="3">
                  <c:v>73</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42</c:v>
                </c:pt>
                <c:pt idx="1">
                  <c:v>13</c:v>
                </c:pt>
                <c:pt idx="2">
                  <c:v>10</c:v>
                </c:pt>
                <c:pt idx="3">
                  <c:v>103</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874"/>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875"/>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876"/>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73" TargetMode="External"/><Relationship Id="rId21" Type="http://schemas.openxmlformats.org/officeDocument/2006/relationships/hyperlink" Target="https://sasuke-fl.backlog.com/view/SASUKE_PROJ_H8739-700" TargetMode="External"/><Relationship Id="rId42" Type="http://schemas.openxmlformats.org/officeDocument/2006/relationships/hyperlink" Target="https://sasuke-fl.backlog.com/view/SASUKE_PROJ_H8739-608" TargetMode="External"/><Relationship Id="rId63" Type="http://schemas.openxmlformats.org/officeDocument/2006/relationships/hyperlink" Target="https://sasuke-fl.backlog.com/view/SASUKE_PROJ_H8739-710" TargetMode="External"/><Relationship Id="rId84" Type="http://schemas.openxmlformats.org/officeDocument/2006/relationships/hyperlink" Target="https://sasuke-fl.backlog.com/view/SASUKE_PROJ_H8739-659" TargetMode="External"/><Relationship Id="rId138" Type="http://schemas.openxmlformats.org/officeDocument/2006/relationships/hyperlink" Target="https://sasuke-fl.backlog.com/view/SASUKE_PROJ_H8739-522" TargetMode="External"/><Relationship Id="rId107" Type="http://schemas.openxmlformats.org/officeDocument/2006/relationships/hyperlink" Target="https://sasuke-fl.backlog.com/view/SASUKE_PROJ_H8739-600" TargetMode="External"/><Relationship Id="rId11" Type="http://schemas.openxmlformats.org/officeDocument/2006/relationships/hyperlink" Target="https://sasuke-fl.backlog.com/view/SASUKE_PROJ_H8739-728" TargetMode="External"/><Relationship Id="rId32" Type="http://schemas.openxmlformats.org/officeDocument/2006/relationships/hyperlink" Target="https://sasuke-fl.backlog.com/view/SASUKE_PROJ_H8739-643" TargetMode="External"/><Relationship Id="rId37" Type="http://schemas.openxmlformats.org/officeDocument/2006/relationships/hyperlink" Target="https://sasuke-fl.backlog.com/view/SASUKE_PROJ_H8739-622" TargetMode="External"/><Relationship Id="rId53" Type="http://schemas.openxmlformats.org/officeDocument/2006/relationships/hyperlink" Target="https://sasuke-fl.backlog.com/view/SASUKE_PROJ_H8739-762" TargetMode="External"/><Relationship Id="rId58" Type="http://schemas.openxmlformats.org/officeDocument/2006/relationships/hyperlink" Target="https://sasuke-fl.backlog.com/view/SASUKE_PROJ_H8739-724" TargetMode="External"/><Relationship Id="rId74" Type="http://schemas.openxmlformats.org/officeDocument/2006/relationships/hyperlink" Target="https://sasuke-fl.backlog.com/view/SASUKE_PROJ_H8739-679" TargetMode="External"/><Relationship Id="rId79" Type="http://schemas.openxmlformats.org/officeDocument/2006/relationships/hyperlink" Target="https://sasuke-fl.backlog.com/view/SASUKE_PROJ_H8739-670" TargetMode="External"/><Relationship Id="rId102" Type="http://schemas.openxmlformats.org/officeDocument/2006/relationships/hyperlink" Target="https://sasuke-fl.backlog.com/view/SASUKE_PROJ_H8739-613" TargetMode="External"/><Relationship Id="rId123" Type="http://schemas.openxmlformats.org/officeDocument/2006/relationships/hyperlink" Target="https://sasuke-fl.backlog.com/view/SASUKE_PROJ_H8739-565" TargetMode="External"/><Relationship Id="rId128" Type="http://schemas.openxmlformats.org/officeDocument/2006/relationships/hyperlink" Target="https://sasuke-fl.backlog.com/view/SASUKE_PROJ_H8739-551" TargetMode="External"/><Relationship Id="rId5" Type="http://schemas.openxmlformats.org/officeDocument/2006/relationships/hyperlink" Target="https://sasuke-fl.backlog.com/view/SASUKE_PROJ_H8739-787" TargetMode="External"/><Relationship Id="rId90" Type="http://schemas.openxmlformats.org/officeDocument/2006/relationships/hyperlink" Target="https://sasuke-fl.backlog.com/view/SASUKE_PROJ_H8739-650" TargetMode="External"/><Relationship Id="rId95" Type="http://schemas.openxmlformats.org/officeDocument/2006/relationships/hyperlink" Target="https://sasuke-fl.backlog.com/view/SASUKE_PROJ_H8739-638" TargetMode="External"/><Relationship Id="rId22" Type="http://schemas.openxmlformats.org/officeDocument/2006/relationships/hyperlink" Target="https://sasuke-fl.backlog.com/view/SASUKE_PROJ_H8739-691" TargetMode="External"/><Relationship Id="rId27" Type="http://schemas.openxmlformats.org/officeDocument/2006/relationships/hyperlink" Target="https://sasuke-fl.backlog.com/view/SASUKE_PROJ_H8739-657" TargetMode="External"/><Relationship Id="rId43" Type="http://schemas.openxmlformats.org/officeDocument/2006/relationships/hyperlink" Target="https://sasuke-fl.backlog.com/view/SASUKE_PROJ_H8739-607" TargetMode="External"/><Relationship Id="rId48" Type="http://schemas.openxmlformats.org/officeDocument/2006/relationships/hyperlink" Target="https://sasuke-fl.backlog.com/view/SASUKE_PROJ_H8739-817" TargetMode="External"/><Relationship Id="rId64" Type="http://schemas.openxmlformats.org/officeDocument/2006/relationships/hyperlink" Target="https://sasuke-fl.backlog.com/view/SASUKE_PROJ_H8739-709" TargetMode="External"/><Relationship Id="rId69" Type="http://schemas.openxmlformats.org/officeDocument/2006/relationships/hyperlink" Target="https://sasuke-fl.backlog.com/view/SASUKE_PROJ_H8739-697" TargetMode="External"/><Relationship Id="rId113" Type="http://schemas.openxmlformats.org/officeDocument/2006/relationships/hyperlink" Target="https://sasuke-fl.backlog.com/view/SASUKE_PROJ_H8739-580" TargetMode="External"/><Relationship Id="rId118" Type="http://schemas.openxmlformats.org/officeDocument/2006/relationships/hyperlink" Target="https://sasuke-fl.backlog.com/view/SASUKE_PROJ_H8739-572" TargetMode="External"/><Relationship Id="rId134" Type="http://schemas.openxmlformats.org/officeDocument/2006/relationships/hyperlink" Target="https://sasuke-fl.backlog.com/view/SASUKE_PROJ_H8739-528" TargetMode="External"/><Relationship Id="rId139" Type="http://schemas.openxmlformats.org/officeDocument/2006/relationships/hyperlink" Target="https://sasuke-fl.backlog.com/view/SASUKE_PROJ_H8739-521" TargetMode="External"/><Relationship Id="rId80" Type="http://schemas.openxmlformats.org/officeDocument/2006/relationships/hyperlink" Target="https://sasuke-fl.backlog.com/view/SASUKE_PROJ_H8739-669" TargetMode="External"/><Relationship Id="rId85" Type="http://schemas.openxmlformats.org/officeDocument/2006/relationships/hyperlink" Target="https://sasuke-fl.backlog.com/view/SASUKE_PROJ_H8739-658" TargetMode="External"/><Relationship Id="rId12" Type="http://schemas.openxmlformats.org/officeDocument/2006/relationships/hyperlink" Target="https://sasuke-fl.backlog.com/view/SASUKE_PROJ_H8739-726" TargetMode="External"/><Relationship Id="rId17" Type="http://schemas.openxmlformats.org/officeDocument/2006/relationships/hyperlink" Target="https://sasuke-fl.backlog.com/view/SASUKE_PROJ_H8739-717" TargetMode="External"/><Relationship Id="rId33" Type="http://schemas.openxmlformats.org/officeDocument/2006/relationships/hyperlink" Target="https://sasuke-fl.backlog.com/view/SASUKE_PROJ_H8739-633" TargetMode="External"/><Relationship Id="rId38" Type="http://schemas.openxmlformats.org/officeDocument/2006/relationships/hyperlink" Target="https://sasuke-fl.backlog.com/view/SASUKE_PROJ_H8739-619" TargetMode="External"/><Relationship Id="rId59" Type="http://schemas.openxmlformats.org/officeDocument/2006/relationships/hyperlink" Target="https://sasuke-fl.backlog.com/view/SASUKE_PROJ_H8739-723" TargetMode="External"/><Relationship Id="rId103" Type="http://schemas.openxmlformats.org/officeDocument/2006/relationships/hyperlink" Target="https://sasuke-fl.backlog.com/view/SASUKE_PROJ_H8739-611" TargetMode="External"/><Relationship Id="rId108" Type="http://schemas.openxmlformats.org/officeDocument/2006/relationships/hyperlink" Target="https://sasuke-fl.backlog.com/view/SASUKE_PROJ_H8739-599" TargetMode="External"/><Relationship Id="rId124" Type="http://schemas.openxmlformats.org/officeDocument/2006/relationships/hyperlink" Target="https://sasuke-fl.backlog.com/view/SASUKE_PROJ_H8739-558" TargetMode="External"/><Relationship Id="rId129" Type="http://schemas.openxmlformats.org/officeDocument/2006/relationships/hyperlink" Target="https://sasuke-fl.backlog.com/view/SASUKE_PROJ_H8739-543" TargetMode="External"/><Relationship Id="rId54" Type="http://schemas.openxmlformats.org/officeDocument/2006/relationships/hyperlink" Target="https://sasuke-fl.backlog.com/view/SASUKE_PROJ_H8739-761" TargetMode="External"/><Relationship Id="rId70" Type="http://schemas.openxmlformats.org/officeDocument/2006/relationships/hyperlink" Target="https://sasuke-fl.backlog.com/view/SASUKE_PROJ_H8739-694" TargetMode="External"/><Relationship Id="rId75" Type="http://schemas.openxmlformats.org/officeDocument/2006/relationships/hyperlink" Target="https://sasuke-fl.backlog.com/view/SASUKE_PROJ_H8739-676" TargetMode="External"/><Relationship Id="rId91" Type="http://schemas.openxmlformats.org/officeDocument/2006/relationships/hyperlink" Target="https://sasuke-fl.backlog.com/view/SASUKE_PROJ_H8739-647" TargetMode="External"/><Relationship Id="rId96" Type="http://schemas.openxmlformats.org/officeDocument/2006/relationships/hyperlink" Target="https://sasuke-fl.backlog.com/view/SASUKE_PROJ_H8739-636" TargetMode="External"/><Relationship Id="rId140" Type="http://schemas.openxmlformats.org/officeDocument/2006/relationships/printerSettings" Target="../printerSettings/printerSettings5.bin"/><Relationship Id="rId1" Type="http://schemas.openxmlformats.org/officeDocument/2006/relationships/hyperlink" Target="https://sasuke-fl.backlog.com/view/SASUKE_PROJ_H8739-833" TargetMode="External"/><Relationship Id="rId6" Type="http://schemas.openxmlformats.org/officeDocument/2006/relationships/hyperlink" Target="https://sasuke-fl.backlog.com/view/SASUKE_PROJ_H8739-784" TargetMode="External"/><Relationship Id="rId23" Type="http://schemas.openxmlformats.org/officeDocument/2006/relationships/hyperlink" Target="https://sasuke-fl.backlog.com/view/SASUKE_PROJ_H8739-681" TargetMode="External"/><Relationship Id="rId28" Type="http://schemas.openxmlformats.org/officeDocument/2006/relationships/hyperlink" Target="https://sasuke-fl.backlog.com/view/SASUKE_PROJ_H8739-654" TargetMode="External"/><Relationship Id="rId49" Type="http://schemas.openxmlformats.org/officeDocument/2006/relationships/hyperlink" Target="https://sasuke-fl.backlog.com/view/SASUKE_PROJ_H8739-810" TargetMode="External"/><Relationship Id="rId114" Type="http://schemas.openxmlformats.org/officeDocument/2006/relationships/hyperlink" Target="https://sasuke-fl.backlog.com/view/SASUKE_PROJ_H8739-578" TargetMode="External"/><Relationship Id="rId119" Type="http://schemas.openxmlformats.org/officeDocument/2006/relationships/hyperlink" Target="https://sasuke-fl.backlog.com/view/SASUKE_PROJ_H8739-571" TargetMode="External"/><Relationship Id="rId44" Type="http://schemas.openxmlformats.org/officeDocument/2006/relationships/hyperlink" Target="https://sasuke-fl.backlog.com/view/SASUKE_PROJ_H8739-593" TargetMode="External"/><Relationship Id="rId60" Type="http://schemas.openxmlformats.org/officeDocument/2006/relationships/hyperlink" Target="https://sasuke-fl.backlog.com/view/SASUKE_PROJ_H8739-720" TargetMode="External"/><Relationship Id="rId65" Type="http://schemas.openxmlformats.org/officeDocument/2006/relationships/hyperlink" Target="https://sasuke-fl.backlog.com/view/SASUKE_PROJ_H8739-707" TargetMode="External"/><Relationship Id="rId81" Type="http://schemas.openxmlformats.org/officeDocument/2006/relationships/hyperlink" Target="https://sasuke-fl.backlog.com/view/SASUKE_PROJ_H8739-668" TargetMode="External"/><Relationship Id="rId86" Type="http://schemas.openxmlformats.org/officeDocument/2006/relationships/hyperlink" Target="https://sasuke-fl.backlog.com/view/SASUKE_PROJ_H8739-656" TargetMode="External"/><Relationship Id="rId130" Type="http://schemas.openxmlformats.org/officeDocument/2006/relationships/hyperlink" Target="https://sasuke-fl.backlog.com/view/SASUKE_PROJ_H8739-542" TargetMode="External"/><Relationship Id="rId135" Type="http://schemas.openxmlformats.org/officeDocument/2006/relationships/hyperlink" Target="https://sasuke-fl.backlog.com/view/SASUKE_PROJ_H8739-527" TargetMode="External"/><Relationship Id="rId13" Type="http://schemas.openxmlformats.org/officeDocument/2006/relationships/hyperlink" Target="https://sasuke-fl.backlog.com/view/SASUKE_PROJ_H8739-725" TargetMode="External"/><Relationship Id="rId18" Type="http://schemas.openxmlformats.org/officeDocument/2006/relationships/hyperlink" Target="https://sasuke-fl.backlog.com/view/SASUKE_PROJ_H8739-713" TargetMode="External"/><Relationship Id="rId39" Type="http://schemas.openxmlformats.org/officeDocument/2006/relationships/hyperlink" Target="https://sasuke-fl.backlog.com/view/SASUKE_PROJ_H8739-618" TargetMode="External"/><Relationship Id="rId109" Type="http://schemas.openxmlformats.org/officeDocument/2006/relationships/hyperlink" Target="https://sasuke-fl.backlog.com/view/SASUKE_PROJ_H8739-596" TargetMode="External"/><Relationship Id="rId34" Type="http://schemas.openxmlformats.org/officeDocument/2006/relationships/hyperlink" Target="https://sasuke-fl.backlog.com/view/SASUKE_PROJ_H8739-625" TargetMode="External"/><Relationship Id="rId50" Type="http://schemas.openxmlformats.org/officeDocument/2006/relationships/hyperlink" Target="https://sasuke-fl.backlog.com/view/SASUKE_PROJ_H8739-802" TargetMode="External"/><Relationship Id="rId55" Type="http://schemas.openxmlformats.org/officeDocument/2006/relationships/hyperlink" Target="https://sasuke-fl.backlog.com/view/SASUKE_PROJ_H8739-758" TargetMode="External"/><Relationship Id="rId76" Type="http://schemas.openxmlformats.org/officeDocument/2006/relationships/hyperlink" Target="https://sasuke-fl.backlog.com/view/SASUKE_PROJ_H8739-675" TargetMode="External"/><Relationship Id="rId97" Type="http://schemas.openxmlformats.org/officeDocument/2006/relationships/hyperlink" Target="https://sasuke-fl.backlog.com/view/SASUKE_PROJ_H8739-635" TargetMode="External"/><Relationship Id="rId104" Type="http://schemas.openxmlformats.org/officeDocument/2006/relationships/hyperlink" Target="https://sasuke-fl.backlog.com/view/SASUKE_PROJ_H8739-605" TargetMode="External"/><Relationship Id="rId120" Type="http://schemas.openxmlformats.org/officeDocument/2006/relationships/hyperlink" Target="https://sasuke-fl.backlog.com/view/SASUKE_PROJ_H8739-569" TargetMode="External"/><Relationship Id="rId125" Type="http://schemas.openxmlformats.org/officeDocument/2006/relationships/hyperlink" Target="https://sasuke-fl.backlog.com/view/SASUKE_PROJ_H8739-554" TargetMode="External"/><Relationship Id="rId141" Type="http://schemas.openxmlformats.org/officeDocument/2006/relationships/drawing" Target="../drawings/drawing2.xml"/><Relationship Id="rId7" Type="http://schemas.openxmlformats.org/officeDocument/2006/relationships/hyperlink" Target="https://sasuke-fl.backlog.com/view/SASUKE_PROJ_H8739-783" TargetMode="External"/><Relationship Id="rId71" Type="http://schemas.openxmlformats.org/officeDocument/2006/relationships/hyperlink" Target="https://sasuke-fl.backlog.com/view/SASUKE_PROJ_H8739-692" TargetMode="External"/><Relationship Id="rId92" Type="http://schemas.openxmlformats.org/officeDocument/2006/relationships/hyperlink" Target="https://sasuke-fl.backlog.com/view/SASUKE_PROJ_H8739-641" TargetMode="External"/><Relationship Id="rId2" Type="http://schemas.openxmlformats.org/officeDocument/2006/relationships/hyperlink" Target="https://sasuke-fl.backlog.com/view/SASUKE_PROJ_H8739-832" TargetMode="External"/><Relationship Id="rId29" Type="http://schemas.openxmlformats.org/officeDocument/2006/relationships/hyperlink" Target="https://sasuke-fl.backlog.com/view/SASUKE_PROJ_H8739-653" TargetMode="External"/><Relationship Id="rId24" Type="http://schemas.openxmlformats.org/officeDocument/2006/relationships/hyperlink" Target="https://sasuke-fl.backlog.com/view/SASUKE_PROJ_H8739-678" TargetMode="External"/><Relationship Id="rId40" Type="http://schemas.openxmlformats.org/officeDocument/2006/relationships/hyperlink" Target="https://sasuke-fl.backlog.com/view/SASUKE_PROJ_H8739-612" TargetMode="External"/><Relationship Id="rId45" Type="http://schemas.openxmlformats.org/officeDocument/2006/relationships/hyperlink" Target="https://sasuke-fl.backlog.com/view/SASUKE_PROJ_H8739-592" TargetMode="External"/><Relationship Id="rId66" Type="http://schemas.openxmlformats.org/officeDocument/2006/relationships/hyperlink" Target="https://sasuke-fl.backlog.com/view/SASUKE_PROJ_H8739-705" TargetMode="External"/><Relationship Id="rId87" Type="http://schemas.openxmlformats.org/officeDocument/2006/relationships/hyperlink" Target="https://sasuke-fl.backlog.com/view/SASUKE_PROJ_H8739-655" TargetMode="External"/><Relationship Id="rId110" Type="http://schemas.openxmlformats.org/officeDocument/2006/relationships/hyperlink" Target="https://sasuke-fl.backlog.com/view/SASUKE_PROJ_H8739-591" TargetMode="External"/><Relationship Id="rId115" Type="http://schemas.openxmlformats.org/officeDocument/2006/relationships/hyperlink" Target="https://sasuke-fl.backlog.com/view/SASUKE_PROJ_H8739-575" TargetMode="External"/><Relationship Id="rId131" Type="http://schemas.openxmlformats.org/officeDocument/2006/relationships/hyperlink" Target="https://sasuke-fl.backlog.com/view/SASUKE_PROJ_H8739-541" TargetMode="External"/><Relationship Id="rId136" Type="http://schemas.openxmlformats.org/officeDocument/2006/relationships/hyperlink" Target="https://sasuke-fl.backlog.com/view/SASUKE_PROJ_H8739-526" TargetMode="External"/><Relationship Id="rId61" Type="http://schemas.openxmlformats.org/officeDocument/2006/relationships/hyperlink" Target="https://sasuke-fl.backlog.com/view/SASUKE_PROJ_H8739-716" TargetMode="External"/><Relationship Id="rId82" Type="http://schemas.openxmlformats.org/officeDocument/2006/relationships/hyperlink" Target="https://sasuke-fl.backlog.com/view/SASUKE_PROJ_H8739-665" TargetMode="External"/><Relationship Id="rId19" Type="http://schemas.openxmlformats.org/officeDocument/2006/relationships/hyperlink" Target="https://sasuke-fl.backlog.com/view/SASUKE_PROJ_H8739-708" TargetMode="External"/><Relationship Id="rId14" Type="http://schemas.openxmlformats.org/officeDocument/2006/relationships/hyperlink" Target="https://sasuke-fl.backlog.com/view/SASUKE_PROJ_H8739-722" TargetMode="External"/><Relationship Id="rId30" Type="http://schemas.openxmlformats.org/officeDocument/2006/relationships/hyperlink" Target="https://sasuke-fl.backlog.com/view/SASUKE_PROJ_H8739-649" TargetMode="External"/><Relationship Id="rId35" Type="http://schemas.openxmlformats.org/officeDocument/2006/relationships/hyperlink" Target="https://sasuke-fl.backlog.com/view/SASUKE_PROJ_H8739-624" TargetMode="External"/><Relationship Id="rId56" Type="http://schemas.openxmlformats.org/officeDocument/2006/relationships/hyperlink" Target="https://sasuke-fl.backlog.com/view/SASUKE_PROJ_H8739-729" TargetMode="External"/><Relationship Id="rId77" Type="http://schemas.openxmlformats.org/officeDocument/2006/relationships/hyperlink" Target="https://sasuke-fl.backlog.com/view/SASUKE_PROJ_H8739-672" TargetMode="External"/><Relationship Id="rId100" Type="http://schemas.openxmlformats.org/officeDocument/2006/relationships/hyperlink" Target="https://sasuke-fl.backlog.com/view/SASUKE_PROJ_H8739-616" TargetMode="External"/><Relationship Id="rId105" Type="http://schemas.openxmlformats.org/officeDocument/2006/relationships/hyperlink" Target="https://sasuke-fl.backlog.com/view/SASUKE_PROJ_H8739-604" TargetMode="External"/><Relationship Id="rId126" Type="http://schemas.openxmlformats.org/officeDocument/2006/relationships/hyperlink" Target="https://sasuke-fl.backlog.com/view/SASUKE_PROJ_H8739-553" TargetMode="External"/><Relationship Id="rId8" Type="http://schemas.openxmlformats.org/officeDocument/2006/relationships/hyperlink" Target="https://sasuke-fl.backlog.com/view/SASUKE_PROJ_H8739-773" TargetMode="External"/><Relationship Id="rId51" Type="http://schemas.openxmlformats.org/officeDocument/2006/relationships/hyperlink" Target="https://sasuke-fl.backlog.com/view/SASUKE_PROJ_H8739-781" TargetMode="External"/><Relationship Id="rId72" Type="http://schemas.openxmlformats.org/officeDocument/2006/relationships/hyperlink" Target="https://sasuke-fl.backlog.com/view/SASUKE_PROJ_H8739-687" TargetMode="External"/><Relationship Id="rId93" Type="http://schemas.openxmlformats.org/officeDocument/2006/relationships/hyperlink" Target="https://sasuke-fl.backlog.com/view/SASUKE_PROJ_H8739-640" TargetMode="External"/><Relationship Id="rId98" Type="http://schemas.openxmlformats.org/officeDocument/2006/relationships/hyperlink" Target="https://sasuke-fl.backlog.com/view/SASUKE_PROJ_H8739-632" TargetMode="External"/><Relationship Id="rId121" Type="http://schemas.openxmlformats.org/officeDocument/2006/relationships/hyperlink" Target="https://sasuke-fl.backlog.com/view/SASUKE_PROJ_H8739-568" TargetMode="External"/><Relationship Id="rId142" Type="http://schemas.openxmlformats.org/officeDocument/2006/relationships/vmlDrawing" Target="../drawings/vmlDrawing2.vml"/><Relationship Id="rId3" Type="http://schemas.openxmlformats.org/officeDocument/2006/relationships/hyperlink" Target="https://sasuke-fl.backlog.com/view/SASUKE_PROJ_H8739-829" TargetMode="External"/><Relationship Id="rId25" Type="http://schemas.openxmlformats.org/officeDocument/2006/relationships/hyperlink" Target="https://sasuke-fl.backlog.com/view/SASUKE_PROJ_H8739-674" TargetMode="External"/><Relationship Id="rId46" Type="http://schemas.openxmlformats.org/officeDocument/2006/relationships/hyperlink" Target="https://sasuke-fl.backlog.com/view/SASUKE_PROJ_H8739-567" TargetMode="External"/><Relationship Id="rId67" Type="http://schemas.openxmlformats.org/officeDocument/2006/relationships/hyperlink" Target="https://sasuke-fl.backlog.com/view/SASUKE_PROJ_H8739-704" TargetMode="External"/><Relationship Id="rId116" Type="http://schemas.openxmlformats.org/officeDocument/2006/relationships/hyperlink" Target="https://sasuke-fl.backlog.com/view/SASUKE_PROJ_H8739-574" TargetMode="External"/><Relationship Id="rId137" Type="http://schemas.openxmlformats.org/officeDocument/2006/relationships/hyperlink" Target="https://sasuke-fl.backlog.com/view/SASUKE_PROJ_H8739-524" TargetMode="External"/><Relationship Id="rId20" Type="http://schemas.openxmlformats.org/officeDocument/2006/relationships/hyperlink" Target="https://sasuke-fl.backlog.com/view/SASUKE_PROJ_H8739-702" TargetMode="External"/><Relationship Id="rId41" Type="http://schemas.openxmlformats.org/officeDocument/2006/relationships/hyperlink" Target="https://sasuke-fl.backlog.com/view/SASUKE_PROJ_H8739-610" TargetMode="External"/><Relationship Id="rId62" Type="http://schemas.openxmlformats.org/officeDocument/2006/relationships/hyperlink" Target="https://sasuke-fl.backlog.com/view/SASUKE_PROJ_H8739-712" TargetMode="External"/><Relationship Id="rId83" Type="http://schemas.openxmlformats.org/officeDocument/2006/relationships/hyperlink" Target="https://sasuke-fl.backlog.com/view/SASUKE_PROJ_H8739-664" TargetMode="External"/><Relationship Id="rId88" Type="http://schemas.openxmlformats.org/officeDocument/2006/relationships/hyperlink" Target="https://sasuke-fl.backlog.com/view/SASUKE_PROJ_H8739-652" TargetMode="External"/><Relationship Id="rId111" Type="http://schemas.openxmlformats.org/officeDocument/2006/relationships/hyperlink" Target="https://sasuke-fl.backlog.com/view/SASUKE_PROJ_H8739-587" TargetMode="External"/><Relationship Id="rId132" Type="http://schemas.openxmlformats.org/officeDocument/2006/relationships/hyperlink" Target="https://sasuke-fl.backlog.com/view/SASUKE_PROJ_H8739-534" TargetMode="External"/><Relationship Id="rId15" Type="http://schemas.openxmlformats.org/officeDocument/2006/relationships/hyperlink" Target="https://sasuke-fl.backlog.com/view/SASUKE_PROJ_H8739-721" TargetMode="External"/><Relationship Id="rId36" Type="http://schemas.openxmlformats.org/officeDocument/2006/relationships/hyperlink" Target="https://sasuke-fl.backlog.com/view/SASUKE_PROJ_H8739-623" TargetMode="External"/><Relationship Id="rId57" Type="http://schemas.openxmlformats.org/officeDocument/2006/relationships/hyperlink" Target="https://sasuke-fl.backlog.com/view/SASUKE_PROJ_H8739-727" TargetMode="External"/><Relationship Id="rId106" Type="http://schemas.openxmlformats.org/officeDocument/2006/relationships/hyperlink" Target="https://sasuke-fl.backlog.com/view/SASUKE_PROJ_H8739-601" TargetMode="External"/><Relationship Id="rId127" Type="http://schemas.openxmlformats.org/officeDocument/2006/relationships/hyperlink" Target="https://sasuke-fl.backlog.com/view/SASUKE_PROJ_H8739-552" TargetMode="External"/><Relationship Id="rId10" Type="http://schemas.openxmlformats.org/officeDocument/2006/relationships/hyperlink" Target="https://sasuke-fl.backlog.com/view/SASUKE_PROJ_H8739-743" TargetMode="External"/><Relationship Id="rId31" Type="http://schemas.openxmlformats.org/officeDocument/2006/relationships/hyperlink" Target="https://sasuke-fl.backlog.com/view/SASUKE_PROJ_H8739-648" TargetMode="External"/><Relationship Id="rId52" Type="http://schemas.openxmlformats.org/officeDocument/2006/relationships/hyperlink" Target="https://sasuke-fl.backlog.com/view/SASUKE_PROJ_H8739-765" TargetMode="External"/><Relationship Id="rId73" Type="http://schemas.openxmlformats.org/officeDocument/2006/relationships/hyperlink" Target="https://sasuke-fl.backlog.com/view/SASUKE_PROJ_H8739-682" TargetMode="External"/><Relationship Id="rId78" Type="http://schemas.openxmlformats.org/officeDocument/2006/relationships/hyperlink" Target="https://sasuke-fl.backlog.com/view/SASUKE_PROJ_H8739-671" TargetMode="External"/><Relationship Id="rId94" Type="http://schemas.openxmlformats.org/officeDocument/2006/relationships/hyperlink" Target="https://sasuke-fl.backlog.com/view/SASUKE_PROJ_H8739-639" TargetMode="External"/><Relationship Id="rId99" Type="http://schemas.openxmlformats.org/officeDocument/2006/relationships/hyperlink" Target="https://sasuke-fl.backlog.com/view/SASUKE_PROJ_H8739-628" TargetMode="External"/><Relationship Id="rId101" Type="http://schemas.openxmlformats.org/officeDocument/2006/relationships/hyperlink" Target="https://sasuke-fl.backlog.com/view/SASUKE_PROJ_H8739-615" TargetMode="External"/><Relationship Id="rId122" Type="http://schemas.openxmlformats.org/officeDocument/2006/relationships/hyperlink" Target="https://sasuke-fl.backlog.com/view/SASUKE_PROJ_H8739-566" TargetMode="External"/><Relationship Id="rId143" Type="http://schemas.openxmlformats.org/officeDocument/2006/relationships/ctrlProp" Target="../ctrlProps/ctrlProp1.xml"/><Relationship Id="rId4" Type="http://schemas.openxmlformats.org/officeDocument/2006/relationships/hyperlink" Target="https://sasuke-fl.backlog.com/view/SASUKE_PROJ_H8739-822" TargetMode="External"/><Relationship Id="rId9" Type="http://schemas.openxmlformats.org/officeDocument/2006/relationships/hyperlink" Target="https://sasuke-fl.backlog.com/view/SASUKE_PROJ_H8739-771" TargetMode="External"/><Relationship Id="rId26" Type="http://schemas.openxmlformats.org/officeDocument/2006/relationships/hyperlink" Target="https://sasuke-fl.backlog.com/view/SASUKE_PROJ_H8739-673" TargetMode="External"/><Relationship Id="rId47" Type="http://schemas.openxmlformats.org/officeDocument/2006/relationships/hyperlink" Target="https://sasuke-fl.backlog.com/view/SASUKE_PROJ_H8739-525" TargetMode="External"/><Relationship Id="rId68" Type="http://schemas.openxmlformats.org/officeDocument/2006/relationships/hyperlink" Target="https://sasuke-fl.backlog.com/view/SASUKE_PROJ_H8739-698" TargetMode="External"/><Relationship Id="rId89" Type="http://schemas.openxmlformats.org/officeDocument/2006/relationships/hyperlink" Target="https://sasuke-fl.backlog.com/view/SASUKE_PROJ_H8739-651" TargetMode="External"/><Relationship Id="rId112" Type="http://schemas.openxmlformats.org/officeDocument/2006/relationships/hyperlink" Target="https://sasuke-fl.backlog.com/view/SASUKE_PROJ_H8739-582" TargetMode="External"/><Relationship Id="rId133" Type="http://schemas.openxmlformats.org/officeDocument/2006/relationships/hyperlink" Target="https://sasuke-fl.backlog.com/view/SASUKE_PROJ_H8739-529" TargetMode="External"/><Relationship Id="rId16" Type="http://schemas.openxmlformats.org/officeDocument/2006/relationships/hyperlink" Target="https://sasuke-fl.backlog.com/view/SASUKE_PROJ_H8739-718"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737" TargetMode="External"/><Relationship Id="rId3" Type="http://schemas.openxmlformats.org/officeDocument/2006/relationships/hyperlink" Target="https://sasuke-fl.backlog.com/view/SASUKE_PROJ_H8739-769" TargetMode="External"/><Relationship Id="rId7" Type="http://schemas.openxmlformats.org/officeDocument/2006/relationships/hyperlink" Target="https://sasuke-fl.backlog.com/view/SASUKE_PROJ_H8739-738" TargetMode="External"/><Relationship Id="rId12" Type="http://schemas.openxmlformats.org/officeDocument/2006/relationships/ctrlProp" Target="../ctrlProps/ctrlProp2.xml"/><Relationship Id="rId2" Type="http://schemas.openxmlformats.org/officeDocument/2006/relationships/hyperlink" Target="https://sasuke-fl.backlog.com/view/SASUKE_PROJ_H8739-770" TargetMode="External"/><Relationship Id="rId1" Type="http://schemas.openxmlformats.org/officeDocument/2006/relationships/hyperlink" Target="https://sasuke-fl.backlog.com/view/SASUKE_PROJ_H8739-776" TargetMode="External"/><Relationship Id="rId6" Type="http://schemas.openxmlformats.org/officeDocument/2006/relationships/hyperlink" Target="https://sasuke-fl.backlog.com/view/SASUKE_PROJ_H8739-739" TargetMode="External"/><Relationship Id="rId11" Type="http://schemas.openxmlformats.org/officeDocument/2006/relationships/vmlDrawing" Target="../drawings/vmlDrawing3.vml"/><Relationship Id="rId5" Type="http://schemas.openxmlformats.org/officeDocument/2006/relationships/hyperlink" Target="https://sasuke-fl.backlog.com/view/SASUKE_PROJ_H8739-766" TargetMode="External"/><Relationship Id="rId10" Type="http://schemas.openxmlformats.org/officeDocument/2006/relationships/drawing" Target="../drawings/drawing3.xml"/><Relationship Id="rId4" Type="http://schemas.openxmlformats.org/officeDocument/2006/relationships/hyperlink" Target="https://sasuke-fl.backlog.com/view/SASUKE_PROJ_H8739-768" TargetMode="External"/><Relationship Id="rId9"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598" TargetMode="External"/><Relationship Id="rId13" Type="http://schemas.openxmlformats.org/officeDocument/2006/relationships/hyperlink" Target="https://sasuke-fl.backlog.com/view/SASUKE_PROJ_H8739-585" TargetMode="External"/><Relationship Id="rId18" Type="http://schemas.openxmlformats.org/officeDocument/2006/relationships/hyperlink" Target="https://sasuke-fl.backlog.com/view/SASUKE_PROJ_H8739-577" TargetMode="External"/><Relationship Id="rId3" Type="http://schemas.openxmlformats.org/officeDocument/2006/relationships/hyperlink" Target="https://sasuke-fl.backlog.com/view/SASUKE_PROJ_H8739-775" TargetMode="External"/><Relationship Id="rId21" Type="http://schemas.openxmlformats.org/officeDocument/2006/relationships/hyperlink" Target="https://sasuke-fl.backlog.com/view/SASUKE_PROJ_H8739-548" TargetMode="External"/><Relationship Id="rId7" Type="http://schemas.openxmlformats.org/officeDocument/2006/relationships/hyperlink" Target="https://sasuke-fl.backlog.com/view/SASUKE_PROJ_H8739-606" TargetMode="External"/><Relationship Id="rId12" Type="http://schemas.openxmlformats.org/officeDocument/2006/relationships/hyperlink" Target="https://sasuke-fl.backlog.com/view/SASUKE_PROJ_H8739-586" TargetMode="External"/><Relationship Id="rId17" Type="http://schemas.openxmlformats.org/officeDocument/2006/relationships/hyperlink" Target="https://sasuke-fl.backlog.com/view/SASUKE_PROJ_H8739-579" TargetMode="External"/><Relationship Id="rId25" Type="http://schemas.openxmlformats.org/officeDocument/2006/relationships/ctrlProp" Target="../ctrlProps/ctrlProp3.xml"/><Relationship Id="rId2" Type="http://schemas.openxmlformats.org/officeDocument/2006/relationships/hyperlink" Target="https://sasuke-fl.backlog.com/view/SASUKE_PROJ_H8739-778" TargetMode="External"/><Relationship Id="rId16" Type="http://schemas.openxmlformats.org/officeDocument/2006/relationships/hyperlink" Target="https://sasuke-fl.backlog.com/view/SASUKE_PROJ_H8739-581" TargetMode="External"/><Relationship Id="rId20" Type="http://schemas.openxmlformats.org/officeDocument/2006/relationships/hyperlink" Target="https://sasuke-fl.backlog.com/view/SASUKE_PROJ_H8739-570" TargetMode="External"/><Relationship Id="rId1" Type="http://schemas.openxmlformats.org/officeDocument/2006/relationships/hyperlink" Target="https://sasuke-fl.backlog.com/view/SASUKE_PROJ_H8739-821" TargetMode="External"/><Relationship Id="rId6" Type="http://schemas.openxmlformats.org/officeDocument/2006/relationships/hyperlink" Target="https://sasuke-fl.backlog.com/view/SASUKE_PROJ_H8739-693" TargetMode="External"/><Relationship Id="rId11" Type="http://schemas.openxmlformats.org/officeDocument/2006/relationships/hyperlink" Target="https://sasuke-fl.backlog.com/view/SASUKE_PROJ_H8739-590" TargetMode="External"/><Relationship Id="rId24" Type="http://schemas.openxmlformats.org/officeDocument/2006/relationships/vmlDrawing" Target="../drawings/vmlDrawing4.vml"/><Relationship Id="rId5" Type="http://schemas.openxmlformats.org/officeDocument/2006/relationships/hyperlink" Target="https://sasuke-fl.backlog.com/view/SASUKE_PROJ_H8739-706" TargetMode="External"/><Relationship Id="rId15" Type="http://schemas.openxmlformats.org/officeDocument/2006/relationships/hyperlink" Target="https://sasuke-fl.backlog.com/view/SASUKE_PROJ_H8739-583" TargetMode="External"/><Relationship Id="rId23" Type="http://schemas.openxmlformats.org/officeDocument/2006/relationships/drawing" Target="../drawings/drawing4.xml"/><Relationship Id="rId10" Type="http://schemas.openxmlformats.org/officeDocument/2006/relationships/hyperlink" Target="https://sasuke-fl.backlog.com/view/SASUKE_PROJ_H8739-594" TargetMode="External"/><Relationship Id="rId19" Type="http://schemas.openxmlformats.org/officeDocument/2006/relationships/hyperlink" Target="https://sasuke-fl.backlog.com/view/SASUKE_PROJ_H8739-576" TargetMode="External"/><Relationship Id="rId4" Type="http://schemas.openxmlformats.org/officeDocument/2006/relationships/hyperlink" Target="https://sasuke-fl.backlog.com/view/SASUKE_PROJ_H8739-719" TargetMode="External"/><Relationship Id="rId9" Type="http://schemas.openxmlformats.org/officeDocument/2006/relationships/hyperlink" Target="https://sasuke-fl.backlog.com/view/SASUKE_PROJ_H8739-597" TargetMode="External"/><Relationship Id="rId14" Type="http://schemas.openxmlformats.org/officeDocument/2006/relationships/hyperlink" Target="https://sasuke-fl.backlog.com/view/SASUKE_PROJ_H8739-584" TargetMode="External"/><Relationship Id="rId22"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Normal="85" zoomScaleSheetLayoutView="100" workbookViewId="0"/>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84" t="s">
        <v>572</v>
      </c>
      <c r="BL2" s="85"/>
      <c r="BM2" s="85"/>
      <c r="BN2" s="85"/>
      <c r="BO2" s="86">
        <v>44222</v>
      </c>
      <c r="BP2" s="86"/>
      <c r="BQ2" s="86"/>
      <c r="BR2" s="86"/>
      <c r="BS2" s="86"/>
    </row>
    <row r="3" spans="52:71" ht="6" customHeight="1" thickBot="1"/>
    <row r="4" spans="52:71">
      <c r="AZ4" s="70" t="s">
        <v>453</v>
      </c>
      <c r="BA4" s="71"/>
      <c r="BB4" s="71"/>
      <c r="BC4" s="71"/>
      <c r="BD4" s="71"/>
      <c r="BE4" s="71"/>
      <c r="BF4" s="71"/>
      <c r="BG4" s="71"/>
      <c r="BH4" s="71"/>
      <c r="BI4" s="71"/>
      <c r="BJ4" s="71"/>
      <c r="BK4" s="71"/>
      <c r="BL4" s="72"/>
      <c r="BM4" s="72"/>
      <c r="BN4" s="72"/>
      <c r="BO4" s="72"/>
      <c r="BP4" s="72"/>
      <c r="BQ4" s="72"/>
      <c r="BR4" s="72"/>
      <c r="BS4" s="73"/>
    </row>
    <row r="5" spans="52:71">
      <c r="AZ5" s="74"/>
      <c r="BA5" s="83" t="s">
        <v>888</v>
      </c>
      <c r="BB5" s="75"/>
      <c r="BC5" s="75"/>
      <c r="BD5" s="75"/>
      <c r="BE5" s="76"/>
      <c r="BF5" s="75"/>
      <c r="BG5" s="75"/>
      <c r="BH5" s="75"/>
      <c r="BI5" s="75"/>
      <c r="BJ5" s="75"/>
      <c r="BK5" s="75"/>
      <c r="BL5" s="66"/>
      <c r="BM5" s="66"/>
      <c r="BN5" s="66"/>
      <c r="BO5" s="66"/>
      <c r="BP5" s="66"/>
      <c r="BQ5" s="66"/>
      <c r="BR5" s="66"/>
      <c r="BS5" s="77"/>
    </row>
    <row r="6" spans="52:71">
      <c r="AZ6" s="74"/>
      <c r="BA6" s="83" t="s">
        <v>890</v>
      </c>
      <c r="BB6" s="75"/>
      <c r="BC6" s="75"/>
      <c r="BD6" s="75"/>
      <c r="BE6" s="75"/>
      <c r="BF6" s="75"/>
      <c r="BG6" s="75"/>
      <c r="BH6" s="75"/>
      <c r="BI6" s="75"/>
      <c r="BJ6" s="75"/>
      <c r="BK6" s="75"/>
      <c r="BL6" s="66"/>
      <c r="BM6" s="66"/>
      <c r="BN6" s="66"/>
      <c r="BO6" s="66"/>
      <c r="BP6" s="66"/>
      <c r="BQ6" s="66"/>
      <c r="BR6" s="66"/>
      <c r="BS6" s="77"/>
    </row>
    <row r="7" spans="52:71">
      <c r="AZ7" s="74"/>
      <c r="BA7" s="82"/>
      <c r="BB7" s="75"/>
      <c r="BC7" s="75"/>
      <c r="BD7" s="75"/>
      <c r="BE7" s="75"/>
      <c r="BF7" s="75"/>
      <c r="BG7" s="75"/>
      <c r="BH7" s="75"/>
      <c r="BI7" s="75"/>
      <c r="BJ7" s="75"/>
      <c r="BK7" s="75"/>
      <c r="BL7" s="66"/>
      <c r="BM7" s="66"/>
      <c r="BN7" s="66"/>
      <c r="BO7" s="66"/>
      <c r="BP7" s="66"/>
      <c r="BQ7" s="66"/>
      <c r="BR7" s="66"/>
      <c r="BS7" s="77"/>
    </row>
    <row r="8" spans="52:71">
      <c r="AZ8" s="74"/>
      <c r="BA8" s="75"/>
      <c r="BB8" s="75"/>
      <c r="BC8" s="75"/>
      <c r="BD8" s="75"/>
      <c r="BE8" s="75"/>
      <c r="BF8" s="75"/>
      <c r="BG8" s="75"/>
      <c r="BH8" s="75"/>
      <c r="BI8" s="75"/>
      <c r="BJ8" s="75"/>
      <c r="BK8" s="75"/>
      <c r="BL8" s="66"/>
      <c r="BM8" s="66"/>
      <c r="BN8" s="66"/>
      <c r="BO8" s="66"/>
      <c r="BP8" s="66"/>
      <c r="BQ8" s="66"/>
      <c r="BR8" s="66"/>
      <c r="BS8" s="77"/>
    </row>
    <row r="9" spans="52:71">
      <c r="AZ9" s="74"/>
      <c r="BA9" s="75"/>
      <c r="BB9" s="75"/>
      <c r="BC9" s="75"/>
      <c r="BD9" s="75"/>
      <c r="BE9" s="75"/>
      <c r="BF9" s="75"/>
      <c r="BG9" s="75"/>
      <c r="BH9" s="75"/>
      <c r="BI9" s="75"/>
      <c r="BJ9" s="75"/>
      <c r="BK9" s="75"/>
      <c r="BL9" s="66"/>
      <c r="BM9" s="66"/>
      <c r="BN9" s="66"/>
      <c r="BO9" s="66"/>
      <c r="BP9" s="66"/>
      <c r="BQ9" s="66"/>
      <c r="BR9" s="66"/>
      <c r="BS9" s="77"/>
    </row>
    <row r="10" spans="52:71">
      <c r="AZ10" s="74"/>
      <c r="BA10" s="75"/>
      <c r="BB10" s="75"/>
      <c r="BC10" s="75"/>
      <c r="BD10" s="75"/>
      <c r="BE10" s="75"/>
      <c r="BF10" s="75"/>
      <c r="BG10" s="75"/>
      <c r="BH10" s="75"/>
      <c r="BI10" s="75"/>
      <c r="BJ10" s="75"/>
      <c r="BK10" s="75"/>
      <c r="BL10" s="66"/>
      <c r="BM10" s="66"/>
      <c r="BN10" s="66"/>
      <c r="BO10" s="66"/>
      <c r="BP10" s="66"/>
      <c r="BQ10" s="66"/>
      <c r="BR10" s="66"/>
      <c r="BS10" s="77"/>
    </row>
    <row r="11" spans="52:71">
      <c r="AZ11" s="74"/>
      <c r="BA11" s="75"/>
      <c r="BB11" s="75"/>
      <c r="BC11" s="75"/>
      <c r="BD11" s="75"/>
      <c r="BE11" s="75"/>
      <c r="BF11" s="75"/>
      <c r="BG11" s="75"/>
      <c r="BH11" s="75"/>
      <c r="BI11" s="75"/>
      <c r="BJ11" s="75"/>
      <c r="BK11" s="75"/>
      <c r="BL11" s="66"/>
      <c r="BM11" s="66"/>
      <c r="BN11" s="66"/>
      <c r="BO11" s="66"/>
      <c r="BP11" s="66"/>
      <c r="BQ11" s="66"/>
      <c r="BR11" s="66"/>
      <c r="BS11" s="77"/>
    </row>
    <row r="12" spans="52:71">
      <c r="AZ12" s="74"/>
      <c r="BA12" s="75"/>
      <c r="BB12" s="75"/>
      <c r="BC12" s="75"/>
      <c r="BD12" s="75"/>
      <c r="BE12" s="75"/>
      <c r="BF12" s="75"/>
      <c r="BG12" s="75"/>
      <c r="BH12" s="75"/>
      <c r="BI12" s="75"/>
      <c r="BJ12" s="75"/>
      <c r="BK12" s="75"/>
      <c r="BL12" s="66"/>
      <c r="BM12" s="66"/>
      <c r="BN12" s="66"/>
      <c r="BO12" s="66"/>
      <c r="BP12" s="66"/>
      <c r="BQ12" s="66"/>
      <c r="BR12" s="66"/>
      <c r="BS12" s="77"/>
    </row>
    <row r="13" spans="52:71">
      <c r="AZ13" s="74"/>
      <c r="BA13" s="75"/>
      <c r="BB13" s="75"/>
      <c r="BC13" s="75"/>
      <c r="BD13" s="75"/>
      <c r="BE13" s="75"/>
      <c r="BF13" s="75"/>
      <c r="BG13" s="75"/>
      <c r="BH13" s="75"/>
      <c r="BI13" s="75"/>
      <c r="BJ13" s="75"/>
      <c r="BK13" s="75"/>
      <c r="BL13" s="66"/>
      <c r="BM13" s="66"/>
      <c r="BN13" s="66"/>
      <c r="BO13" s="66"/>
      <c r="BP13" s="66"/>
      <c r="BQ13" s="66"/>
      <c r="BR13" s="66"/>
      <c r="BS13" s="77"/>
    </row>
    <row r="14" spans="52:71">
      <c r="AZ14" s="74"/>
      <c r="BA14" s="75"/>
      <c r="BB14" s="75"/>
      <c r="BC14" s="75"/>
      <c r="BD14" s="75"/>
      <c r="BE14" s="75"/>
      <c r="BF14" s="75"/>
      <c r="BG14" s="75"/>
      <c r="BH14" s="75"/>
      <c r="BI14" s="75"/>
      <c r="BJ14" s="75"/>
      <c r="BK14" s="75"/>
      <c r="BL14" s="66"/>
      <c r="BM14" s="66"/>
      <c r="BN14" s="66"/>
      <c r="BO14" s="66"/>
      <c r="BP14" s="66"/>
      <c r="BQ14" s="66"/>
      <c r="BR14" s="66"/>
      <c r="BS14" s="77"/>
    </row>
    <row r="15" spans="52:71">
      <c r="AZ15" s="74"/>
      <c r="BA15" s="75"/>
      <c r="BB15" s="75"/>
      <c r="BC15" s="75"/>
      <c r="BD15" s="75"/>
      <c r="BE15" s="75"/>
      <c r="BF15" s="75"/>
      <c r="BG15" s="75"/>
      <c r="BH15" s="75"/>
      <c r="BI15" s="75"/>
      <c r="BJ15" s="75"/>
      <c r="BK15" s="75"/>
      <c r="BL15" s="66"/>
      <c r="BM15" s="66"/>
      <c r="BN15" s="66"/>
      <c r="BO15" s="66"/>
      <c r="BP15" s="66"/>
      <c r="BQ15" s="66"/>
      <c r="BR15" s="66"/>
      <c r="BS15" s="77"/>
    </row>
    <row r="16" spans="52:71">
      <c r="AZ16" s="78"/>
      <c r="BA16" s="66"/>
      <c r="BB16" s="66"/>
      <c r="BC16" s="66"/>
      <c r="BD16" s="66"/>
      <c r="BE16" s="66"/>
      <c r="BF16" s="66"/>
      <c r="BG16" s="66"/>
      <c r="BH16" s="66"/>
      <c r="BI16" s="66"/>
      <c r="BJ16" s="66"/>
      <c r="BK16" s="66"/>
      <c r="BL16" s="66"/>
      <c r="BM16" s="66"/>
      <c r="BN16" s="66"/>
      <c r="BO16" s="66"/>
      <c r="BP16" s="66"/>
      <c r="BQ16" s="66"/>
      <c r="BR16" s="66"/>
      <c r="BS16" s="77"/>
    </row>
    <row r="17" spans="52:72">
      <c r="AZ17" s="78"/>
      <c r="BA17" s="66"/>
      <c r="BB17" s="66"/>
      <c r="BC17" s="66"/>
      <c r="BD17" s="66"/>
      <c r="BE17" s="66"/>
      <c r="BF17" s="66"/>
      <c r="BG17" s="66"/>
      <c r="BH17" s="66"/>
      <c r="BI17" s="66"/>
      <c r="BJ17" s="66"/>
      <c r="BK17" s="66"/>
      <c r="BL17" s="66"/>
      <c r="BM17" s="66"/>
      <c r="BN17" s="66"/>
      <c r="BO17" s="66"/>
      <c r="BP17" s="66"/>
      <c r="BQ17" s="66"/>
      <c r="BR17" s="66"/>
      <c r="BS17" s="77"/>
      <c r="BT17" s="66"/>
    </row>
    <row r="18" spans="52:72">
      <c r="AZ18" s="78"/>
      <c r="BA18" s="66"/>
      <c r="BB18" s="66"/>
      <c r="BC18" s="66"/>
      <c r="BD18" s="66"/>
      <c r="BE18" s="66"/>
      <c r="BF18" s="66"/>
      <c r="BG18" s="66"/>
      <c r="BH18" s="66"/>
      <c r="BI18" s="66"/>
      <c r="BJ18" s="66"/>
      <c r="BK18" s="66"/>
      <c r="BL18" s="66"/>
      <c r="BM18" s="66"/>
      <c r="BN18" s="66"/>
      <c r="BO18" s="66"/>
      <c r="BP18" s="66"/>
      <c r="BQ18" s="66"/>
      <c r="BS18" s="77"/>
    </row>
    <row r="19" spans="52:72">
      <c r="AZ19" s="78"/>
      <c r="BA19" s="66"/>
      <c r="BB19" s="66"/>
      <c r="BC19" s="66"/>
      <c r="BD19" s="66"/>
      <c r="BE19" s="66"/>
      <c r="BF19" s="66"/>
      <c r="BG19" s="66"/>
      <c r="BH19" s="66"/>
      <c r="BI19" s="66"/>
      <c r="BJ19" s="66"/>
      <c r="BK19" s="66"/>
      <c r="BL19" s="66"/>
      <c r="BM19" s="66"/>
      <c r="BN19" s="66"/>
      <c r="BO19" s="66"/>
      <c r="BP19" s="66"/>
      <c r="BQ19" s="66"/>
      <c r="BR19" s="66"/>
      <c r="BS19" s="77"/>
    </row>
    <row r="20" spans="52:72">
      <c r="AZ20" s="78"/>
      <c r="BA20" s="66"/>
      <c r="BB20" s="66"/>
      <c r="BC20" s="66"/>
      <c r="BD20" s="66"/>
      <c r="BE20" s="66"/>
      <c r="BF20" s="66"/>
      <c r="BG20" s="66"/>
      <c r="BH20" s="66"/>
      <c r="BI20" s="66"/>
      <c r="BJ20" s="66"/>
      <c r="BK20" s="66"/>
      <c r="BL20" s="66"/>
      <c r="BM20" s="66"/>
      <c r="BN20" s="66"/>
      <c r="BO20" s="66"/>
      <c r="BP20" s="66"/>
      <c r="BQ20" s="66"/>
      <c r="BR20" s="66"/>
      <c r="BS20" s="77"/>
    </row>
    <row r="21" spans="52:72">
      <c r="AZ21" s="78"/>
      <c r="BA21" s="66"/>
      <c r="BB21" s="66"/>
      <c r="BC21" s="66"/>
      <c r="BD21" s="66"/>
      <c r="BE21" s="66"/>
      <c r="BF21" s="66"/>
      <c r="BG21" s="66"/>
      <c r="BH21" s="66"/>
      <c r="BI21" s="66"/>
      <c r="BJ21" s="66"/>
      <c r="BK21" s="66"/>
      <c r="BL21" s="66"/>
      <c r="BM21" s="66"/>
      <c r="BN21" s="66"/>
      <c r="BO21" s="66"/>
      <c r="BP21" s="66"/>
      <c r="BQ21" s="66"/>
      <c r="BR21" s="66"/>
      <c r="BS21" s="77"/>
    </row>
    <row r="22" spans="52:72">
      <c r="AZ22" s="78"/>
      <c r="BA22" s="66"/>
      <c r="BB22" s="66"/>
      <c r="BC22" s="66"/>
      <c r="BD22" s="66"/>
      <c r="BE22" s="66"/>
      <c r="BF22" s="66"/>
      <c r="BG22" s="66"/>
      <c r="BH22" s="66"/>
      <c r="BI22" s="66"/>
      <c r="BJ22" s="66"/>
      <c r="BK22" s="66"/>
      <c r="BL22" s="66"/>
      <c r="BM22" s="66"/>
      <c r="BN22" s="66"/>
      <c r="BO22" s="66"/>
      <c r="BP22" s="66"/>
      <c r="BQ22" s="66"/>
      <c r="BR22" s="66"/>
      <c r="BS22" s="77"/>
    </row>
    <row r="23" spans="52:72">
      <c r="AZ23" s="78"/>
      <c r="BA23" s="66"/>
      <c r="BB23" s="66"/>
      <c r="BC23" s="66"/>
      <c r="BD23" s="66"/>
      <c r="BE23" s="66"/>
      <c r="BF23" s="66"/>
      <c r="BG23" s="66"/>
      <c r="BH23" s="66"/>
      <c r="BI23" s="66"/>
      <c r="BJ23" s="66"/>
      <c r="BK23" s="66"/>
      <c r="BL23" s="66"/>
      <c r="BM23" s="66"/>
      <c r="BN23" s="66"/>
      <c r="BO23" s="66"/>
      <c r="BP23" s="66"/>
      <c r="BQ23" s="66"/>
      <c r="BR23" s="66"/>
      <c r="BS23" s="77"/>
    </row>
    <row r="24" spans="52:72">
      <c r="AZ24" s="78"/>
      <c r="BA24" s="66"/>
      <c r="BB24" s="66"/>
      <c r="BC24" s="66"/>
      <c r="BD24" s="66"/>
      <c r="BE24" s="66"/>
      <c r="BF24" s="66"/>
      <c r="BG24" s="66"/>
      <c r="BH24" s="66"/>
      <c r="BI24" s="66"/>
      <c r="BJ24" s="66"/>
      <c r="BK24" s="66"/>
      <c r="BL24" s="66"/>
      <c r="BM24" s="66"/>
      <c r="BN24" s="66"/>
      <c r="BO24" s="66"/>
      <c r="BP24" s="66"/>
      <c r="BQ24" s="66"/>
      <c r="BR24" s="66"/>
      <c r="BS24" s="77"/>
    </row>
    <row r="25" spans="52:72">
      <c r="AZ25" s="78"/>
      <c r="BA25" s="66"/>
      <c r="BB25" s="66"/>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66"/>
      <c r="BB27" s="66"/>
      <c r="BC27" s="66"/>
      <c r="BD27" s="66"/>
      <c r="BE27" s="66"/>
      <c r="BF27" s="66"/>
      <c r="BG27" s="66"/>
      <c r="BH27" s="66"/>
      <c r="BI27" s="66"/>
      <c r="BJ27" s="66"/>
      <c r="BK27" s="66"/>
      <c r="BL27" s="66"/>
      <c r="BM27" s="66"/>
      <c r="BN27" s="66"/>
      <c r="BO27" s="66"/>
      <c r="BP27" s="66"/>
      <c r="BQ27" s="66"/>
      <c r="BR27" s="66"/>
      <c r="BS27" s="77"/>
    </row>
    <row r="28" spans="52:72">
      <c r="AZ28" s="78"/>
      <c r="BA28" s="66"/>
      <c r="BB28" s="66"/>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66"/>
      <c r="BB30" s="66"/>
      <c r="BC30" s="66"/>
      <c r="BD30" s="66"/>
      <c r="BE30" s="66"/>
      <c r="BF30" s="66"/>
      <c r="BG30" s="66"/>
      <c r="BH30" s="66"/>
      <c r="BI30" s="66"/>
      <c r="BJ30" s="66"/>
      <c r="BK30" s="66"/>
      <c r="BL30" s="66"/>
      <c r="BM30" s="66"/>
      <c r="BN30" s="66"/>
      <c r="BO30" s="66"/>
      <c r="BP30" s="66"/>
      <c r="BQ30" s="66"/>
      <c r="BR30" s="66"/>
      <c r="BS30" s="77"/>
    </row>
    <row r="31" spans="52:72">
      <c r="AZ31" s="78"/>
      <c r="BA31" s="66"/>
      <c r="BB31" s="66"/>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4"/>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496</v>
      </c>
    </row>
    <row r="2" spans="1:28">
      <c r="A2" s="87">
        <f>報告用!BO2</f>
        <v>44222</v>
      </c>
      <c r="B2" s="88"/>
    </row>
    <row r="3" spans="1:28">
      <c r="A3" s="53" t="s">
        <v>491</v>
      </c>
      <c r="B3" s="53">
        <f>HLOOKUP(発生・消化曲線!A2,発生・消化曲線!$D$14:$AB$19,6)</f>
        <v>1</v>
      </c>
    </row>
    <row r="4" spans="1:28">
      <c r="A4" s="53" t="s">
        <v>470</v>
      </c>
      <c r="B4" s="53">
        <f>HLOOKUP(A2,発生・消化曲線!$D$23:$AB$28,6)</f>
        <v>11</v>
      </c>
    </row>
    <row r="5" spans="1:28">
      <c r="A5" s="55" t="s">
        <v>499</v>
      </c>
      <c r="B5" s="53">
        <f>(B3-B4)</f>
        <v>-10</v>
      </c>
    </row>
    <row r="7" spans="1:28">
      <c r="A7" t="s">
        <v>500</v>
      </c>
    </row>
    <row r="8" spans="1:28">
      <c r="A8" s="91" t="s">
        <v>501</v>
      </c>
      <c r="B8" s="91"/>
    </row>
    <row r="9" spans="1:28">
      <c r="A9" s="53" t="s">
        <v>491</v>
      </c>
      <c r="B9" s="56">
        <f>SUM(K19:AB19)</f>
        <v>48</v>
      </c>
    </row>
    <row r="10" spans="1:28">
      <c r="A10" s="53" t="s">
        <v>470</v>
      </c>
      <c r="B10" s="56">
        <f>SUM(K28:AB28)</f>
        <v>72</v>
      </c>
    </row>
    <row r="13" spans="1:28">
      <c r="A13" t="s">
        <v>489</v>
      </c>
    </row>
    <row r="14" spans="1:28">
      <c r="A14" s="89" t="s">
        <v>497</v>
      </c>
      <c r="B14" s="54" t="s">
        <v>488</v>
      </c>
      <c r="C14" s="54" t="s">
        <v>490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90"/>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88</v>
      </c>
      <c r="B16" s="56">
        <f>COUNTIFS('SP1～SP5'!A9:A1048576,"&lt;&gt;",'SP1～SP5'!F9:F1048576,"")</f>
        <v>2</v>
      </c>
      <c r="C16" s="56">
        <f>COUNTIF('SP1～SP5'!$F:$F,"&lt;2021/01/11")</f>
        <v>28</v>
      </c>
      <c r="D16" s="56">
        <f>COUNTIFS('SP1～SP5'!$F:$F,発生・消化曲線!D$23)</f>
        <v>9</v>
      </c>
      <c r="E16" s="56">
        <f>COUNTIFS('SP1～SP5'!$F:$F,発生・消化曲線!E$23)</f>
        <v>18</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18</v>
      </c>
      <c r="L16" s="56">
        <f>COUNTIFS('SP1～SP5'!$F:$F,発生・消化曲線!L$23)</f>
        <v>4</v>
      </c>
      <c r="M16" s="56">
        <f>COUNTIFS('SP1～SP5'!$F:$F,発生・消化曲線!M$23)</f>
        <v>3</v>
      </c>
      <c r="N16" s="56">
        <f>COUNTIFS('SP1～SP5'!$F:$F,発生・消化曲線!N$23)</f>
        <v>5</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1</v>
      </c>
      <c r="T16" s="56">
        <f>COUNTIFS('SP1～SP5'!$F:$F,発生・消化曲線!T$23)</f>
        <v>0</v>
      </c>
      <c r="U16" s="56">
        <f>COUNTIFS('SP1～SP5'!$F:$F,発生・消化曲線!U$23)</f>
        <v>0</v>
      </c>
      <c r="V16" s="56">
        <f>COUNTIFS('SP1～SP5'!$F:$F,発生・消化曲線!V$23)</f>
        <v>0</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0</v>
      </c>
    </row>
    <row r="17" spans="1:28">
      <c r="A17" s="64" t="s">
        <v>480</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0</v>
      </c>
      <c r="T17" s="56">
        <f>COUNTIFS('SP6'!$F:$F,発生・消化曲線!T$23)</f>
        <v>0</v>
      </c>
      <c r="U17" s="56">
        <f>COUNTIFS('SP6'!$F:$F,発生・消化曲線!U$23)</f>
        <v>0</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481</v>
      </c>
      <c r="B18" s="56">
        <f>COUNTIFS(優先度低!A9:A1048576,"&lt;&gt;",優先度低!F9:F1048576,"")</f>
        <v>0</v>
      </c>
      <c r="C18" s="56">
        <f>COUNTIF(優先度低!$F:$F,"&lt;2021/01/11")</f>
        <v>10</v>
      </c>
      <c r="D18" s="56">
        <f>COUNTIFS(優先度低!$F:$F,発生・消化曲線!D$23)</f>
        <v>4</v>
      </c>
      <c r="E18" s="56">
        <f>COUNTIFS(優先度低!$F:$F,発生・消化曲線!E$23)</f>
        <v>1</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2</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0</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1</v>
      </c>
      <c r="Z18" s="56">
        <f>COUNTIFS(優先度低!$F:$F,発生・消化曲線!Z$23)</f>
        <v>0</v>
      </c>
      <c r="AA18" s="56">
        <f>COUNTIFS(優先度低!$F:$F,発生・消化曲線!AA$23)</f>
        <v>0</v>
      </c>
      <c r="AB18" s="56">
        <f>COUNTIFS(優先度低!$F:$F,発生・消化曲線!AB$23)</f>
        <v>0</v>
      </c>
    </row>
    <row r="19" spans="1:28" ht="19" thickTop="1">
      <c r="A19" s="61" t="s">
        <v>491</v>
      </c>
      <c r="B19" s="62">
        <f t="shared" ref="B19:AB19" si="1">SUM(B16:B18)</f>
        <v>2</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20</v>
      </c>
      <c r="L19" s="62">
        <f t="shared" si="1"/>
        <v>9</v>
      </c>
      <c r="M19" s="62">
        <f t="shared" si="1"/>
        <v>7</v>
      </c>
      <c r="N19" s="62">
        <f t="shared" si="1"/>
        <v>5</v>
      </c>
      <c r="O19" s="62">
        <f t="shared" si="1"/>
        <v>3</v>
      </c>
      <c r="P19" s="62">
        <f t="shared" si="1"/>
        <v>0</v>
      </c>
      <c r="Q19" s="62">
        <f t="shared" si="1"/>
        <v>0</v>
      </c>
      <c r="R19" s="62">
        <f t="shared" si="1"/>
        <v>2</v>
      </c>
      <c r="S19" s="62">
        <f t="shared" si="1"/>
        <v>1</v>
      </c>
      <c r="T19" s="62">
        <f t="shared" si="1"/>
        <v>0</v>
      </c>
      <c r="U19" s="62">
        <f t="shared" si="1"/>
        <v>0</v>
      </c>
      <c r="V19" s="62">
        <f t="shared" si="1"/>
        <v>0</v>
      </c>
      <c r="W19" s="62">
        <f t="shared" si="1"/>
        <v>0</v>
      </c>
      <c r="X19" s="62">
        <f t="shared" si="1"/>
        <v>0</v>
      </c>
      <c r="Y19" s="62">
        <f t="shared" si="1"/>
        <v>1</v>
      </c>
      <c r="Z19" s="62">
        <f t="shared" si="1"/>
        <v>0</v>
      </c>
      <c r="AA19" s="62">
        <f t="shared" si="1"/>
        <v>0</v>
      </c>
      <c r="AB19" s="62">
        <f t="shared" si="1"/>
        <v>0</v>
      </c>
    </row>
    <row r="20" spans="1:28">
      <c r="A20" s="59" t="s">
        <v>468</v>
      </c>
      <c r="B20" s="56">
        <f>B19</f>
        <v>2</v>
      </c>
      <c r="C20" s="56">
        <f t="shared" ref="C20:AB20" si="2">B20+C19</f>
        <v>40</v>
      </c>
      <c r="D20" s="56">
        <f t="shared" si="2"/>
        <v>53</v>
      </c>
      <c r="E20" s="56">
        <f t="shared" si="2"/>
        <v>72</v>
      </c>
      <c r="F20" s="56">
        <f t="shared" si="2"/>
        <v>91</v>
      </c>
      <c r="G20" s="56">
        <f t="shared" si="2"/>
        <v>105</v>
      </c>
      <c r="H20" s="56">
        <f t="shared" si="2"/>
        <v>120</v>
      </c>
      <c r="I20" s="56">
        <f t="shared" si="2"/>
        <v>120</v>
      </c>
      <c r="J20" s="56">
        <f t="shared" si="2"/>
        <v>120</v>
      </c>
      <c r="K20" s="56">
        <f t="shared" si="2"/>
        <v>140</v>
      </c>
      <c r="L20" s="56">
        <f t="shared" si="2"/>
        <v>149</v>
      </c>
      <c r="M20" s="56">
        <f t="shared" si="2"/>
        <v>156</v>
      </c>
      <c r="N20" s="56">
        <f t="shared" si="2"/>
        <v>161</v>
      </c>
      <c r="O20" s="56">
        <f t="shared" si="2"/>
        <v>164</v>
      </c>
      <c r="P20" s="56">
        <f t="shared" si="2"/>
        <v>164</v>
      </c>
      <c r="Q20" s="56">
        <f t="shared" si="2"/>
        <v>164</v>
      </c>
      <c r="R20" s="56">
        <f t="shared" si="2"/>
        <v>166</v>
      </c>
      <c r="S20" s="56">
        <f t="shared" si="2"/>
        <v>167</v>
      </c>
      <c r="T20" s="56">
        <f t="shared" si="2"/>
        <v>167</v>
      </c>
      <c r="U20" s="56">
        <f t="shared" si="2"/>
        <v>167</v>
      </c>
      <c r="V20" s="56">
        <f t="shared" si="2"/>
        <v>167</v>
      </c>
      <c r="W20" s="56">
        <f t="shared" si="2"/>
        <v>167</v>
      </c>
      <c r="X20" s="56">
        <f t="shared" si="2"/>
        <v>167</v>
      </c>
      <c r="Y20" s="56">
        <f t="shared" si="2"/>
        <v>168</v>
      </c>
      <c r="Z20" s="56">
        <f t="shared" si="2"/>
        <v>168</v>
      </c>
      <c r="AA20" s="56">
        <f t="shared" si="2"/>
        <v>168</v>
      </c>
      <c r="AB20" s="56">
        <f t="shared" si="2"/>
        <v>168</v>
      </c>
    </row>
    <row r="22" spans="1:28">
      <c r="A22" t="s">
        <v>498</v>
      </c>
    </row>
    <row r="23" spans="1:28">
      <c r="A23" s="89" t="s">
        <v>497</v>
      </c>
      <c r="B23" s="54" t="s">
        <v>488</v>
      </c>
      <c r="C23" s="54" t="s">
        <v>490</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90"/>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88</v>
      </c>
      <c r="B25" s="56">
        <f>COUNTIFS('SP1～SP5'!$E:$E,"完了",'SP1～SP5'!$G:$G,"")</f>
        <v>0</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6</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11</v>
      </c>
      <c r="T25" s="56">
        <f>COUNTIFS('SP1～SP5'!$E:$E,"完了",'SP1～SP5'!$G:$G,発生・消化曲線!T$23)</f>
        <v>0</v>
      </c>
      <c r="U25" s="56">
        <f>COUNTIFS('SP1～SP5'!$E:$E,"完了",'SP1～SP5'!$G:$G,発生・消化曲線!U$23)</f>
        <v>0</v>
      </c>
      <c r="V25" s="56">
        <f>COUNTIFS('SP1～SP5'!$E:$E,"完了",'SP1～SP5'!$G:$G,発生・消化曲線!V$23)</f>
        <v>0</v>
      </c>
      <c r="W25" s="56">
        <f>COUNTIFS('SP1～SP5'!$E:$E,"完了",'SP1～SP5'!$G:$G,発生・消化曲線!W$23)</f>
        <v>0</v>
      </c>
      <c r="X25" s="56">
        <f>COUNTIFS('SP1～SP5'!$E:$E,"完了",'SP1～SP5'!$G:$G,発生・消化曲線!X$23)</f>
        <v>0</v>
      </c>
      <c r="Y25" s="56">
        <f>COUNTIFS('SP1～SP5'!$E:$E,"完了",'SP1～SP5'!$G:$G,発生・消化曲線!Y$23)</f>
        <v>0</v>
      </c>
      <c r="Z25" s="56">
        <f>COUNTIFS('SP1～SP5'!$E:$E,"完了",'SP1～SP5'!$G:$G,発生・消化曲線!Z$23)</f>
        <v>0</v>
      </c>
      <c r="AA25" s="56">
        <f>COUNTIFS('SP1～SP5'!$E:$E,"完了",'SP1～SP5'!$G:$G,発生・消化曲線!AA$23)</f>
        <v>0</v>
      </c>
      <c r="AB25" s="56">
        <f>COUNTIFS('SP1～SP5'!$E:$E,"完了",'SP1～SP5'!$G:$G,発生・消化曲線!AB$23)</f>
        <v>0</v>
      </c>
    </row>
    <row r="26" spans="1:28">
      <c r="A26" s="64" t="s">
        <v>480</v>
      </c>
      <c r="B26" s="56">
        <f>COUNTIFS('SP6'!$E:$E,"完了",'SP6'!$G:$G,"")</f>
        <v>0</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0</v>
      </c>
      <c r="U26" s="56">
        <f>COUNTIFS('SP6'!$E:$E,"完了",'SP6'!$G:$G,発生・消化曲線!U$23)</f>
        <v>0</v>
      </c>
      <c r="V26" s="56">
        <f>COUNTIFS('SP6'!$E:$E,"完了",'SP6'!$G:$G,発生・消化曲線!V$23)</f>
        <v>0</v>
      </c>
      <c r="W26" s="56">
        <f>COUNTIFS('SP6'!$E:$E,"完了",'SP6'!$G:$G,発生・消化曲線!W$23)</f>
        <v>0</v>
      </c>
      <c r="X26" s="56">
        <f>COUNTIFS('SP6'!$E:$E,"完了",'SP6'!$G:$G,発生・消化曲線!X$23)</f>
        <v>0</v>
      </c>
      <c r="Y26" s="56">
        <f>COUNTIFS('SP6'!$E:$E,"完了",'SP6'!$G:$G,発生・消化曲線!Y$23)</f>
        <v>0</v>
      </c>
      <c r="Z26" s="56">
        <f>COUNTIFS('SP6'!$E:$E,"完了",'SP6'!$G:$G,発生・消化曲線!Z$23)</f>
        <v>0</v>
      </c>
      <c r="AA26" s="56">
        <f>COUNTIFS('SP6'!$E:$E,"完了",'SP6'!$G:$G,発生・消化曲線!AA$23)</f>
        <v>0</v>
      </c>
      <c r="AB26" s="56">
        <f>COUNTIFS('SP6'!$E:$E,"完了",'SP6'!$G:$G,発生・消化曲線!AB$23)</f>
        <v>0</v>
      </c>
    </row>
    <row r="27" spans="1:28" ht="19" thickBot="1">
      <c r="A27" s="65" t="s">
        <v>481</v>
      </c>
      <c r="B27" s="60">
        <f>COUNTIFS(優先度低!$E:$E,"完了",優先度低!$G:$G,"")</f>
        <v>0</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0</v>
      </c>
      <c r="U27" s="60">
        <f>COUNTIFS(優先度低!$E:$E,"完了",優先度低!$G:$G,発生・消化曲線!U$23)</f>
        <v>0</v>
      </c>
      <c r="V27" s="60">
        <f>COUNTIFS(優先度低!$E:$E,"完了",優先度低!$G:$G,発生・消化曲線!V$23)</f>
        <v>0</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487</v>
      </c>
      <c r="B28" s="62">
        <f t="shared" ref="B28:AB28" si="4">SUM(B25:B27)</f>
        <v>0</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6</v>
      </c>
      <c r="P28" s="62">
        <f t="shared" si="4"/>
        <v>0</v>
      </c>
      <c r="Q28" s="62">
        <f t="shared" si="4"/>
        <v>0</v>
      </c>
      <c r="R28" s="62">
        <f t="shared" si="4"/>
        <v>3</v>
      </c>
      <c r="S28" s="62">
        <f t="shared" si="4"/>
        <v>11</v>
      </c>
      <c r="T28" s="62">
        <f t="shared" si="4"/>
        <v>0</v>
      </c>
      <c r="U28" s="62">
        <f t="shared" si="4"/>
        <v>0</v>
      </c>
      <c r="V28" s="62">
        <f t="shared" si="4"/>
        <v>0</v>
      </c>
      <c r="W28" s="62">
        <f t="shared" si="4"/>
        <v>0</v>
      </c>
      <c r="X28" s="62">
        <f t="shared" si="4"/>
        <v>0</v>
      </c>
      <c r="Y28" s="62">
        <f t="shared" si="4"/>
        <v>0</v>
      </c>
      <c r="Z28" s="62">
        <f t="shared" si="4"/>
        <v>0</v>
      </c>
      <c r="AA28" s="62">
        <f t="shared" si="4"/>
        <v>0</v>
      </c>
      <c r="AB28" s="62">
        <f t="shared" si="4"/>
        <v>0</v>
      </c>
    </row>
    <row r="29" spans="1:28">
      <c r="A29" s="59" t="s">
        <v>468</v>
      </c>
      <c r="B29" s="56">
        <f>B28</f>
        <v>0</v>
      </c>
      <c r="C29" s="56">
        <f t="shared" ref="C29:AB29" si="5">B29+C28</f>
        <v>7</v>
      </c>
      <c r="D29" s="56">
        <f t="shared" si="5"/>
        <v>15</v>
      </c>
      <c r="E29" s="56">
        <f t="shared" si="5"/>
        <v>19</v>
      </c>
      <c r="F29" s="56">
        <f t="shared" si="5"/>
        <v>27</v>
      </c>
      <c r="G29" s="56">
        <f t="shared" si="5"/>
        <v>28</v>
      </c>
      <c r="H29" s="56">
        <f t="shared" si="5"/>
        <v>31</v>
      </c>
      <c r="I29" s="56">
        <f t="shared" si="5"/>
        <v>31</v>
      </c>
      <c r="J29" s="56">
        <f t="shared" si="5"/>
        <v>31</v>
      </c>
      <c r="K29" s="56">
        <f t="shared" si="5"/>
        <v>44</v>
      </c>
      <c r="L29" s="56">
        <f t="shared" si="5"/>
        <v>50</v>
      </c>
      <c r="M29" s="56">
        <f t="shared" si="5"/>
        <v>69</v>
      </c>
      <c r="N29" s="56">
        <f t="shared" si="5"/>
        <v>83</v>
      </c>
      <c r="O29" s="56">
        <f t="shared" si="5"/>
        <v>89</v>
      </c>
      <c r="P29" s="56">
        <f t="shared" si="5"/>
        <v>89</v>
      </c>
      <c r="Q29" s="56">
        <f t="shared" si="5"/>
        <v>89</v>
      </c>
      <c r="R29" s="56">
        <f t="shared" si="5"/>
        <v>92</v>
      </c>
      <c r="S29" s="56">
        <f t="shared" si="5"/>
        <v>103</v>
      </c>
      <c r="T29" s="56">
        <f t="shared" si="5"/>
        <v>103</v>
      </c>
      <c r="U29" s="56">
        <f t="shared" si="5"/>
        <v>103</v>
      </c>
      <c r="V29" s="56">
        <f t="shared" si="5"/>
        <v>103</v>
      </c>
      <c r="W29" s="56">
        <f t="shared" si="5"/>
        <v>103</v>
      </c>
      <c r="X29" s="56">
        <f t="shared" si="5"/>
        <v>103</v>
      </c>
      <c r="Y29" s="56">
        <f t="shared" si="5"/>
        <v>103</v>
      </c>
      <c r="Z29" s="56">
        <f t="shared" si="5"/>
        <v>103</v>
      </c>
      <c r="AA29" s="56">
        <f t="shared" si="5"/>
        <v>103</v>
      </c>
      <c r="AB29" s="56">
        <f t="shared" si="5"/>
        <v>103</v>
      </c>
    </row>
  </sheetData>
  <mergeCells count="4">
    <mergeCell ref="A2:B2"/>
    <mergeCell ref="A14:A15"/>
    <mergeCell ref="A23:A24"/>
    <mergeCell ref="A8:B8"/>
  </mergeCells>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election activeCell="F30" sqref="F30"/>
    </sheetView>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479</v>
      </c>
      <c r="B1" s="18"/>
    </row>
    <row r="2" spans="1:5">
      <c r="A2" s="92" t="s">
        <v>473</v>
      </c>
      <c r="B2" s="93"/>
      <c r="C2" s="93"/>
      <c r="D2" s="93"/>
      <c r="E2" s="94"/>
    </row>
    <row r="3" spans="1:5" ht="18.75" customHeight="1">
      <c r="A3" s="63" t="s">
        <v>472</v>
      </c>
      <c r="B3" s="40">
        <f>COUNTIF('SP1～SP5'!$E:$E,ステータス!$A3)</f>
        <v>16</v>
      </c>
      <c r="C3" s="40">
        <f>COUNTIF('SP6'!$E:$E,ステータス!$A3)</f>
        <v>5</v>
      </c>
      <c r="D3" s="40">
        <f>COUNTIF(優先度低!$E:$E,ステータス!$A3)</f>
        <v>21</v>
      </c>
      <c r="E3" s="40">
        <f>SUM(B3:D3)</f>
        <v>42</v>
      </c>
    </row>
    <row r="4" spans="1:5">
      <c r="A4" s="63" t="s">
        <v>471</v>
      </c>
      <c r="B4" s="40">
        <f>COUNTIF('SP1～SP5'!E:E,ステータス!A4)</f>
        <v>13</v>
      </c>
      <c r="C4" s="40">
        <f>COUNTIF('SP6'!$E:$E,ステータス!$A4)</f>
        <v>0</v>
      </c>
      <c r="D4" s="40">
        <f>COUNTIF(優先度低!$E:$E,ステータス!$A4)</f>
        <v>0</v>
      </c>
      <c r="E4" s="40">
        <f t="shared" ref="E4:E6" si="0">SUM(B4:D4)</f>
        <v>13</v>
      </c>
    </row>
    <row r="5" spans="1:5">
      <c r="A5" s="63" t="s">
        <v>161</v>
      </c>
      <c r="B5" s="40">
        <f>COUNTIF('SP1～SP5'!E:E,ステータス!A5)</f>
        <v>10</v>
      </c>
      <c r="C5" s="40">
        <f>COUNTIF('SP6'!$E:$E,ステータス!$A5)</f>
        <v>0</v>
      </c>
      <c r="D5" s="40">
        <f>COUNTIF(優先度低!$E:$E,ステータス!$A5)</f>
        <v>0</v>
      </c>
      <c r="E5" s="40">
        <f t="shared" si="0"/>
        <v>10</v>
      </c>
    </row>
    <row r="6" spans="1:5">
      <c r="A6" s="63" t="s">
        <v>470</v>
      </c>
      <c r="B6" s="40">
        <f>COUNTIF('SP1～SP5'!E:E,ステータス!A6)</f>
        <v>100</v>
      </c>
      <c r="C6" s="40">
        <f>COUNTIF('SP6'!$E:$E,ステータス!$A6)</f>
        <v>3</v>
      </c>
      <c r="D6" s="40">
        <f>COUNTIF(優先度低!$E:$E,ステータス!$A6)</f>
        <v>0</v>
      </c>
      <c r="E6" s="40">
        <f t="shared" si="0"/>
        <v>103</v>
      </c>
    </row>
    <row r="7" spans="1:5">
      <c r="A7" s="51" t="s">
        <v>468</v>
      </c>
      <c r="B7" s="40">
        <f>SUM(B3:B6)</f>
        <v>139</v>
      </c>
      <c r="C7" s="40">
        <f>SUM(C3:C6)</f>
        <v>8</v>
      </c>
      <c r="D7" s="40">
        <f>SUM(D3:D6)</f>
        <v>21</v>
      </c>
      <c r="E7" s="40">
        <f>SUM(E3:E6)</f>
        <v>168</v>
      </c>
    </row>
  </sheetData>
  <mergeCells count="1">
    <mergeCell ref="A2:E2"/>
  </mergeCells>
  <phoneticPr fontId="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sqref="A1:E1"/>
    </sheetView>
  </sheetViews>
  <sheetFormatPr baseColWidth="10" defaultColWidth="8.83203125" defaultRowHeight="18"/>
  <cols>
    <col min="1" max="1" width="17.1640625" bestFit="1" customWidth="1"/>
    <col min="2" max="4" width="11.1640625" hidden="1" customWidth="1"/>
  </cols>
  <sheetData>
    <row r="1" spans="1:5">
      <c r="A1" s="95" t="s">
        <v>495</v>
      </c>
      <c r="B1" s="96"/>
      <c r="C1" s="96"/>
      <c r="D1" s="96"/>
      <c r="E1" s="97"/>
    </row>
    <row r="2" spans="1:5">
      <c r="A2" s="6" t="s">
        <v>492</v>
      </c>
      <c r="B2" s="53">
        <f>COUNTIFS('SP1～SP5'!$E:$E,"完了",'SP1～SP5'!$H:$H,A2)</f>
        <v>0</v>
      </c>
      <c r="C2" s="53">
        <f>COUNTIFS('SP1～SP5'!$E:$E,"完了",'SP1～SP5'!$H:$H,B2)</f>
        <v>0</v>
      </c>
      <c r="D2" s="53">
        <f>COUNTIFS(優先度低!$E:$E,"完了",優先度低!$H:$H,C2)</f>
        <v>0</v>
      </c>
      <c r="E2" s="56">
        <f>SUM(B2:D2)</f>
        <v>0</v>
      </c>
    </row>
    <row r="3" spans="1:5">
      <c r="A3" s="6" t="s">
        <v>117</v>
      </c>
      <c r="B3" s="53">
        <f>COUNTIFS('SP1～SP5'!$E:$E,"完了",'SP1～SP5'!$H:$H,A3)</f>
        <v>4</v>
      </c>
      <c r="C3" s="53">
        <f>COUNTIFS('SP1～SP5'!$E:$E,"完了",'SP1～SP5'!$H:$H,B3)</f>
        <v>0</v>
      </c>
      <c r="D3" s="53">
        <f>COUNTIFS(優先度低!$E:$E,"完了",優先度低!$H:$H,C3)</f>
        <v>0</v>
      </c>
      <c r="E3" s="56">
        <f t="shared" ref="E3:E8" si="0">SUM(B3:D3)</f>
        <v>4</v>
      </c>
    </row>
    <row r="4" spans="1:5">
      <c r="A4" s="6" t="s">
        <v>54</v>
      </c>
      <c r="B4" s="53">
        <f>COUNTIFS('SP1～SP5'!$E:$E,"完了",'SP1～SP5'!$H:$H,A4)</f>
        <v>20</v>
      </c>
      <c r="C4" s="53">
        <f>COUNTIFS('SP1～SP5'!$E:$E,"完了",'SP1～SP5'!$H:$H,B4)</f>
        <v>0</v>
      </c>
      <c r="D4" s="53">
        <f>COUNTIFS(優先度低!$E:$E,"完了",優先度低!$H:$H,C4)</f>
        <v>0</v>
      </c>
      <c r="E4" s="56">
        <f t="shared" si="0"/>
        <v>20</v>
      </c>
    </row>
    <row r="5" spans="1:5">
      <c r="A5" s="6" t="s">
        <v>22</v>
      </c>
      <c r="B5" s="53">
        <f>COUNTIFS('SP1～SP5'!$E:$E,"完了",'SP1～SP5'!$H:$H,A5)</f>
        <v>73</v>
      </c>
      <c r="C5" s="53">
        <f>COUNTIFS('SP1～SP5'!$E:$E,"完了",'SP1～SP5'!$H:$H,B5)</f>
        <v>0</v>
      </c>
      <c r="D5" s="53">
        <f>COUNTIFS(優先度低!$E:$E,"完了",優先度低!$H:$H,C5)</f>
        <v>0</v>
      </c>
      <c r="E5" s="56">
        <f t="shared" si="0"/>
        <v>73</v>
      </c>
    </row>
    <row r="6" spans="1:5">
      <c r="A6" s="6" t="s">
        <v>493</v>
      </c>
      <c r="B6" s="53">
        <f>COUNTIFS('SP1～SP5'!$E:$E,"完了",'SP1～SP5'!$H:$H,A6)</f>
        <v>0</v>
      </c>
      <c r="C6" s="53">
        <f>COUNTIFS('SP1～SP5'!$E:$E,"完了",'SP1～SP5'!$H:$H,B6)</f>
        <v>0</v>
      </c>
      <c r="D6" s="53">
        <f>COUNTIFS(優先度低!$E:$E,"完了",優先度低!$H:$H,C6)</f>
        <v>0</v>
      </c>
      <c r="E6" s="56">
        <f t="shared" si="0"/>
        <v>0</v>
      </c>
    </row>
    <row r="7" spans="1:5">
      <c r="A7" s="6" t="s">
        <v>494</v>
      </c>
      <c r="B7" s="53">
        <f>COUNTIFS('SP1～SP5'!$E:$E,"完了",'SP1～SP5'!$H:$H,A7)</f>
        <v>0</v>
      </c>
      <c r="C7" s="53">
        <f>COUNTIFS('SP1～SP5'!$E:$E,"完了",'SP1～SP5'!$H:$H,B7)</f>
        <v>0</v>
      </c>
      <c r="D7" s="53">
        <f>COUNTIFS(優先度低!$E:$E,"完了",優先度低!$H:$H,C7)</f>
        <v>0</v>
      </c>
      <c r="E7" s="56">
        <f t="shared" si="0"/>
        <v>0</v>
      </c>
    </row>
    <row r="8" spans="1:5">
      <c r="A8" s="6" t="s">
        <v>274</v>
      </c>
      <c r="B8" s="53">
        <f>COUNTIFS('SP1～SP5'!$E:$E,"完了",'SP1～SP5'!$H:$H,A8)</f>
        <v>1</v>
      </c>
      <c r="C8" s="53">
        <f>COUNTIFS('SP1～SP5'!$E:$E,"完了",'SP1～SP5'!$H:$H,B8)</f>
        <v>0</v>
      </c>
      <c r="D8" s="53">
        <f>COUNTIFS(優先度低!$E:$E,"完了",優先度低!$H:$H,C8)</f>
        <v>0</v>
      </c>
      <c r="E8" s="56">
        <f t="shared" si="0"/>
        <v>1</v>
      </c>
    </row>
    <row r="9" spans="1:5">
      <c r="A9" s="6" t="s">
        <v>23</v>
      </c>
      <c r="B9" s="53">
        <f>COUNTIFS('SP1～SP5'!$E:$E,"完了",'SP1～SP5'!$H:$H,A9)</f>
        <v>2</v>
      </c>
      <c r="C9" s="53">
        <f>COUNTIFS('SP1～SP5'!$E:$E,"完了",'SP1～SP5'!$H:$H,B9)</f>
        <v>0</v>
      </c>
      <c r="D9" s="53">
        <f>COUNTIFS(優先度低!$E:$E,"完了",優先度低!$H:$H,C9)</f>
        <v>0</v>
      </c>
      <c r="E9" s="56">
        <f>SUM(B9:D9)</f>
        <v>2</v>
      </c>
    </row>
    <row r="10" spans="1:5">
      <c r="A10" s="51" t="s">
        <v>468</v>
      </c>
      <c r="B10" s="53">
        <f>SUM(B2:B9)</f>
        <v>100</v>
      </c>
      <c r="C10" s="53">
        <f>SUM(C2:C9)</f>
        <v>0</v>
      </c>
      <c r="D10" s="53">
        <f>SUM(D2:D9)</f>
        <v>0</v>
      </c>
      <c r="E10" s="56">
        <f>SUM(E2:E9)</f>
        <v>100</v>
      </c>
    </row>
  </sheetData>
  <mergeCells count="1">
    <mergeCell ref="A1:E1"/>
  </mergeCells>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0"/>
  <sheetViews>
    <sheetView workbookViewId="0">
      <selection activeCell="E2" sqref="A2:E4"/>
    </sheetView>
  </sheetViews>
  <sheetFormatPr baseColWidth="10" defaultColWidth="8.83203125" defaultRowHeight="18"/>
  <cols>
    <col min="2" max="2" width="9.5" hidden="1" customWidth="1"/>
    <col min="3" max="4" width="0" hidden="1" customWidth="1"/>
  </cols>
  <sheetData>
    <row r="1" spans="1:5">
      <c r="A1" s="54" t="s">
        <v>484</v>
      </c>
      <c r="B1" s="50" t="s">
        <v>88</v>
      </c>
      <c r="C1" s="50" t="s">
        <v>480</v>
      </c>
      <c r="D1" s="50" t="s">
        <v>481</v>
      </c>
      <c r="E1" s="51" t="s">
        <v>468</v>
      </c>
    </row>
    <row r="2" spans="1:5">
      <c r="A2" s="53" t="s">
        <v>485</v>
      </c>
      <c r="B2" s="53">
        <f>COUNTIFS('SP1～SP5'!$D:$D,$A2,'SP1～SP5'!$E:$E,"完了")</f>
        <v>3</v>
      </c>
      <c r="C2" s="53">
        <f>COUNTIFS('SP6'!$E:$E,$A2,'SP1～SP5'!$E:$E,"完了")</f>
        <v>0</v>
      </c>
      <c r="D2" s="53">
        <f>COUNTIFS(優先度低!$D:$D,$A2,'SP1～SP5'!$E:$E,"完了")</f>
        <v>0</v>
      </c>
      <c r="E2" s="53">
        <f>SUM(B2:D2)</f>
        <v>3</v>
      </c>
    </row>
    <row r="3" spans="1:5">
      <c r="A3" s="53" t="s">
        <v>486</v>
      </c>
      <c r="B3" s="53">
        <f>COUNTIFS('SP1～SP5'!$D:$D,$A3,'SP1～SP5'!$E:$E,"完了")</f>
        <v>2</v>
      </c>
      <c r="C3" s="53">
        <f>COUNTIFS('SP6'!$E:$E,$A3,'SP1～SP5'!$E:$E,"完了")</f>
        <v>0</v>
      </c>
      <c r="D3" s="53">
        <f>COUNTIFS(優先度低!$D:$D,$A3,'SP1～SP5'!$E:$E,"完了")</f>
        <v>0</v>
      </c>
      <c r="E3" s="53">
        <f t="shared" ref="E3:E17" si="0">SUM(B3:D3)</f>
        <v>2</v>
      </c>
    </row>
    <row r="4" spans="1:5">
      <c r="A4" s="53" t="s">
        <v>885</v>
      </c>
      <c r="B4" s="53">
        <f>COUNTIFS('SP1～SP5'!$D:$D,$A4,'SP1～SP5'!$E:$E,"完了")</f>
        <v>0</v>
      </c>
      <c r="C4" s="53">
        <f>COUNTIFS('SP6'!$E:$E,$A4,'SP1～SP5'!$E:$E,"完了")</f>
        <v>0</v>
      </c>
      <c r="D4" s="53">
        <f>COUNTIFS(優先度低!$D:$D,$A4,'SP1～SP5'!$E:$E,"完了")</f>
        <v>0</v>
      </c>
      <c r="E4" s="53">
        <f t="shared" si="0"/>
        <v>0</v>
      </c>
    </row>
    <row r="5" spans="1:5">
      <c r="A5" s="53" t="s">
        <v>886</v>
      </c>
      <c r="B5" s="53">
        <f>COUNTIFS('SP1～SP5'!$D:$D,$A5,'SP1～SP5'!$E:$E,"完了")</f>
        <v>17</v>
      </c>
      <c r="C5" s="53">
        <f>COUNTIFS('SP6'!$E:$E,$A5,'SP1～SP5'!$E:$E,"完了")</f>
        <v>0</v>
      </c>
      <c r="D5" s="53">
        <f>COUNTIFS(優先度低!$D:$D,$A5,'SP1～SP5'!$E:$E,"完了")</f>
        <v>0</v>
      </c>
      <c r="E5" s="53">
        <f t="shared" si="0"/>
        <v>17</v>
      </c>
    </row>
    <row r="6" spans="1:5">
      <c r="A6" s="53" t="s">
        <v>887</v>
      </c>
      <c r="B6" s="53">
        <f>COUNTIFS('SP1～SP5'!$D:$D,$A6,'SP1～SP5'!$E:$E,"完了")</f>
        <v>7</v>
      </c>
      <c r="C6" s="53">
        <f>COUNTIFS('SP6'!$E:$E,$A6,'SP1～SP5'!$E:$E,"完了")</f>
        <v>0</v>
      </c>
      <c r="D6" s="53">
        <f>COUNTIFS(優先度低!$D:$D,$A6,'SP1～SP5'!$E:$E,"完了")</f>
        <v>0</v>
      </c>
      <c r="E6" s="53">
        <f t="shared" si="0"/>
        <v>7</v>
      </c>
    </row>
    <row r="7" spans="1:5">
      <c r="A7" s="53" t="s">
        <v>889</v>
      </c>
      <c r="B7" s="53">
        <f>COUNTIFS('SP1～SP5'!$D:$D,$A7,'SP1～SP5'!$E:$E,"完了")</f>
        <v>0</v>
      </c>
      <c r="C7" s="53">
        <f>COUNTIFS('SP6'!$E:$E,$A7,'SP1～SP5'!$E:$E,"完了")</f>
        <v>0</v>
      </c>
      <c r="D7" s="53">
        <f>COUNTIFS(優先度低!$D:$D,$A7,'SP1～SP5'!$E:$E,"完了")</f>
        <v>0</v>
      </c>
      <c r="E7" s="53">
        <f t="shared" si="0"/>
        <v>0</v>
      </c>
    </row>
    <row r="8" spans="1:5">
      <c r="A8" s="53"/>
      <c r="B8" s="53">
        <f>COUNTIFS('SP1～SP5'!$D:$D,$A8,'SP1～SP5'!$E:$E,"完了")</f>
        <v>0</v>
      </c>
      <c r="C8" s="53">
        <f>COUNTIFS('SP6'!$E:$E,$A8,'SP1～SP5'!$E:$E,"完了")</f>
        <v>0</v>
      </c>
      <c r="D8" s="53">
        <f>COUNTIFS(優先度低!$D:$D,$A8,'SP1～SP5'!$E:$E,"完了")</f>
        <v>0</v>
      </c>
      <c r="E8" s="53">
        <f t="shared" si="0"/>
        <v>0</v>
      </c>
    </row>
    <row r="9" spans="1:5">
      <c r="A9" s="53"/>
      <c r="B9" s="53">
        <f>COUNTIFS('SP1～SP5'!$D:$D,$A9,'SP1～SP5'!$E:$E,"完了")</f>
        <v>0</v>
      </c>
      <c r="C9" s="53">
        <f>COUNTIFS('SP6'!$E:$E,$A9,'SP1～SP5'!$E:$E,"完了")</f>
        <v>0</v>
      </c>
      <c r="D9" s="53">
        <f>COUNTIFS(優先度低!$D:$D,$A9,'SP1～SP5'!$E:$E,"完了")</f>
        <v>0</v>
      </c>
      <c r="E9" s="53">
        <f t="shared" si="0"/>
        <v>0</v>
      </c>
    </row>
    <row r="10" spans="1:5">
      <c r="A10" s="53"/>
      <c r="B10" s="53">
        <f>COUNTIFS('SP1～SP5'!$D:$D,$A10,'SP1～SP5'!$E:$E,"完了")</f>
        <v>0</v>
      </c>
      <c r="C10" s="53">
        <f>COUNTIFS('SP6'!$E:$E,$A10,'SP1～SP5'!$E:$E,"完了")</f>
        <v>0</v>
      </c>
      <c r="D10" s="53">
        <f>COUNTIFS(優先度低!$D:$D,$A10,'SP1～SP5'!$E:$E,"完了")</f>
        <v>0</v>
      </c>
      <c r="E10" s="53">
        <f t="shared" si="0"/>
        <v>0</v>
      </c>
    </row>
    <row r="11" spans="1:5">
      <c r="A11" s="53"/>
      <c r="B11" s="53">
        <f>COUNTIFS('SP1～SP5'!$D:$D,$A11,'SP1～SP5'!$E:$E,"完了")</f>
        <v>0</v>
      </c>
      <c r="C11" s="53">
        <f>COUNTIFS('SP6'!$E:$E,$A11,'SP1～SP5'!$E:$E,"完了")</f>
        <v>0</v>
      </c>
      <c r="D11" s="53">
        <f>COUNTIFS(優先度低!$D:$D,$A11,'SP1～SP5'!$E:$E,"完了")</f>
        <v>0</v>
      </c>
      <c r="E11" s="53">
        <f t="shared" si="0"/>
        <v>0</v>
      </c>
    </row>
    <row r="12" spans="1:5">
      <c r="A12" s="53"/>
      <c r="B12" s="53">
        <f>COUNTIFS('SP1～SP5'!$D:$D,$A12,'SP1～SP5'!$E:$E,"完了")</f>
        <v>0</v>
      </c>
      <c r="C12" s="53">
        <f>COUNTIFS('SP6'!$E:$E,$A12,'SP1～SP5'!$E:$E,"完了")</f>
        <v>0</v>
      </c>
      <c r="D12" s="53">
        <f>COUNTIFS(優先度低!$D:$D,$A12,'SP1～SP5'!$E:$E,"完了")</f>
        <v>0</v>
      </c>
      <c r="E12" s="53">
        <f t="shared" si="0"/>
        <v>0</v>
      </c>
    </row>
    <row r="13" spans="1:5">
      <c r="A13" s="53"/>
      <c r="B13" s="53">
        <f>COUNTIFS('SP1～SP5'!$D:$D,$A13,'SP1～SP5'!$E:$E,"完了")</f>
        <v>0</v>
      </c>
      <c r="C13" s="53">
        <f>COUNTIFS('SP6'!$E:$E,$A13,'SP1～SP5'!$E:$E,"完了")</f>
        <v>0</v>
      </c>
      <c r="D13" s="53">
        <f>COUNTIFS(優先度低!$D:$D,$A13,'SP1～SP5'!$E:$E,"完了")</f>
        <v>0</v>
      </c>
      <c r="E13" s="53">
        <f t="shared" si="0"/>
        <v>0</v>
      </c>
    </row>
    <row r="14" spans="1:5">
      <c r="A14" s="53"/>
      <c r="B14" s="53">
        <f>COUNTIFS('SP1～SP5'!$D:$D,$A14,'SP1～SP5'!$E:$E,"完了")</f>
        <v>0</v>
      </c>
      <c r="C14" s="53">
        <f>COUNTIFS('SP6'!$E:$E,$A14,'SP1～SP5'!$E:$E,"完了")</f>
        <v>0</v>
      </c>
      <c r="D14" s="53">
        <f>COUNTIFS(優先度低!$D:$D,$A14,'SP1～SP5'!$E:$E,"完了")</f>
        <v>0</v>
      </c>
      <c r="E14" s="53">
        <f t="shared" si="0"/>
        <v>0</v>
      </c>
    </row>
    <row r="15" spans="1:5">
      <c r="A15" s="53"/>
      <c r="B15" s="53">
        <f>COUNTIFS('SP1～SP5'!$D:$D,$A15,'SP1～SP5'!$E:$E,"完了")</f>
        <v>0</v>
      </c>
      <c r="C15" s="53">
        <f>COUNTIFS('SP6'!$E:$E,$A15,'SP1～SP5'!$E:$E,"完了")</f>
        <v>0</v>
      </c>
      <c r="D15" s="53">
        <f>COUNTIFS(優先度低!$D:$D,$A15,'SP1～SP5'!$E:$E,"完了")</f>
        <v>0</v>
      </c>
      <c r="E15" s="53">
        <f t="shared" si="0"/>
        <v>0</v>
      </c>
    </row>
    <row r="16" spans="1:5">
      <c r="A16" s="53"/>
      <c r="B16" s="53">
        <f>COUNTIFS('SP1～SP5'!$D:$D,$A16,'SP1～SP5'!$E:$E,"完了")</f>
        <v>0</v>
      </c>
      <c r="C16" s="53">
        <f>COUNTIFS('SP6'!$E:$E,$A16,'SP1～SP5'!$E:$E,"完了")</f>
        <v>0</v>
      </c>
      <c r="D16" s="53">
        <f>COUNTIFS(優先度低!$D:$D,$A16,'SP1～SP5'!$E:$E,"完了")</f>
        <v>0</v>
      </c>
      <c r="E16" s="53">
        <f t="shared" si="0"/>
        <v>0</v>
      </c>
    </row>
    <row r="17" spans="1:5">
      <c r="A17" s="53"/>
      <c r="B17" s="53">
        <f>COUNTIFS('SP1～SP5'!$D:$D,$A17,'SP1～SP5'!$E:$E,"完了")</f>
        <v>0</v>
      </c>
      <c r="C17" s="53">
        <f>COUNTIFS('SP6'!$E:$E,$A17,'SP1～SP5'!$E:$E,"完了")</f>
        <v>0</v>
      </c>
      <c r="D17" s="53">
        <f>COUNTIFS(優先度低!$D:$D,$A17,'SP1～SP5'!$E:$E,"完了")</f>
        <v>0</v>
      </c>
      <c r="E17" s="53">
        <f t="shared" si="0"/>
        <v>0</v>
      </c>
    </row>
    <row r="18" spans="1:5">
      <c r="A18" s="51" t="s">
        <v>468</v>
      </c>
      <c r="B18" s="53">
        <f>SUM(B2:B17)</f>
        <v>29</v>
      </c>
      <c r="C18" s="53">
        <f>SUM(C2:C17)</f>
        <v>0</v>
      </c>
      <c r="D18" s="53">
        <f>SUM(D2:D17)</f>
        <v>0</v>
      </c>
      <c r="E18" s="53">
        <f>SUM(E2:E17)</f>
        <v>29</v>
      </c>
    </row>
    <row r="20" spans="1:5">
      <c r="A20" s="105" t="s">
        <v>891</v>
      </c>
    </row>
  </sheetData>
  <phoneticPr fontId="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478</v>
      </c>
    </row>
    <row r="2" spans="1:15">
      <c r="A2" s="102" t="s">
        <v>477</v>
      </c>
      <c r="B2" s="103"/>
      <c r="C2" s="49">
        <v>44214</v>
      </c>
      <c r="D2" s="49">
        <v>44215</v>
      </c>
      <c r="E2" s="49">
        <v>44216</v>
      </c>
      <c r="F2" s="49">
        <v>44217</v>
      </c>
      <c r="G2" s="49">
        <v>44218</v>
      </c>
      <c r="H2" s="49">
        <v>44221</v>
      </c>
      <c r="I2" s="49">
        <v>44222</v>
      </c>
      <c r="J2" s="49">
        <v>44223</v>
      </c>
      <c r="K2" s="49">
        <v>44224</v>
      </c>
      <c r="L2" s="49">
        <v>44225</v>
      </c>
      <c r="M2" s="49">
        <v>44228</v>
      </c>
      <c r="N2" s="49"/>
      <c r="O2" s="49"/>
    </row>
    <row r="3" spans="1:15">
      <c r="B3" s="24" t="s">
        <v>476</v>
      </c>
      <c r="N3" s="31"/>
      <c r="O3" s="31"/>
    </row>
    <row r="4" spans="1:15">
      <c r="B4" s="31" t="s">
        <v>475</v>
      </c>
      <c r="C4" s="31">
        <v>10</v>
      </c>
      <c r="D4" s="31">
        <v>10</v>
      </c>
      <c r="E4" s="31">
        <v>10</v>
      </c>
      <c r="F4" s="31">
        <v>10</v>
      </c>
      <c r="G4" s="31">
        <v>10</v>
      </c>
      <c r="H4" s="31">
        <v>10</v>
      </c>
      <c r="I4" s="31">
        <v>10</v>
      </c>
      <c r="J4" s="31">
        <v>10</v>
      </c>
      <c r="K4" s="31">
        <v>10</v>
      </c>
      <c r="L4" s="31">
        <v>10</v>
      </c>
      <c r="M4" s="31">
        <v>10</v>
      </c>
      <c r="N4" s="31"/>
      <c r="O4" s="31"/>
    </row>
    <row r="5" spans="1:15" ht="38">
      <c r="B5" s="46" t="s">
        <v>474</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98" t="s">
        <v>473</v>
      </c>
      <c r="B7" s="45" t="s">
        <v>472</v>
      </c>
      <c r="C7" s="40">
        <v>72</v>
      </c>
      <c r="D7" s="40">
        <v>65</v>
      </c>
      <c r="E7" s="40">
        <f>17+48</f>
        <v>65</v>
      </c>
      <c r="F7" s="40">
        <v>54</v>
      </c>
      <c r="G7" s="40"/>
      <c r="H7" s="40"/>
      <c r="I7" s="40"/>
      <c r="J7" s="40"/>
      <c r="K7" s="40"/>
      <c r="L7" s="40"/>
      <c r="M7" s="40"/>
      <c r="N7" s="40"/>
      <c r="O7" s="40"/>
    </row>
    <row r="8" spans="1:15">
      <c r="A8" s="98"/>
      <c r="B8" s="45" t="s">
        <v>471</v>
      </c>
      <c r="C8" s="40">
        <v>9</v>
      </c>
      <c r="D8" s="40">
        <v>11</v>
      </c>
      <c r="E8" s="40">
        <v>5</v>
      </c>
      <c r="F8" s="40">
        <v>4</v>
      </c>
      <c r="G8" s="40"/>
      <c r="H8" s="40"/>
      <c r="I8" s="40"/>
      <c r="J8" s="40"/>
      <c r="K8" s="40"/>
      <c r="L8" s="40"/>
      <c r="M8" s="40"/>
      <c r="N8" s="40"/>
      <c r="O8" s="40"/>
    </row>
    <row r="9" spans="1:15">
      <c r="A9" s="98"/>
      <c r="B9" s="45" t="s">
        <v>161</v>
      </c>
      <c r="C9" s="40">
        <v>10</v>
      </c>
      <c r="D9" s="40">
        <v>11</v>
      </c>
      <c r="E9" s="40">
        <v>11</v>
      </c>
      <c r="F9" s="40">
        <v>16</v>
      </c>
      <c r="G9" s="40"/>
      <c r="H9" s="40"/>
      <c r="I9" s="40"/>
      <c r="J9" s="40"/>
      <c r="K9" s="40"/>
      <c r="L9" s="40"/>
      <c r="M9" s="40"/>
      <c r="N9" s="40"/>
      <c r="O9" s="40"/>
    </row>
    <row r="10" spans="1:15">
      <c r="A10" s="98"/>
      <c r="B10" s="45" t="s">
        <v>470</v>
      </c>
      <c r="C10" s="40">
        <v>37</v>
      </c>
      <c r="D10" s="40">
        <v>46</v>
      </c>
      <c r="E10" s="40">
        <v>64</v>
      </c>
      <c r="F10" s="40">
        <v>79</v>
      </c>
      <c r="G10" s="40"/>
      <c r="H10" s="40"/>
      <c r="I10" s="40"/>
      <c r="J10" s="40"/>
      <c r="K10" s="40"/>
      <c r="L10" s="40"/>
      <c r="M10" s="40"/>
      <c r="N10" s="40"/>
      <c r="O10" s="40"/>
    </row>
    <row r="11" spans="1:15">
      <c r="A11" s="99" t="s">
        <v>469</v>
      </c>
      <c r="B11" s="44" t="s">
        <v>467</v>
      </c>
      <c r="C11" s="40">
        <f>SUM(C7:C9)</f>
        <v>91</v>
      </c>
      <c r="D11" s="40">
        <f>SUM(D7:D9)</f>
        <v>87</v>
      </c>
      <c r="E11" s="40">
        <f>SUM(E7:E9)</f>
        <v>81</v>
      </c>
      <c r="F11" s="40">
        <f>SUM(F7:F9)</f>
        <v>74</v>
      </c>
      <c r="G11" s="40"/>
      <c r="H11" s="40"/>
      <c r="I11" s="40"/>
      <c r="J11" s="40"/>
      <c r="K11" s="40"/>
      <c r="L11" s="40"/>
      <c r="M11" s="40"/>
      <c r="N11" s="40"/>
      <c r="O11" s="40"/>
    </row>
    <row r="12" spans="1:15">
      <c r="A12" s="100"/>
      <c r="B12" s="44" t="s">
        <v>466</v>
      </c>
      <c r="C12" s="40">
        <f>SUM(C7:C10)</f>
        <v>128</v>
      </c>
      <c r="D12" s="40">
        <f>SUM(D7:D10)</f>
        <v>133</v>
      </c>
      <c r="E12" s="40">
        <f>SUM(E7:E10)</f>
        <v>145</v>
      </c>
      <c r="F12" s="40">
        <f>SUM(F7:F10)</f>
        <v>153</v>
      </c>
      <c r="G12" s="40"/>
      <c r="H12" s="40"/>
      <c r="I12" s="40"/>
      <c r="J12" s="40"/>
      <c r="K12" s="40"/>
      <c r="L12" s="40"/>
      <c r="M12" s="40"/>
      <c r="N12" s="40"/>
      <c r="O12" s="40"/>
    </row>
    <row r="13" spans="1:15">
      <c r="A13" s="101" t="s">
        <v>465</v>
      </c>
      <c r="B13" s="42" t="s">
        <v>464</v>
      </c>
      <c r="C13" s="40" t="s">
        <v>461</v>
      </c>
      <c r="D13" s="43">
        <f>D12-C12</f>
        <v>5</v>
      </c>
      <c r="E13" s="43">
        <f>E12-D12</f>
        <v>12</v>
      </c>
      <c r="F13" s="43">
        <f>F12-E12</f>
        <v>8</v>
      </c>
      <c r="G13" s="40"/>
      <c r="H13" s="40"/>
      <c r="I13" s="40"/>
      <c r="J13" s="40"/>
      <c r="K13" s="40"/>
      <c r="L13" s="40"/>
      <c r="M13" s="40"/>
      <c r="N13" s="40"/>
      <c r="O13" s="40"/>
    </row>
    <row r="14" spans="1:15">
      <c r="A14" s="101"/>
      <c r="B14" s="42" t="s">
        <v>463</v>
      </c>
      <c r="C14" s="40" t="s">
        <v>461</v>
      </c>
      <c r="D14" s="41">
        <f>D10-C10</f>
        <v>9</v>
      </c>
      <c r="E14" s="41">
        <f>E10-D10</f>
        <v>18</v>
      </c>
      <c r="F14" s="41">
        <f>F10-E10</f>
        <v>15</v>
      </c>
      <c r="G14" s="40"/>
      <c r="H14" s="40"/>
      <c r="I14" s="40"/>
      <c r="J14" s="40"/>
      <c r="K14" s="40"/>
      <c r="L14" s="40"/>
      <c r="M14" s="40"/>
      <c r="N14" s="40"/>
      <c r="O14" s="40"/>
    </row>
    <row r="15" spans="1:15">
      <c r="A15" s="101"/>
      <c r="B15" s="39" t="s">
        <v>462</v>
      </c>
      <c r="C15" s="31" t="s">
        <v>461</v>
      </c>
      <c r="D15" s="38">
        <f>D13-D14</f>
        <v>-4</v>
      </c>
      <c r="E15" s="38">
        <f>E13-E14</f>
        <v>-6</v>
      </c>
      <c r="F15" s="38">
        <f>F13-F14</f>
        <v>-7</v>
      </c>
      <c r="G15" s="31"/>
      <c r="H15" s="31"/>
      <c r="I15" s="31"/>
      <c r="J15" s="31"/>
      <c r="K15" s="31"/>
      <c r="L15" s="31"/>
      <c r="M15" s="31"/>
      <c r="N15" s="31"/>
      <c r="O15" s="31"/>
    </row>
    <row r="17" spans="1:15" ht="38">
      <c r="B17" s="37" t="s">
        <v>460</v>
      </c>
      <c r="C17" s="31"/>
      <c r="D17" s="36">
        <f>D11/-AVERAGE($D15:D15)</f>
        <v>21.75</v>
      </c>
      <c r="E17" s="36">
        <f>E11/-AVERAGE($D15:E15)</f>
        <v>16.2</v>
      </c>
      <c r="F17" s="36">
        <f>F11/-AVERAGE($D15:F15)</f>
        <v>13.058823529411764</v>
      </c>
      <c r="G17" s="31"/>
      <c r="H17" s="31"/>
      <c r="I17" s="31"/>
      <c r="J17" s="31"/>
      <c r="K17" s="31"/>
      <c r="L17" s="31"/>
      <c r="M17" s="31"/>
      <c r="N17" s="31"/>
      <c r="O17" s="31"/>
    </row>
    <row r="18" spans="1:15">
      <c r="B18" s="35" t="s">
        <v>459</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458</v>
      </c>
    </row>
    <row r="21" spans="1:15" ht="19" hidden="1" thickBot="1">
      <c r="B21" s="34" t="s">
        <v>457</v>
      </c>
      <c r="C21" s="31"/>
      <c r="D21" s="31">
        <f>D15-D4</f>
        <v>-14</v>
      </c>
      <c r="E21" s="31">
        <f>E15-E4</f>
        <v>-16</v>
      </c>
      <c r="F21" s="31">
        <f>F15-F4</f>
        <v>-17</v>
      </c>
      <c r="G21" s="31"/>
      <c r="H21" s="31"/>
      <c r="I21" s="31"/>
      <c r="J21" s="31"/>
      <c r="K21" s="31"/>
      <c r="L21" s="31"/>
      <c r="M21" s="31"/>
      <c r="N21" s="31"/>
      <c r="O21" s="31"/>
    </row>
    <row r="22" spans="1:15" ht="39" hidden="1" thickBot="1">
      <c r="B22" s="33" t="s">
        <v>456</v>
      </c>
      <c r="C22" s="31"/>
      <c r="D22" s="31">
        <v>8</v>
      </c>
      <c r="E22" s="31">
        <v>7</v>
      </c>
      <c r="F22" s="31">
        <v>6</v>
      </c>
      <c r="G22" s="31"/>
      <c r="H22" s="31"/>
      <c r="I22" s="31"/>
      <c r="J22" s="31"/>
      <c r="K22" s="31"/>
      <c r="L22" s="31"/>
      <c r="M22" s="31"/>
      <c r="N22" s="31"/>
      <c r="O22" s="31"/>
    </row>
    <row r="23" spans="1:15" ht="19" hidden="1" thickBot="1">
      <c r="B23" s="32" t="s">
        <v>455</v>
      </c>
      <c r="C23" s="31"/>
      <c r="D23" s="31">
        <v>5</v>
      </c>
      <c r="E23" s="31">
        <v>5</v>
      </c>
      <c r="F23" s="31">
        <v>5</v>
      </c>
      <c r="G23" s="31"/>
      <c r="H23" s="31"/>
      <c r="I23" s="31"/>
      <c r="J23" s="31"/>
      <c r="K23" s="31"/>
      <c r="L23" s="31"/>
      <c r="M23" s="31"/>
      <c r="N23" s="31"/>
      <c r="O23" s="31"/>
    </row>
    <row r="24" spans="1:15" ht="19" hidden="1" thickBot="1">
      <c r="B24" s="30" t="s">
        <v>454</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453</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election activeCell="I21" sqref="I21"/>
    </sheetView>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4" t="s">
        <v>82</v>
      </c>
      <c r="C1" s="104"/>
      <c r="D1" s="52"/>
    </row>
    <row r="2" spans="1:22">
      <c r="A2" s="10" t="s">
        <v>2</v>
      </c>
      <c r="B2" s="104">
        <f>VLOOKUP(B1,親課題リスト!D4:E6,2)</f>
        <v>10597942</v>
      </c>
      <c r="C2" s="104"/>
      <c r="D2" s="52"/>
    </row>
    <row r="3" spans="1:22">
      <c r="A3" s="12" t="s">
        <v>635</v>
      </c>
      <c r="B3" s="12"/>
    </row>
    <row r="4" spans="1:22" ht="6.75" customHeight="1"/>
    <row r="5" spans="1:22" ht="40.5" customHeight="1">
      <c r="A5" s="17" t="s">
        <v>11</v>
      </c>
      <c r="B5" s="17" t="s">
        <v>3</v>
      </c>
      <c r="C5" s="17" t="s">
        <v>12</v>
      </c>
      <c r="D5" s="16" t="s">
        <v>482</v>
      </c>
      <c r="E5" s="17" t="s">
        <v>13</v>
      </c>
      <c r="F5" s="17" t="s">
        <v>14</v>
      </c>
      <c r="G5" s="17" t="s">
        <v>15</v>
      </c>
      <c r="H5" s="16" t="s">
        <v>19</v>
      </c>
      <c r="I5" s="17" t="s">
        <v>16</v>
      </c>
      <c r="J5" s="16" t="s">
        <v>17</v>
      </c>
      <c r="K5" s="16" t="s">
        <v>18</v>
      </c>
      <c r="L5" s="16" t="s">
        <v>25</v>
      </c>
    </row>
    <row r="6" spans="1:22" ht="34" hidden="1">
      <c r="A6" s="9" t="s">
        <v>636</v>
      </c>
      <c r="B6" s="3" t="s">
        <v>637</v>
      </c>
      <c r="C6" s="3" t="s">
        <v>617</v>
      </c>
      <c r="D6" s="3"/>
      <c r="E6" s="3" t="s">
        <v>579</v>
      </c>
      <c r="F6" s="14">
        <v>44222</v>
      </c>
      <c r="G6" s="3"/>
      <c r="H6" s="3" t="s">
        <v>580</v>
      </c>
      <c r="I6" s="15" t="s">
        <v>639</v>
      </c>
      <c r="J6" s="3"/>
      <c r="K6" s="3"/>
      <c r="L6" s="3" t="s">
        <v>96</v>
      </c>
      <c r="M6" s="1"/>
      <c r="N6" s="1"/>
      <c r="O6" s="1"/>
      <c r="P6" s="1"/>
      <c r="Q6" s="1"/>
      <c r="R6" s="1"/>
      <c r="S6" s="1"/>
      <c r="T6" s="1"/>
      <c r="U6" s="1"/>
      <c r="V6" s="1"/>
    </row>
    <row r="7" spans="1:22" ht="119" hidden="1">
      <c r="A7" s="9" t="s">
        <v>640</v>
      </c>
      <c r="B7" s="3" t="s">
        <v>641</v>
      </c>
      <c r="C7" s="3" t="s">
        <v>642</v>
      </c>
      <c r="D7" s="3" t="s">
        <v>560</v>
      </c>
      <c r="E7" s="3" t="s">
        <v>586</v>
      </c>
      <c r="F7" s="14">
        <v>44218</v>
      </c>
      <c r="G7" s="14">
        <v>44222</v>
      </c>
      <c r="H7" s="3" t="s">
        <v>580</v>
      </c>
      <c r="I7" s="15" t="s">
        <v>643</v>
      </c>
      <c r="J7" s="15" t="s">
        <v>644</v>
      </c>
      <c r="K7" s="15" t="s">
        <v>645</v>
      </c>
      <c r="L7" s="3" t="s">
        <v>646</v>
      </c>
      <c r="M7" s="1"/>
      <c r="N7" s="1"/>
      <c r="O7" s="1"/>
      <c r="P7" s="1"/>
      <c r="Q7" s="1"/>
      <c r="R7" s="1"/>
      <c r="S7" s="1"/>
      <c r="T7" s="1"/>
      <c r="U7" s="1"/>
      <c r="V7" s="1"/>
    </row>
    <row r="8" spans="1:22" ht="85" hidden="1">
      <c r="A8" s="9" t="s">
        <v>576</v>
      </c>
      <c r="B8" s="3" t="s">
        <v>577</v>
      </c>
      <c r="C8" s="3" t="s">
        <v>617</v>
      </c>
      <c r="D8" s="3"/>
      <c r="E8" s="3" t="s">
        <v>614</v>
      </c>
      <c r="F8" s="14">
        <v>44221</v>
      </c>
      <c r="G8" s="14"/>
      <c r="H8" s="3" t="s">
        <v>580</v>
      </c>
      <c r="I8" s="15" t="s">
        <v>581</v>
      </c>
      <c r="J8" s="3"/>
      <c r="K8" s="3"/>
      <c r="L8" s="3"/>
      <c r="M8" s="1"/>
      <c r="N8" s="1"/>
      <c r="O8" s="1"/>
      <c r="P8" s="1"/>
      <c r="Q8" s="1"/>
      <c r="R8" s="1"/>
      <c r="S8" s="1"/>
      <c r="T8" s="1"/>
      <c r="U8" s="1"/>
      <c r="V8" s="1"/>
    </row>
    <row r="9" spans="1:22" ht="102" hidden="1">
      <c r="A9" s="9" t="s">
        <v>503</v>
      </c>
      <c r="B9" s="3" t="s">
        <v>582</v>
      </c>
      <c r="C9" s="3" t="s">
        <v>642</v>
      </c>
      <c r="D9" s="3" t="s">
        <v>560</v>
      </c>
      <c r="E9" s="3" t="s">
        <v>586</v>
      </c>
      <c r="F9" s="14">
        <v>44221</v>
      </c>
      <c r="G9" s="14"/>
      <c r="H9" s="15" t="s">
        <v>647</v>
      </c>
      <c r="I9" s="15" t="s">
        <v>585</v>
      </c>
      <c r="J9" s="15" t="s">
        <v>648</v>
      </c>
      <c r="K9" s="15" t="s">
        <v>649</v>
      </c>
      <c r="L9" s="15" t="s">
        <v>650</v>
      </c>
      <c r="M9" s="1"/>
      <c r="N9" s="1"/>
      <c r="O9" s="1"/>
      <c r="P9" s="1"/>
      <c r="Q9" s="1"/>
      <c r="R9" s="1"/>
      <c r="S9" s="1"/>
      <c r="T9" s="1"/>
      <c r="U9" s="1"/>
      <c r="V9" s="1"/>
    </row>
    <row r="10" spans="1:22" ht="51">
      <c r="A10" s="13" t="s">
        <v>89</v>
      </c>
      <c r="B10" s="3" t="s">
        <v>651</v>
      </c>
      <c r="C10" s="3" t="s">
        <v>884</v>
      </c>
      <c r="D10" s="3" t="s">
        <v>652</v>
      </c>
      <c r="E10" s="3" t="s">
        <v>161</v>
      </c>
      <c r="F10" s="14">
        <v>44218</v>
      </c>
      <c r="G10" s="14">
        <v>44222</v>
      </c>
      <c r="H10" s="3" t="s">
        <v>22</v>
      </c>
      <c r="I10" s="15" t="s">
        <v>653</v>
      </c>
      <c r="J10" s="3" t="s">
        <v>654</v>
      </c>
      <c r="K10" s="3" t="s">
        <v>655</v>
      </c>
      <c r="L10" s="3" t="s">
        <v>656</v>
      </c>
      <c r="M10" s="1"/>
      <c r="N10" s="1"/>
      <c r="O10" s="1"/>
      <c r="P10" s="1"/>
      <c r="Q10" s="1"/>
      <c r="R10" s="1"/>
      <c r="S10" s="1"/>
      <c r="T10" s="1"/>
      <c r="U10" s="1"/>
      <c r="V10" s="1"/>
    </row>
    <row r="11" spans="1:22" ht="136">
      <c r="A11" s="13" t="s">
        <v>91</v>
      </c>
      <c r="B11" s="3" t="s">
        <v>657</v>
      </c>
      <c r="C11" s="3" t="s">
        <v>658</v>
      </c>
      <c r="D11" s="3"/>
      <c r="E11" s="3" t="s">
        <v>161</v>
      </c>
      <c r="F11" s="14">
        <v>44218</v>
      </c>
      <c r="G11" s="3"/>
      <c r="H11" s="3" t="s">
        <v>22</v>
      </c>
      <c r="I11" s="15" t="s">
        <v>659</v>
      </c>
      <c r="J11" s="3" t="s">
        <v>660</v>
      </c>
      <c r="K11" s="3" t="s">
        <v>504</v>
      </c>
      <c r="L11" s="3" t="s">
        <v>328</v>
      </c>
      <c r="M11" s="1"/>
      <c r="N11" s="1"/>
      <c r="O11" s="1"/>
      <c r="P11" s="1"/>
      <c r="Q11" s="1"/>
      <c r="R11" s="1"/>
      <c r="S11" s="1"/>
      <c r="T11" s="1"/>
      <c r="U11" s="1"/>
      <c r="V11" s="1"/>
    </row>
    <row r="12" spans="1:22" ht="102">
      <c r="A12" s="13" t="s">
        <v>93</v>
      </c>
      <c r="B12" s="3" t="s">
        <v>505</v>
      </c>
      <c r="C12" s="3" t="s">
        <v>506</v>
      </c>
      <c r="D12" s="3"/>
      <c r="E12" s="3" t="s">
        <v>516</v>
      </c>
      <c r="F12" s="14">
        <v>44217</v>
      </c>
      <c r="G12" s="14">
        <v>44218</v>
      </c>
      <c r="H12" s="3" t="s">
        <v>22</v>
      </c>
      <c r="I12" s="15" t="s">
        <v>507</v>
      </c>
      <c r="J12" s="3" t="s">
        <v>22</v>
      </c>
      <c r="K12" s="3" t="s">
        <v>661</v>
      </c>
      <c r="L12" s="3" t="s">
        <v>662</v>
      </c>
      <c r="M12" s="1"/>
      <c r="N12" s="1"/>
      <c r="O12" s="1"/>
      <c r="P12" s="1"/>
      <c r="Q12" s="1"/>
      <c r="R12" s="1"/>
      <c r="S12" s="1"/>
      <c r="T12" s="1"/>
      <c r="U12" s="1"/>
      <c r="V12" s="1"/>
    </row>
    <row r="13" spans="1:22" ht="340" hidden="1">
      <c r="A13" s="9" t="s">
        <v>94</v>
      </c>
      <c r="B13" s="3" t="s">
        <v>663</v>
      </c>
      <c r="C13" s="3" t="s">
        <v>588</v>
      </c>
      <c r="D13" s="3" t="s">
        <v>664</v>
      </c>
      <c r="E13" s="3" t="s">
        <v>589</v>
      </c>
      <c r="F13" s="14">
        <v>44217</v>
      </c>
      <c r="G13" s="14">
        <v>44217</v>
      </c>
      <c r="H13" s="3" t="s">
        <v>580</v>
      </c>
      <c r="I13" s="15" t="s">
        <v>665</v>
      </c>
      <c r="J13" s="3"/>
      <c r="K13" s="3"/>
      <c r="L13" s="3"/>
      <c r="M13" s="1"/>
      <c r="N13" s="1"/>
      <c r="O13" s="1"/>
      <c r="P13" s="1"/>
      <c r="Q13" s="1"/>
      <c r="R13" s="1"/>
      <c r="S13" s="1"/>
      <c r="T13" s="1"/>
      <c r="U13" s="1"/>
      <c r="V13" s="1"/>
    </row>
    <row r="14" spans="1:22" ht="187" hidden="1">
      <c r="A14" s="9" t="s">
        <v>95</v>
      </c>
      <c r="B14" s="3" t="s">
        <v>666</v>
      </c>
      <c r="C14" s="3" t="s">
        <v>588</v>
      </c>
      <c r="D14" s="3"/>
      <c r="E14" s="3" t="s">
        <v>589</v>
      </c>
      <c r="F14" s="14">
        <v>44217</v>
      </c>
      <c r="G14" s="14">
        <v>44217</v>
      </c>
      <c r="H14" s="3" t="s">
        <v>667</v>
      </c>
      <c r="I14" s="15" t="s">
        <v>668</v>
      </c>
      <c r="J14" s="3"/>
      <c r="K14" s="15"/>
      <c r="L14" s="3" t="s">
        <v>96</v>
      </c>
      <c r="M14" s="1"/>
      <c r="N14" s="1"/>
      <c r="O14" s="1"/>
      <c r="P14" s="1"/>
      <c r="Q14" s="1"/>
      <c r="R14" s="1"/>
      <c r="S14" s="1"/>
      <c r="T14" s="1"/>
      <c r="U14" s="1"/>
      <c r="V14" s="1"/>
    </row>
    <row r="15" spans="1:22" ht="119" hidden="1">
      <c r="A15" s="9" t="s">
        <v>97</v>
      </c>
      <c r="B15" s="3" t="s">
        <v>587</v>
      </c>
      <c r="C15" s="3" t="s">
        <v>588</v>
      </c>
      <c r="D15" s="3" t="s">
        <v>502</v>
      </c>
      <c r="E15" s="3" t="s">
        <v>589</v>
      </c>
      <c r="F15" s="14">
        <v>44217</v>
      </c>
      <c r="G15" s="14">
        <v>44217</v>
      </c>
      <c r="H15" s="3" t="s">
        <v>22</v>
      </c>
      <c r="I15" s="15" t="s">
        <v>590</v>
      </c>
      <c r="J15" s="3"/>
      <c r="K15" s="15"/>
      <c r="L15" s="15"/>
      <c r="M15" s="1"/>
      <c r="N15" s="1"/>
      <c r="O15" s="1"/>
      <c r="P15" s="1"/>
      <c r="Q15" s="1"/>
      <c r="R15" s="1"/>
      <c r="S15" s="1"/>
      <c r="T15" s="1"/>
      <c r="U15" s="1"/>
      <c r="V15" s="1"/>
    </row>
    <row r="16" spans="1:22" ht="187">
      <c r="A16" s="13" t="s">
        <v>98</v>
      </c>
      <c r="B16" s="3" t="s">
        <v>669</v>
      </c>
      <c r="C16" s="3" t="s">
        <v>90</v>
      </c>
      <c r="D16" s="3"/>
      <c r="E16" s="3" t="s">
        <v>20</v>
      </c>
      <c r="F16" s="14">
        <v>44217</v>
      </c>
      <c r="G16" s="3"/>
      <c r="H16" s="3" t="s">
        <v>22</v>
      </c>
      <c r="I16" s="15" t="s">
        <v>670</v>
      </c>
      <c r="J16" s="3"/>
      <c r="K16" s="3"/>
      <c r="L16" s="3"/>
      <c r="M16" s="1"/>
      <c r="N16" s="1"/>
      <c r="O16" s="1"/>
      <c r="P16" s="1"/>
      <c r="Q16" s="1"/>
      <c r="R16" s="1"/>
      <c r="S16" s="1"/>
      <c r="T16" s="1"/>
      <c r="U16" s="1"/>
      <c r="V16" s="1"/>
    </row>
    <row r="17" spans="1:22" ht="409.6" hidden="1">
      <c r="A17" s="9" t="s">
        <v>99</v>
      </c>
      <c r="B17" s="3" t="s">
        <v>591</v>
      </c>
      <c r="C17" s="3" t="s">
        <v>642</v>
      </c>
      <c r="D17" s="3"/>
      <c r="E17" s="3" t="s">
        <v>614</v>
      </c>
      <c r="F17" s="14">
        <v>44216</v>
      </c>
      <c r="G17" s="14"/>
      <c r="H17" s="3"/>
      <c r="I17" s="15" t="s">
        <v>671</v>
      </c>
      <c r="J17" s="3"/>
      <c r="K17" s="15" t="s">
        <v>672</v>
      </c>
      <c r="L17" s="3"/>
      <c r="M17" s="1"/>
      <c r="N17" s="1"/>
      <c r="O17" s="1"/>
      <c r="P17" s="1"/>
      <c r="Q17" s="1"/>
      <c r="R17" s="1"/>
      <c r="S17" s="1"/>
      <c r="T17" s="1"/>
      <c r="U17" s="1"/>
      <c r="V17" s="1"/>
    </row>
    <row r="18" spans="1:22" ht="136" hidden="1">
      <c r="A18" s="9" t="s">
        <v>102</v>
      </c>
      <c r="B18" s="3" t="s">
        <v>673</v>
      </c>
      <c r="C18" s="3" t="s">
        <v>628</v>
      </c>
      <c r="D18" s="3"/>
      <c r="E18" s="3" t="s">
        <v>579</v>
      </c>
      <c r="F18" s="14">
        <v>44216</v>
      </c>
      <c r="G18" s="3"/>
      <c r="H18" s="3" t="s">
        <v>674</v>
      </c>
      <c r="I18" s="15" t="s">
        <v>675</v>
      </c>
      <c r="J18" s="3"/>
      <c r="K18" s="15" t="s">
        <v>508</v>
      </c>
      <c r="L18" s="15" t="s">
        <v>676</v>
      </c>
      <c r="M18" s="1"/>
      <c r="N18" s="1"/>
      <c r="O18" s="1"/>
      <c r="P18" s="1"/>
      <c r="Q18" s="1"/>
      <c r="R18" s="1"/>
      <c r="S18" s="1"/>
      <c r="T18" s="1"/>
      <c r="U18" s="1"/>
      <c r="V18" s="1"/>
    </row>
    <row r="19" spans="1:22" ht="102">
      <c r="A19" s="13" t="s">
        <v>103</v>
      </c>
      <c r="B19" s="3" t="s">
        <v>677</v>
      </c>
      <c r="C19" s="3" t="s">
        <v>64</v>
      </c>
      <c r="D19" s="3"/>
      <c r="E19" s="3" t="s">
        <v>21</v>
      </c>
      <c r="F19" s="14">
        <v>44216</v>
      </c>
      <c r="G19" s="14">
        <v>44216</v>
      </c>
      <c r="H19" s="3" t="s">
        <v>22</v>
      </c>
      <c r="I19" s="15" t="s">
        <v>678</v>
      </c>
      <c r="J19" s="3" t="s">
        <v>104</v>
      </c>
      <c r="K19" s="15" t="s">
        <v>105</v>
      </c>
      <c r="L19" s="3" t="s">
        <v>106</v>
      </c>
      <c r="M19" s="1"/>
      <c r="N19" s="1"/>
      <c r="O19" s="1"/>
      <c r="P19" s="1"/>
      <c r="Q19" s="1"/>
      <c r="R19" s="1"/>
      <c r="S19" s="1"/>
      <c r="T19" s="1"/>
      <c r="U19" s="1"/>
      <c r="V19" s="1"/>
    </row>
    <row r="20" spans="1:22" ht="153">
      <c r="A20" s="13" t="s">
        <v>107</v>
      </c>
      <c r="B20" s="3" t="s">
        <v>679</v>
      </c>
      <c r="C20" s="3" t="s">
        <v>29</v>
      </c>
      <c r="D20" s="3"/>
      <c r="E20" s="3" t="s">
        <v>21</v>
      </c>
      <c r="F20" s="14">
        <v>44215</v>
      </c>
      <c r="G20" s="14">
        <v>44222</v>
      </c>
      <c r="H20" s="3" t="s">
        <v>54</v>
      </c>
      <c r="I20" s="15" t="s">
        <v>680</v>
      </c>
      <c r="J20" s="3" t="s">
        <v>681</v>
      </c>
      <c r="K20" s="3" t="s">
        <v>682</v>
      </c>
      <c r="L20" s="3" t="s">
        <v>683</v>
      </c>
      <c r="M20" s="1"/>
      <c r="N20" s="1"/>
      <c r="O20" s="1"/>
      <c r="P20" s="1"/>
      <c r="Q20" s="1"/>
      <c r="R20" s="1"/>
      <c r="S20" s="1"/>
      <c r="T20" s="1"/>
      <c r="U20" s="1"/>
      <c r="V20" s="1"/>
    </row>
    <row r="21" spans="1:22" ht="119">
      <c r="A21" s="13" t="s">
        <v>109</v>
      </c>
      <c r="B21" s="3" t="s">
        <v>510</v>
      </c>
      <c r="C21" s="3" t="s">
        <v>180</v>
      </c>
      <c r="D21" s="3"/>
      <c r="E21" s="3" t="s">
        <v>21</v>
      </c>
      <c r="F21" s="14">
        <v>44215</v>
      </c>
      <c r="G21" s="14">
        <v>44222</v>
      </c>
      <c r="H21" s="3" t="s">
        <v>54</v>
      </c>
      <c r="I21" s="15" t="s">
        <v>511</v>
      </c>
      <c r="J21" s="3" t="s">
        <v>684</v>
      </c>
      <c r="K21" s="15" t="s">
        <v>685</v>
      </c>
      <c r="L21" s="3" t="s">
        <v>686</v>
      </c>
      <c r="M21" s="1"/>
      <c r="N21" s="1"/>
      <c r="O21" s="1"/>
      <c r="P21" s="1"/>
      <c r="Q21" s="1"/>
      <c r="R21" s="1"/>
      <c r="S21" s="1"/>
      <c r="T21" s="1"/>
      <c r="U21" s="1"/>
      <c r="V21" s="1"/>
    </row>
    <row r="22" spans="1:22" ht="51">
      <c r="A22" s="13" t="s">
        <v>110</v>
      </c>
      <c r="B22" s="3" t="s">
        <v>111</v>
      </c>
      <c r="C22" s="3" t="s">
        <v>101</v>
      </c>
      <c r="D22" s="3"/>
      <c r="E22" s="3" t="s">
        <v>21</v>
      </c>
      <c r="F22" s="14">
        <v>44215</v>
      </c>
      <c r="G22" s="14">
        <v>44217</v>
      </c>
      <c r="H22" s="3" t="s">
        <v>22</v>
      </c>
      <c r="I22" s="3" t="s">
        <v>112</v>
      </c>
      <c r="J22" s="15" t="s">
        <v>113</v>
      </c>
      <c r="K22" s="3" t="s">
        <v>114</v>
      </c>
      <c r="L22" s="3" t="s">
        <v>115</v>
      </c>
      <c r="M22" s="1"/>
      <c r="N22" s="1"/>
      <c r="O22" s="1"/>
      <c r="P22" s="1"/>
      <c r="Q22" s="1"/>
      <c r="R22" s="1"/>
      <c r="S22" s="1"/>
      <c r="T22" s="1"/>
      <c r="U22" s="1"/>
      <c r="V22" s="1"/>
    </row>
    <row r="23" spans="1:22" ht="34" hidden="1">
      <c r="A23" s="9" t="s">
        <v>116</v>
      </c>
      <c r="B23" s="3" t="s">
        <v>687</v>
      </c>
      <c r="C23" s="3" t="s">
        <v>604</v>
      </c>
      <c r="D23" s="3" t="s">
        <v>688</v>
      </c>
      <c r="E23" s="3" t="s">
        <v>589</v>
      </c>
      <c r="F23" s="14">
        <v>44215</v>
      </c>
      <c r="G23" s="14">
        <v>44215</v>
      </c>
      <c r="H23" s="3" t="s">
        <v>584</v>
      </c>
      <c r="I23" s="15" t="s">
        <v>689</v>
      </c>
      <c r="J23" s="3" t="s">
        <v>118</v>
      </c>
      <c r="K23" s="15" t="s">
        <v>119</v>
      </c>
      <c r="L23" s="3" t="s">
        <v>120</v>
      </c>
      <c r="M23" s="1"/>
      <c r="N23" s="1"/>
      <c r="O23" s="1"/>
      <c r="P23" s="1"/>
      <c r="Q23" s="1"/>
      <c r="R23" s="1"/>
      <c r="S23" s="1"/>
      <c r="T23" s="1"/>
      <c r="U23" s="1"/>
      <c r="V23" s="1"/>
    </row>
    <row r="24" spans="1:22" ht="119">
      <c r="A24" s="13" t="s">
        <v>121</v>
      </c>
      <c r="B24" s="3" t="s">
        <v>122</v>
      </c>
      <c r="C24" s="3" t="s">
        <v>64</v>
      </c>
      <c r="D24" s="3"/>
      <c r="E24" s="3" t="s">
        <v>21</v>
      </c>
      <c r="F24" s="14">
        <v>44214</v>
      </c>
      <c r="G24" s="14">
        <v>44217</v>
      </c>
      <c r="H24" s="3" t="s">
        <v>22</v>
      </c>
      <c r="I24" s="15" t="s">
        <v>123</v>
      </c>
      <c r="J24" s="3"/>
      <c r="K24" s="3"/>
      <c r="L24" s="3" t="s">
        <v>96</v>
      </c>
      <c r="M24" s="1"/>
      <c r="N24" s="1"/>
      <c r="O24" s="1"/>
      <c r="P24" s="1"/>
      <c r="Q24" s="1"/>
      <c r="R24" s="1"/>
      <c r="S24" s="1"/>
      <c r="T24" s="1"/>
      <c r="U24" s="1"/>
      <c r="V24" s="1"/>
    </row>
    <row r="25" spans="1:22" ht="51" hidden="1">
      <c r="A25" s="9" t="s">
        <v>124</v>
      </c>
      <c r="B25" s="3" t="s">
        <v>594</v>
      </c>
      <c r="C25" s="3" t="s">
        <v>588</v>
      </c>
      <c r="D25" s="3"/>
      <c r="E25" s="3" t="s">
        <v>589</v>
      </c>
      <c r="F25" s="14">
        <v>44214</v>
      </c>
      <c r="G25" s="14">
        <v>44217</v>
      </c>
      <c r="H25" s="3" t="s">
        <v>580</v>
      </c>
      <c r="I25" s="15" t="s">
        <v>595</v>
      </c>
      <c r="J25" s="3"/>
      <c r="K25" s="3"/>
      <c r="L25" s="3"/>
      <c r="M25" s="1"/>
      <c r="N25" s="1"/>
      <c r="O25" s="1"/>
      <c r="P25" s="1"/>
      <c r="Q25" s="1"/>
      <c r="R25" s="1"/>
      <c r="S25" s="1"/>
      <c r="T25" s="1"/>
      <c r="U25" s="1"/>
      <c r="V25" s="1"/>
    </row>
    <row r="26" spans="1:22" ht="136">
      <c r="A26" s="13" t="s">
        <v>125</v>
      </c>
      <c r="B26" s="3" t="s">
        <v>512</v>
      </c>
      <c r="C26" s="3" t="s">
        <v>509</v>
      </c>
      <c r="D26" s="3"/>
      <c r="E26" s="3" t="s">
        <v>20</v>
      </c>
      <c r="F26" s="14">
        <v>44214</v>
      </c>
      <c r="G26" s="3"/>
      <c r="H26" s="3" t="s">
        <v>22</v>
      </c>
      <c r="I26" s="15" t="s">
        <v>513</v>
      </c>
      <c r="J26" s="3"/>
      <c r="K26" s="3"/>
      <c r="L26" s="3" t="s">
        <v>96</v>
      </c>
      <c r="M26" s="1"/>
      <c r="N26" s="1"/>
      <c r="O26" s="1"/>
      <c r="P26" s="1"/>
      <c r="Q26" s="1"/>
      <c r="R26" s="1"/>
      <c r="S26" s="1"/>
      <c r="T26" s="1"/>
      <c r="U26" s="1"/>
      <c r="V26" s="1"/>
    </row>
    <row r="27" spans="1:22" ht="187" hidden="1">
      <c r="A27" s="9" t="s">
        <v>126</v>
      </c>
      <c r="B27" s="3" t="s">
        <v>596</v>
      </c>
      <c r="C27" s="3" t="s">
        <v>588</v>
      </c>
      <c r="D27" s="3"/>
      <c r="E27" s="3" t="s">
        <v>589</v>
      </c>
      <c r="F27" s="14">
        <v>44214</v>
      </c>
      <c r="G27" s="14">
        <v>44217</v>
      </c>
      <c r="H27" s="3" t="s">
        <v>580</v>
      </c>
      <c r="I27" s="15" t="s">
        <v>597</v>
      </c>
      <c r="J27" s="3" t="s">
        <v>127</v>
      </c>
      <c r="K27" s="3" t="s">
        <v>128</v>
      </c>
      <c r="L27" s="3"/>
      <c r="M27" s="1"/>
      <c r="N27" s="1"/>
      <c r="O27" s="1"/>
      <c r="P27" s="1"/>
      <c r="Q27" s="1"/>
      <c r="R27" s="1"/>
      <c r="S27" s="1"/>
      <c r="T27" s="1"/>
      <c r="U27" s="1"/>
      <c r="V27" s="1"/>
    </row>
    <row r="28" spans="1:22" ht="102" hidden="1">
      <c r="A28" s="9" t="s">
        <v>129</v>
      </c>
      <c r="B28" s="3" t="s">
        <v>690</v>
      </c>
      <c r="C28" s="3" t="s">
        <v>592</v>
      </c>
      <c r="D28" s="3"/>
      <c r="E28" s="3" t="s">
        <v>579</v>
      </c>
      <c r="F28" s="14">
        <v>44214</v>
      </c>
      <c r="G28" s="3"/>
      <c r="H28" s="3" t="s">
        <v>593</v>
      </c>
      <c r="I28" s="15" t="s">
        <v>691</v>
      </c>
      <c r="J28" s="15"/>
      <c r="K28" s="3"/>
      <c r="L28" s="3" t="s">
        <v>96</v>
      </c>
      <c r="M28" s="1"/>
      <c r="N28" s="1"/>
      <c r="O28" s="1"/>
      <c r="P28" s="1"/>
      <c r="Q28" s="1"/>
      <c r="R28" s="1"/>
      <c r="S28" s="1"/>
      <c r="T28" s="1"/>
      <c r="U28" s="1"/>
      <c r="V28" s="1"/>
    </row>
    <row r="29" spans="1:22" ht="272">
      <c r="A29" s="13" t="s">
        <v>130</v>
      </c>
      <c r="B29" s="3" t="s">
        <v>692</v>
      </c>
      <c r="C29" s="3" t="s">
        <v>64</v>
      </c>
      <c r="D29" s="3"/>
      <c r="E29" s="3" t="s">
        <v>21</v>
      </c>
      <c r="F29" s="14">
        <v>44214</v>
      </c>
      <c r="G29" s="14">
        <v>44217</v>
      </c>
      <c r="H29" s="3" t="s">
        <v>22</v>
      </c>
      <c r="I29" s="15" t="s">
        <v>693</v>
      </c>
      <c r="J29" s="3"/>
      <c r="K29" s="3"/>
      <c r="L29" s="3"/>
      <c r="M29" s="1"/>
      <c r="N29" s="1"/>
      <c r="O29" s="1"/>
      <c r="P29" s="1"/>
      <c r="Q29" s="1"/>
      <c r="R29" s="1"/>
      <c r="S29" s="1"/>
      <c r="T29" s="1"/>
      <c r="U29" s="1"/>
      <c r="V29" s="1"/>
    </row>
    <row r="30" spans="1:22" ht="102">
      <c r="A30" s="13" t="s">
        <v>131</v>
      </c>
      <c r="B30" s="3" t="s">
        <v>694</v>
      </c>
      <c r="C30" s="3" t="s">
        <v>90</v>
      </c>
      <c r="D30" s="3"/>
      <c r="E30" s="3" t="s">
        <v>20</v>
      </c>
      <c r="F30" s="14">
        <v>44214</v>
      </c>
      <c r="G30" s="3"/>
      <c r="H30" s="3" t="s">
        <v>22</v>
      </c>
      <c r="I30" s="15" t="s">
        <v>695</v>
      </c>
      <c r="J30" s="3"/>
      <c r="K30" s="3"/>
      <c r="L30" s="3"/>
      <c r="M30" s="1"/>
      <c r="N30" s="1"/>
      <c r="O30" s="1"/>
      <c r="P30" s="1"/>
      <c r="Q30" s="1"/>
      <c r="R30" s="1"/>
      <c r="S30" s="1"/>
      <c r="T30" s="1"/>
      <c r="U30" s="1"/>
      <c r="V30" s="1"/>
    </row>
    <row r="31" spans="1:22" ht="187" hidden="1">
      <c r="A31" s="9" t="s">
        <v>132</v>
      </c>
      <c r="B31" s="3" t="s">
        <v>696</v>
      </c>
      <c r="C31" s="3" t="s">
        <v>583</v>
      </c>
      <c r="D31" s="3"/>
      <c r="E31" s="3" t="s">
        <v>579</v>
      </c>
      <c r="F31" s="14">
        <v>44214</v>
      </c>
      <c r="G31" s="14"/>
      <c r="H31" s="3" t="s">
        <v>580</v>
      </c>
      <c r="I31" s="15" t="s">
        <v>697</v>
      </c>
      <c r="J31" s="15" t="s">
        <v>514</v>
      </c>
      <c r="K31" s="3"/>
      <c r="L31" s="3"/>
      <c r="M31" s="1"/>
      <c r="N31" s="1"/>
      <c r="O31" s="1"/>
      <c r="P31" s="1"/>
      <c r="Q31" s="1"/>
      <c r="R31" s="1"/>
      <c r="S31" s="1"/>
      <c r="T31" s="1"/>
      <c r="U31" s="1"/>
      <c r="V31" s="1"/>
    </row>
    <row r="32" spans="1:22" ht="34" hidden="1">
      <c r="A32" s="9" t="s">
        <v>133</v>
      </c>
      <c r="B32" s="3" t="s">
        <v>698</v>
      </c>
      <c r="C32" s="3" t="s">
        <v>588</v>
      </c>
      <c r="D32" s="3"/>
      <c r="E32" s="3" t="s">
        <v>589</v>
      </c>
      <c r="F32" s="14">
        <v>44214</v>
      </c>
      <c r="G32" s="14">
        <v>44217</v>
      </c>
      <c r="H32" s="3" t="s">
        <v>580</v>
      </c>
      <c r="I32" s="15" t="s">
        <v>699</v>
      </c>
      <c r="J32" s="3" t="s">
        <v>700</v>
      </c>
      <c r="K32" s="3" t="s">
        <v>701</v>
      </c>
      <c r="L32" s="3"/>
      <c r="M32" s="1"/>
      <c r="N32" s="1"/>
      <c r="O32" s="1"/>
      <c r="P32" s="1"/>
      <c r="Q32" s="1"/>
      <c r="R32" s="1"/>
      <c r="S32" s="1"/>
      <c r="T32" s="1"/>
      <c r="U32" s="1"/>
      <c r="V32" s="1"/>
    </row>
    <row r="33" spans="1:22" ht="323">
      <c r="A33" s="13" t="s">
        <v>134</v>
      </c>
      <c r="B33" s="3" t="s">
        <v>702</v>
      </c>
      <c r="C33" s="3" t="s">
        <v>64</v>
      </c>
      <c r="D33" s="3"/>
      <c r="E33" s="3" t="s">
        <v>21</v>
      </c>
      <c r="F33" s="14">
        <v>44214</v>
      </c>
      <c r="G33" s="14">
        <v>44217</v>
      </c>
      <c r="H33" s="3" t="s">
        <v>22</v>
      </c>
      <c r="I33" s="15" t="s">
        <v>703</v>
      </c>
      <c r="J33" s="3"/>
      <c r="K33" s="3"/>
      <c r="L33" s="3"/>
      <c r="M33" s="1"/>
      <c r="N33" s="1"/>
      <c r="O33" s="1"/>
      <c r="P33" s="1"/>
      <c r="Q33" s="1"/>
      <c r="R33" s="1"/>
      <c r="S33" s="1"/>
      <c r="T33" s="1"/>
      <c r="U33" s="1"/>
      <c r="V33" s="1"/>
    </row>
    <row r="34" spans="1:22" ht="340" hidden="1">
      <c r="A34" s="9" t="s">
        <v>135</v>
      </c>
      <c r="B34" s="3" t="s">
        <v>598</v>
      </c>
      <c r="C34" s="3" t="s">
        <v>599</v>
      </c>
      <c r="D34" s="3"/>
      <c r="E34" s="3" t="s">
        <v>579</v>
      </c>
      <c r="F34" s="14">
        <v>44214</v>
      </c>
      <c r="G34" s="14"/>
      <c r="H34" s="3" t="s">
        <v>580</v>
      </c>
      <c r="I34" s="15" t="s">
        <v>600</v>
      </c>
      <c r="J34" s="3" t="s">
        <v>601</v>
      </c>
      <c r="K34" s="3" t="s">
        <v>704</v>
      </c>
      <c r="L34" s="3"/>
      <c r="M34" s="1"/>
      <c r="N34" s="1"/>
      <c r="O34" s="1"/>
      <c r="P34" s="1"/>
      <c r="Q34" s="1"/>
      <c r="R34" s="1"/>
      <c r="S34" s="1"/>
      <c r="T34" s="1"/>
      <c r="U34" s="1"/>
      <c r="V34" s="1"/>
    </row>
    <row r="35" spans="1:22" ht="170" hidden="1">
      <c r="A35" s="9" t="s">
        <v>136</v>
      </c>
      <c r="B35" s="3" t="s">
        <v>705</v>
      </c>
      <c r="C35" s="3" t="s">
        <v>610</v>
      </c>
      <c r="D35" s="3"/>
      <c r="E35" s="3" t="s">
        <v>614</v>
      </c>
      <c r="F35" s="14">
        <v>44214</v>
      </c>
      <c r="G35" s="3"/>
      <c r="H35" s="3" t="s">
        <v>580</v>
      </c>
      <c r="I35" s="15" t="s">
        <v>706</v>
      </c>
      <c r="J35" s="3" t="s">
        <v>667</v>
      </c>
      <c r="K35" s="3"/>
      <c r="L35" s="3" t="s">
        <v>137</v>
      </c>
      <c r="M35" s="1"/>
      <c r="N35" s="1"/>
      <c r="O35" s="1"/>
      <c r="P35" s="1"/>
      <c r="Q35" s="1"/>
      <c r="R35" s="1"/>
      <c r="S35" s="1"/>
      <c r="T35" s="1"/>
      <c r="U35" s="1"/>
      <c r="V35" s="1"/>
    </row>
    <row r="36" spans="1:22" ht="68">
      <c r="A36" s="13" t="s">
        <v>138</v>
      </c>
      <c r="B36" s="3" t="s">
        <v>707</v>
      </c>
      <c r="C36" s="3" t="s">
        <v>64</v>
      </c>
      <c r="D36" s="3"/>
      <c r="E36" s="3" t="s">
        <v>21</v>
      </c>
      <c r="F36" s="14">
        <v>44214</v>
      </c>
      <c r="G36" s="14">
        <v>44217</v>
      </c>
      <c r="H36" s="3" t="s">
        <v>22</v>
      </c>
      <c r="I36" s="15" t="s">
        <v>708</v>
      </c>
      <c r="J36" s="3" t="s">
        <v>709</v>
      </c>
      <c r="K36" s="3" t="s">
        <v>139</v>
      </c>
      <c r="L36" s="3"/>
      <c r="M36" s="1"/>
      <c r="N36" s="1"/>
      <c r="O36" s="1"/>
      <c r="P36" s="1"/>
      <c r="Q36" s="1"/>
      <c r="R36" s="1"/>
      <c r="S36" s="1"/>
      <c r="T36" s="1"/>
      <c r="U36" s="1"/>
      <c r="V36" s="1"/>
    </row>
    <row r="37" spans="1:22" ht="119" hidden="1">
      <c r="A37" s="9" t="s">
        <v>140</v>
      </c>
      <c r="B37" s="3" t="s">
        <v>602</v>
      </c>
      <c r="C37" s="3" t="s">
        <v>583</v>
      </c>
      <c r="D37" s="3"/>
      <c r="E37" s="3" t="s">
        <v>579</v>
      </c>
      <c r="F37" s="14">
        <v>44214</v>
      </c>
      <c r="G37" s="14"/>
      <c r="H37" s="3" t="s">
        <v>580</v>
      </c>
      <c r="I37" s="15" t="s">
        <v>603</v>
      </c>
      <c r="J37" s="3" t="s">
        <v>517</v>
      </c>
      <c r="K37" s="15"/>
      <c r="L37" s="3"/>
      <c r="M37" s="1"/>
      <c r="N37" s="1"/>
      <c r="O37" s="1"/>
      <c r="P37" s="1"/>
      <c r="Q37" s="1"/>
      <c r="R37" s="1"/>
      <c r="S37" s="1"/>
      <c r="T37" s="1"/>
      <c r="U37" s="1"/>
      <c r="V37" s="1"/>
    </row>
    <row r="38" spans="1:22" ht="136">
      <c r="A38" s="13" t="s">
        <v>141</v>
      </c>
      <c r="B38" s="3" t="s">
        <v>518</v>
      </c>
      <c r="C38" s="3" t="s">
        <v>69</v>
      </c>
      <c r="D38" s="3"/>
      <c r="E38" s="3" t="s">
        <v>161</v>
      </c>
      <c r="F38" s="14">
        <v>44214</v>
      </c>
      <c r="G38" s="3"/>
      <c r="H38" s="3" t="s">
        <v>54</v>
      </c>
      <c r="I38" s="15" t="s">
        <v>519</v>
      </c>
      <c r="J38" s="3" t="s">
        <v>710</v>
      </c>
      <c r="K38" s="3" t="s">
        <v>711</v>
      </c>
      <c r="L38" s="3" t="s">
        <v>142</v>
      </c>
      <c r="M38" s="1"/>
      <c r="N38" s="1"/>
      <c r="O38" s="1"/>
      <c r="P38" s="1"/>
      <c r="Q38" s="1"/>
      <c r="R38" s="1"/>
      <c r="S38" s="1"/>
      <c r="T38" s="1"/>
      <c r="U38" s="1"/>
      <c r="V38" s="1"/>
    </row>
    <row r="39" spans="1:22">
      <c r="A39" s="13" t="s">
        <v>143</v>
      </c>
      <c r="B39" s="3" t="s">
        <v>712</v>
      </c>
      <c r="C39" s="3" t="s">
        <v>64</v>
      </c>
      <c r="D39" s="3" t="s">
        <v>713</v>
      </c>
      <c r="E39" s="3" t="s">
        <v>21</v>
      </c>
      <c r="F39" s="14">
        <v>44214</v>
      </c>
      <c r="G39" s="14">
        <v>44214</v>
      </c>
      <c r="H39" s="3" t="s">
        <v>22</v>
      </c>
      <c r="I39" s="3" t="s">
        <v>714</v>
      </c>
      <c r="J39" s="3"/>
      <c r="K39" s="3"/>
      <c r="L39" s="3"/>
      <c r="M39" s="1"/>
      <c r="N39" s="1"/>
      <c r="O39" s="1"/>
      <c r="P39" s="1"/>
      <c r="Q39" s="1"/>
      <c r="R39" s="1"/>
      <c r="S39" s="1"/>
      <c r="T39" s="1"/>
      <c r="U39" s="1"/>
      <c r="V39" s="1"/>
    </row>
    <row r="40" spans="1:22" ht="119">
      <c r="A40" s="13" t="s">
        <v>144</v>
      </c>
      <c r="B40" s="3" t="s">
        <v>520</v>
      </c>
      <c r="C40" s="3" t="s">
        <v>69</v>
      </c>
      <c r="D40" s="3"/>
      <c r="E40" s="3" t="s">
        <v>161</v>
      </c>
      <c r="F40" s="14">
        <v>44214</v>
      </c>
      <c r="G40" s="3"/>
      <c r="H40" s="3" t="s">
        <v>22</v>
      </c>
      <c r="I40" s="15" t="s">
        <v>521</v>
      </c>
      <c r="J40" s="3" t="s">
        <v>145</v>
      </c>
      <c r="K40" s="15" t="s">
        <v>522</v>
      </c>
      <c r="L40" s="3"/>
      <c r="M40" s="1"/>
      <c r="N40" s="1"/>
      <c r="O40" s="1"/>
      <c r="P40" s="1"/>
      <c r="Q40" s="1"/>
      <c r="R40" s="1"/>
      <c r="S40" s="1"/>
      <c r="T40" s="1"/>
      <c r="U40" s="1"/>
      <c r="V40" s="1"/>
    </row>
    <row r="41" spans="1:22" ht="238" hidden="1">
      <c r="A41" s="9" t="s">
        <v>146</v>
      </c>
      <c r="B41" s="3" t="s">
        <v>715</v>
      </c>
      <c r="C41" s="3" t="s">
        <v>605</v>
      </c>
      <c r="D41" s="3"/>
      <c r="E41" s="3" t="s">
        <v>589</v>
      </c>
      <c r="F41" s="14">
        <v>44214</v>
      </c>
      <c r="G41" s="14">
        <v>44218</v>
      </c>
      <c r="H41" s="3" t="s">
        <v>580</v>
      </c>
      <c r="I41" s="15" t="s">
        <v>716</v>
      </c>
      <c r="J41" s="15" t="s">
        <v>717</v>
      </c>
      <c r="K41" s="15" t="s">
        <v>718</v>
      </c>
      <c r="L41" s="15" t="s">
        <v>719</v>
      </c>
      <c r="M41" s="1"/>
      <c r="N41" s="1"/>
      <c r="O41" s="1"/>
      <c r="P41" s="1"/>
      <c r="Q41" s="1"/>
      <c r="R41" s="1"/>
      <c r="S41" s="1"/>
      <c r="T41" s="1"/>
      <c r="U41" s="1"/>
      <c r="V41" s="1"/>
    </row>
    <row r="42" spans="1:22" ht="272">
      <c r="A42" s="13" t="s">
        <v>147</v>
      </c>
      <c r="B42" s="3" t="s">
        <v>148</v>
      </c>
      <c r="C42" s="3" t="s">
        <v>69</v>
      </c>
      <c r="D42" s="3"/>
      <c r="E42" s="3" t="s">
        <v>21</v>
      </c>
      <c r="F42" s="14">
        <v>44211</v>
      </c>
      <c r="G42" s="14">
        <v>44218</v>
      </c>
      <c r="H42" s="3" t="s">
        <v>22</v>
      </c>
      <c r="I42" s="15" t="s">
        <v>149</v>
      </c>
      <c r="J42" s="15" t="s">
        <v>150</v>
      </c>
      <c r="K42" s="15" t="s">
        <v>151</v>
      </c>
      <c r="L42" s="3" t="s">
        <v>96</v>
      </c>
      <c r="M42" s="1"/>
      <c r="N42" s="1"/>
      <c r="O42" s="1"/>
      <c r="P42" s="1"/>
      <c r="Q42" s="1"/>
      <c r="R42" s="1"/>
      <c r="S42" s="1"/>
      <c r="T42" s="1"/>
      <c r="U42" s="1"/>
      <c r="V42" s="1"/>
    </row>
    <row r="43" spans="1:22" ht="102">
      <c r="A43" s="13" t="s">
        <v>152</v>
      </c>
      <c r="B43" s="3" t="s">
        <v>720</v>
      </c>
      <c r="C43" s="3" t="s">
        <v>101</v>
      </c>
      <c r="D43" s="3"/>
      <c r="E43" s="3" t="s">
        <v>21</v>
      </c>
      <c r="F43" s="14">
        <v>44211</v>
      </c>
      <c r="G43" s="14">
        <v>44216</v>
      </c>
      <c r="H43" s="3" t="s">
        <v>22</v>
      </c>
      <c r="I43" s="15" t="s">
        <v>721</v>
      </c>
      <c r="J43" s="15" t="s">
        <v>722</v>
      </c>
      <c r="K43" s="15" t="s">
        <v>153</v>
      </c>
      <c r="L43" s="3" t="s">
        <v>137</v>
      </c>
      <c r="M43" s="1"/>
      <c r="N43" s="1"/>
      <c r="O43" s="1"/>
      <c r="P43" s="1"/>
      <c r="Q43" s="1"/>
      <c r="R43" s="1"/>
      <c r="S43" s="1"/>
      <c r="T43" s="1"/>
      <c r="U43" s="1"/>
      <c r="V43" s="1"/>
    </row>
    <row r="44" spans="1:22" ht="153">
      <c r="A44" s="13" t="s">
        <v>154</v>
      </c>
      <c r="B44" s="3" t="s">
        <v>523</v>
      </c>
      <c r="C44" s="3" t="s">
        <v>506</v>
      </c>
      <c r="D44" s="3"/>
      <c r="E44" s="3" t="s">
        <v>516</v>
      </c>
      <c r="F44" s="14">
        <v>44211</v>
      </c>
      <c r="G44" s="3"/>
      <c r="H44" s="3" t="s">
        <v>524</v>
      </c>
      <c r="I44" s="15" t="s">
        <v>525</v>
      </c>
      <c r="J44" s="3" t="s">
        <v>524</v>
      </c>
      <c r="K44" s="3"/>
      <c r="L44" s="15" t="s">
        <v>526</v>
      </c>
      <c r="M44" s="1"/>
      <c r="N44" s="1"/>
      <c r="O44" s="1"/>
      <c r="P44" s="1"/>
      <c r="Q44" s="1"/>
      <c r="R44" s="1"/>
      <c r="S44" s="1"/>
      <c r="T44" s="1"/>
      <c r="U44" s="1"/>
      <c r="V44" s="1"/>
    </row>
    <row r="45" spans="1:22" ht="68" hidden="1">
      <c r="A45" s="9" t="s">
        <v>155</v>
      </c>
      <c r="B45" s="3" t="s">
        <v>723</v>
      </c>
      <c r="C45" s="3" t="s">
        <v>633</v>
      </c>
      <c r="D45" s="3" t="s">
        <v>724</v>
      </c>
      <c r="E45" s="3" t="s">
        <v>589</v>
      </c>
      <c r="F45" s="14">
        <v>44211</v>
      </c>
      <c r="G45" s="14">
        <v>44214</v>
      </c>
      <c r="H45" s="3" t="s">
        <v>580</v>
      </c>
      <c r="I45" s="15" t="s">
        <v>156</v>
      </c>
      <c r="J45" s="3" t="s">
        <v>725</v>
      </c>
      <c r="K45" s="15" t="s">
        <v>726</v>
      </c>
      <c r="L45" s="15" t="s">
        <v>727</v>
      </c>
      <c r="M45" s="1"/>
      <c r="N45" s="1"/>
      <c r="O45" s="1"/>
      <c r="P45" s="1"/>
      <c r="Q45" s="1"/>
      <c r="R45" s="1"/>
      <c r="S45" s="1"/>
      <c r="T45" s="1"/>
      <c r="U45" s="1"/>
      <c r="V45" s="1"/>
    </row>
    <row r="46" spans="1:22" ht="306" hidden="1">
      <c r="A46" s="9" t="s">
        <v>158</v>
      </c>
      <c r="B46" s="3" t="s">
        <v>728</v>
      </c>
      <c r="C46" s="3" t="s">
        <v>605</v>
      </c>
      <c r="D46" s="3"/>
      <c r="E46" s="3" t="s">
        <v>589</v>
      </c>
      <c r="F46" s="14">
        <v>44211</v>
      </c>
      <c r="G46" s="14">
        <v>44218</v>
      </c>
      <c r="H46" s="3" t="s">
        <v>580</v>
      </c>
      <c r="I46" s="15" t="s">
        <v>729</v>
      </c>
      <c r="J46" s="15" t="s">
        <v>730</v>
      </c>
      <c r="K46" s="15" t="s">
        <v>731</v>
      </c>
      <c r="L46" s="3" t="s">
        <v>732</v>
      </c>
      <c r="M46" s="1"/>
      <c r="N46" s="1"/>
      <c r="O46" s="1"/>
      <c r="P46" s="1"/>
      <c r="Q46" s="1"/>
      <c r="R46" s="1"/>
      <c r="S46" s="1"/>
      <c r="T46" s="1"/>
      <c r="U46" s="1"/>
      <c r="V46" s="1"/>
    </row>
    <row r="47" spans="1:22" ht="68">
      <c r="A47" s="13" t="s">
        <v>159</v>
      </c>
      <c r="B47" s="3" t="s">
        <v>733</v>
      </c>
      <c r="C47" s="3" t="s">
        <v>53</v>
      </c>
      <c r="D47" s="3"/>
      <c r="E47" s="3" t="s">
        <v>21</v>
      </c>
      <c r="F47" s="14">
        <v>44211</v>
      </c>
      <c r="G47" s="14">
        <v>44218</v>
      </c>
      <c r="H47" s="3" t="s">
        <v>22</v>
      </c>
      <c r="I47" s="3"/>
      <c r="J47" s="3" t="s">
        <v>734</v>
      </c>
      <c r="K47" s="3" t="s">
        <v>735</v>
      </c>
      <c r="L47" s="15" t="s">
        <v>736</v>
      </c>
      <c r="M47" s="1"/>
      <c r="N47" s="1"/>
      <c r="O47" s="1"/>
      <c r="P47" s="1"/>
      <c r="Q47" s="1"/>
      <c r="R47" s="1"/>
      <c r="S47" s="1"/>
      <c r="T47" s="1"/>
      <c r="U47" s="1"/>
      <c r="V47" s="1"/>
    </row>
    <row r="48" spans="1:22" ht="170">
      <c r="A48" s="13" t="s">
        <v>160</v>
      </c>
      <c r="B48" s="3" t="s">
        <v>737</v>
      </c>
      <c r="C48" s="3" t="s">
        <v>69</v>
      </c>
      <c r="D48" s="3"/>
      <c r="E48" s="3" t="s">
        <v>161</v>
      </c>
      <c r="F48" s="14">
        <v>44211</v>
      </c>
      <c r="G48" s="3"/>
      <c r="H48" s="3" t="s">
        <v>22</v>
      </c>
      <c r="I48" s="15" t="s">
        <v>738</v>
      </c>
      <c r="J48" s="3" t="s">
        <v>22</v>
      </c>
      <c r="K48" s="15" t="s">
        <v>527</v>
      </c>
      <c r="L48" s="3" t="s">
        <v>142</v>
      </c>
      <c r="M48" s="1"/>
      <c r="N48" s="1"/>
      <c r="O48" s="1"/>
      <c r="P48" s="1"/>
      <c r="Q48" s="1"/>
      <c r="R48" s="1"/>
      <c r="S48" s="1"/>
      <c r="T48" s="1"/>
      <c r="U48" s="1"/>
      <c r="V48" s="1"/>
    </row>
    <row r="49" spans="1:22">
      <c r="A49" s="13" t="s">
        <v>162</v>
      </c>
      <c r="B49" s="3" t="s">
        <v>528</v>
      </c>
      <c r="C49" s="3" t="s">
        <v>72</v>
      </c>
      <c r="D49" s="3"/>
      <c r="E49" s="3" t="s">
        <v>516</v>
      </c>
      <c r="F49" s="14">
        <v>44211</v>
      </c>
      <c r="G49" s="3"/>
      <c r="H49" s="3" t="s">
        <v>22</v>
      </c>
      <c r="I49" s="3" t="s">
        <v>529</v>
      </c>
      <c r="J49" s="3" t="s">
        <v>22</v>
      </c>
      <c r="K49" s="3"/>
      <c r="L49" s="3"/>
      <c r="M49" s="1"/>
      <c r="N49" s="1"/>
      <c r="O49" s="1"/>
      <c r="P49" s="1"/>
      <c r="Q49" s="1"/>
      <c r="R49" s="1"/>
      <c r="S49" s="1"/>
      <c r="T49" s="1"/>
      <c r="U49" s="1"/>
      <c r="V49" s="1"/>
    </row>
    <row r="50" spans="1:22" ht="409.6">
      <c r="A50" s="13" t="s">
        <v>163</v>
      </c>
      <c r="B50" s="3" t="s">
        <v>164</v>
      </c>
      <c r="C50" s="3" t="s">
        <v>72</v>
      </c>
      <c r="D50" s="3"/>
      <c r="E50" s="3" t="s">
        <v>21</v>
      </c>
      <c r="F50" s="14">
        <v>44211</v>
      </c>
      <c r="G50" s="14">
        <v>44218</v>
      </c>
      <c r="H50" s="3" t="s">
        <v>22</v>
      </c>
      <c r="I50" s="15" t="s">
        <v>165</v>
      </c>
      <c r="J50" s="3"/>
      <c r="K50" s="3"/>
      <c r="L50" s="15" t="s">
        <v>166</v>
      </c>
      <c r="M50" s="1"/>
      <c r="N50" s="1"/>
      <c r="O50" s="1"/>
      <c r="P50" s="1"/>
      <c r="Q50" s="1"/>
      <c r="R50" s="1"/>
      <c r="S50" s="1"/>
      <c r="T50" s="1"/>
      <c r="U50" s="1"/>
      <c r="V50" s="1"/>
    </row>
    <row r="51" spans="1:22" ht="136" hidden="1">
      <c r="A51" s="9" t="s">
        <v>167</v>
      </c>
      <c r="B51" s="3" t="s">
        <v>739</v>
      </c>
      <c r="C51" s="3" t="s">
        <v>610</v>
      </c>
      <c r="D51" s="3" t="s">
        <v>483</v>
      </c>
      <c r="E51" s="3" t="s">
        <v>589</v>
      </c>
      <c r="F51" s="14">
        <v>44211</v>
      </c>
      <c r="G51" s="14">
        <v>44216</v>
      </c>
      <c r="H51" s="3" t="s">
        <v>611</v>
      </c>
      <c r="I51" s="15" t="s">
        <v>740</v>
      </c>
      <c r="J51" s="3"/>
      <c r="K51" s="15" t="s">
        <v>741</v>
      </c>
      <c r="L51" s="15" t="s">
        <v>157</v>
      </c>
      <c r="M51" s="1"/>
      <c r="N51" s="1"/>
      <c r="O51" s="1"/>
      <c r="P51" s="1"/>
      <c r="Q51" s="1"/>
      <c r="R51" s="1"/>
      <c r="S51" s="1"/>
      <c r="T51" s="1"/>
      <c r="U51" s="1"/>
      <c r="V51" s="1"/>
    </row>
    <row r="52" spans="1:22" ht="409.6">
      <c r="A52" s="13" t="s">
        <v>168</v>
      </c>
      <c r="B52" s="3" t="s">
        <v>573</v>
      </c>
      <c r="C52" s="3" t="s">
        <v>53</v>
      </c>
      <c r="D52" s="3"/>
      <c r="E52" s="3" t="s">
        <v>21</v>
      </c>
      <c r="F52" s="14">
        <v>44211</v>
      </c>
      <c r="G52" s="14">
        <v>44221</v>
      </c>
      <c r="H52" s="3" t="s">
        <v>22</v>
      </c>
      <c r="I52" s="15" t="s">
        <v>574</v>
      </c>
      <c r="J52" s="3" t="s">
        <v>22</v>
      </c>
      <c r="K52" s="15" t="s">
        <v>575</v>
      </c>
      <c r="L52" s="15" t="s">
        <v>530</v>
      </c>
      <c r="M52" s="1"/>
      <c r="N52" s="1"/>
      <c r="O52" s="1"/>
      <c r="P52" s="1"/>
      <c r="Q52" s="1"/>
      <c r="R52" s="1"/>
      <c r="S52" s="1"/>
      <c r="T52" s="1"/>
      <c r="U52" s="1"/>
      <c r="V52" s="1"/>
    </row>
    <row r="53" spans="1:22" ht="68">
      <c r="A53" s="13" t="s">
        <v>169</v>
      </c>
      <c r="B53" s="3" t="s">
        <v>742</v>
      </c>
      <c r="C53" s="3" t="s">
        <v>53</v>
      </c>
      <c r="D53" s="3"/>
      <c r="E53" s="3" t="s">
        <v>21</v>
      </c>
      <c r="F53" s="14">
        <v>44211</v>
      </c>
      <c r="G53" s="14">
        <v>44221</v>
      </c>
      <c r="H53" s="3" t="s">
        <v>22</v>
      </c>
      <c r="I53" s="15" t="s">
        <v>743</v>
      </c>
      <c r="J53" s="3" t="s">
        <v>22</v>
      </c>
      <c r="K53" s="15" t="s">
        <v>744</v>
      </c>
      <c r="L53" s="3"/>
      <c r="M53" s="1"/>
      <c r="N53" s="1"/>
      <c r="O53" s="1"/>
      <c r="P53" s="1"/>
      <c r="Q53" s="1"/>
      <c r="R53" s="1"/>
      <c r="S53" s="1"/>
      <c r="T53" s="1"/>
      <c r="U53" s="1"/>
      <c r="V53" s="1"/>
    </row>
    <row r="54" spans="1:22" ht="68" hidden="1">
      <c r="A54" s="9" t="s">
        <v>170</v>
      </c>
      <c r="B54" s="3" t="s">
        <v>745</v>
      </c>
      <c r="C54" s="3" t="s">
        <v>610</v>
      </c>
      <c r="D54" s="3"/>
      <c r="E54" s="3" t="s">
        <v>614</v>
      </c>
      <c r="F54" s="14">
        <v>44211</v>
      </c>
      <c r="G54" s="14"/>
      <c r="H54" s="3" t="s">
        <v>611</v>
      </c>
      <c r="I54" s="15" t="s">
        <v>746</v>
      </c>
      <c r="J54" s="15" t="s">
        <v>747</v>
      </c>
      <c r="K54" s="15" t="s">
        <v>748</v>
      </c>
      <c r="L54" s="15" t="s">
        <v>749</v>
      </c>
      <c r="M54" s="1"/>
      <c r="N54" s="1"/>
      <c r="O54" s="1"/>
      <c r="P54" s="1"/>
      <c r="Q54" s="1"/>
      <c r="R54" s="1"/>
      <c r="S54" s="1"/>
      <c r="T54" s="1"/>
      <c r="U54" s="1"/>
      <c r="V54" s="1"/>
    </row>
    <row r="55" spans="1:22">
      <c r="A55" s="13" t="s">
        <v>171</v>
      </c>
      <c r="B55" s="3" t="s">
        <v>172</v>
      </c>
      <c r="C55" s="3" t="s">
        <v>101</v>
      </c>
      <c r="D55" s="3" t="s">
        <v>750</v>
      </c>
      <c r="E55" s="3" t="s">
        <v>21</v>
      </c>
      <c r="F55" s="14">
        <v>44210</v>
      </c>
      <c r="G55" s="14">
        <v>44216</v>
      </c>
      <c r="H55" s="3" t="s">
        <v>22</v>
      </c>
      <c r="I55" s="3" t="s">
        <v>34</v>
      </c>
      <c r="J55" s="3"/>
      <c r="K55" s="3"/>
      <c r="L55" s="3" t="s">
        <v>35</v>
      </c>
      <c r="M55" s="1"/>
      <c r="N55" s="1"/>
      <c r="O55" s="1"/>
      <c r="P55" s="1"/>
      <c r="Q55" s="1"/>
      <c r="R55" s="1"/>
      <c r="S55" s="1"/>
      <c r="T55" s="1"/>
      <c r="U55" s="1"/>
      <c r="V55" s="1"/>
    </row>
    <row r="56" spans="1:22" ht="409.6" hidden="1">
      <c r="A56" s="9" t="s">
        <v>173</v>
      </c>
      <c r="B56" s="3" t="s">
        <v>606</v>
      </c>
      <c r="C56" s="3" t="s">
        <v>607</v>
      </c>
      <c r="D56" s="3"/>
      <c r="E56" s="3" t="s">
        <v>589</v>
      </c>
      <c r="F56" s="14">
        <v>44210</v>
      </c>
      <c r="G56" s="14">
        <v>44218</v>
      </c>
      <c r="H56" s="3" t="s">
        <v>580</v>
      </c>
      <c r="I56" s="15" t="s">
        <v>608</v>
      </c>
      <c r="J56" s="15" t="s">
        <v>751</v>
      </c>
      <c r="K56" s="15" t="s">
        <v>752</v>
      </c>
      <c r="L56" s="15" t="s">
        <v>609</v>
      </c>
      <c r="M56" s="1"/>
      <c r="N56" s="1"/>
      <c r="O56" s="1"/>
      <c r="P56" s="1"/>
      <c r="Q56" s="1"/>
      <c r="R56" s="1"/>
      <c r="S56" s="1"/>
      <c r="T56" s="1"/>
      <c r="U56" s="1"/>
      <c r="V56" s="1"/>
    </row>
    <row r="57" spans="1:22" ht="272">
      <c r="A57" s="13" t="s">
        <v>175</v>
      </c>
      <c r="B57" s="3" t="s">
        <v>531</v>
      </c>
      <c r="C57" s="3" t="s">
        <v>72</v>
      </c>
      <c r="D57" s="3"/>
      <c r="E57" s="3" t="s">
        <v>161</v>
      </c>
      <c r="F57" s="14">
        <v>44210</v>
      </c>
      <c r="G57" s="3"/>
      <c r="H57" s="3" t="s">
        <v>54</v>
      </c>
      <c r="I57" s="15" t="s">
        <v>532</v>
      </c>
      <c r="J57" s="15" t="s">
        <v>753</v>
      </c>
      <c r="K57" s="3" t="s">
        <v>754</v>
      </c>
      <c r="L57" s="15" t="s">
        <v>177</v>
      </c>
      <c r="M57" s="1"/>
      <c r="N57" s="1"/>
      <c r="O57" s="1"/>
      <c r="P57" s="1"/>
      <c r="Q57" s="1"/>
      <c r="R57" s="1"/>
      <c r="S57" s="1"/>
      <c r="T57" s="1"/>
      <c r="U57" s="1"/>
      <c r="V57" s="1"/>
    </row>
    <row r="58" spans="1:22" ht="68">
      <c r="A58" s="13" t="s">
        <v>178</v>
      </c>
      <c r="B58" s="3" t="s">
        <v>755</v>
      </c>
      <c r="C58" s="3" t="s">
        <v>72</v>
      </c>
      <c r="D58" s="3" t="s">
        <v>756</v>
      </c>
      <c r="E58" s="3" t="s">
        <v>21</v>
      </c>
      <c r="F58" s="14">
        <v>44210</v>
      </c>
      <c r="G58" s="14">
        <v>44216</v>
      </c>
      <c r="H58" s="3" t="s">
        <v>54</v>
      </c>
      <c r="I58" s="3" t="s">
        <v>757</v>
      </c>
      <c r="J58" s="3" t="s">
        <v>758</v>
      </c>
      <c r="K58" s="3" t="s">
        <v>759</v>
      </c>
      <c r="L58" s="15" t="s">
        <v>177</v>
      </c>
      <c r="M58" s="1"/>
      <c r="N58" s="1"/>
      <c r="O58" s="1"/>
      <c r="P58" s="1"/>
      <c r="Q58" s="1"/>
      <c r="R58" s="1"/>
      <c r="S58" s="1"/>
      <c r="T58" s="1"/>
      <c r="U58" s="1"/>
      <c r="V58" s="1"/>
    </row>
    <row r="59" spans="1:22" ht="68" hidden="1">
      <c r="A59" s="9" t="s">
        <v>179</v>
      </c>
      <c r="B59" s="3" t="s">
        <v>760</v>
      </c>
      <c r="C59" s="3" t="s">
        <v>761</v>
      </c>
      <c r="D59" s="3"/>
      <c r="E59" s="3" t="s">
        <v>614</v>
      </c>
      <c r="F59" s="14">
        <v>44210</v>
      </c>
      <c r="G59" s="14"/>
      <c r="H59" s="3" t="s">
        <v>580</v>
      </c>
      <c r="I59" s="15" t="s">
        <v>762</v>
      </c>
      <c r="J59" s="15" t="s">
        <v>763</v>
      </c>
      <c r="K59" s="15" t="s">
        <v>764</v>
      </c>
      <c r="L59" s="15" t="s">
        <v>612</v>
      </c>
      <c r="M59" s="1"/>
      <c r="N59" s="1"/>
      <c r="O59" s="1"/>
      <c r="P59" s="1"/>
      <c r="Q59" s="1"/>
      <c r="R59" s="1"/>
      <c r="S59" s="1"/>
      <c r="T59" s="1"/>
      <c r="U59" s="1"/>
      <c r="V59" s="1"/>
    </row>
    <row r="60" spans="1:22" ht="153" hidden="1">
      <c r="A60" s="9" t="s">
        <v>181</v>
      </c>
      <c r="B60" s="3" t="s">
        <v>765</v>
      </c>
      <c r="C60" s="3" t="s">
        <v>610</v>
      </c>
      <c r="D60" s="3" t="s">
        <v>756</v>
      </c>
      <c r="E60" s="3" t="s">
        <v>589</v>
      </c>
      <c r="F60" s="14">
        <v>44210</v>
      </c>
      <c r="G60" s="14">
        <v>44216</v>
      </c>
      <c r="H60" s="3" t="s">
        <v>580</v>
      </c>
      <c r="I60" s="15" t="s">
        <v>766</v>
      </c>
      <c r="J60" s="15" t="s">
        <v>767</v>
      </c>
      <c r="K60" s="3"/>
      <c r="L60" s="15" t="s">
        <v>612</v>
      </c>
      <c r="M60" s="1"/>
      <c r="N60" s="1"/>
      <c r="O60" s="1"/>
      <c r="P60" s="1"/>
      <c r="Q60" s="1"/>
      <c r="R60" s="1"/>
      <c r="S60" s="1"/>
      <c r="T60" s="1"/>
      <c r="U60" s="1"/>
      <c r="V60" s="1"/>
    </row>
    <row r="61" spans="1:22" ht="323">
      <c r="A61" s="13" t="s">
        <v>182</v>
      </c>
      <c r="B61" s="3" t="s">
        <v>768</v>
      </c>
      <c r="C61" s="3" t="s">
        <v>72</v>
      </c>
      <c r="D61" s="3" t="s">
        <v>756</v>
      </c>
      <c r="E61" s="3" t="s">
        <v>21</v>
      </c>
      <c r="F61" s="14">
        <v>44210</v>
      </c>
      <c r="G61" s="14">
        <v>44216</v>
      </c>
      <c r="H61" s="3" t="s">
        <v>22</v>
      </c>
      <c r="I61" s="15" t="s">
        <v>769</v>
      </c>
      <c r="J61" s="15" t="s">
        <v>770</v>
      </c>
      <c r="K61" s="15" t="s">
        <v>771</v>
      </c>
      <c r="L61" s="15" t="s">
        <v>177</v>
      </c>
      <c r="M61" s="1"/>
      <c r="N61" s="1"/>
      <c r="O61" s="1"/>
      <c r="P61" s="1"/>
      <c r="Q61" s="1"/>
      <c r="R61" s="1"/>
      <c r="S61" s="1"/>
      <c r="T61" s="1"/>
      <c r="U61" s="1"/>
      <c r="V61" s="1"/>
    </row>
    <row r="62" spans="1:22" ht="85">
      <c r="A62" s="13" t="s">
        <v>183</v>
      </c>
      <c r="B62" s="3" t="s">
        <v>772</v>
      </c>
      <c r="C62" s="3" t="s">
        <v>53</v>
      </c>
      <c r="D62" s="3"/>
      <c r="E62" s="3" t="s">
        <v>21</v>
      </c>
      <c r="F62" s="14">
        <v>44210</v>
      </c>
      <c r="G62" s="14">
        <v>44222</v>
      </c>
      <c r="H62" s="3" t="s">
        <v>54</v>
      </c>
      <c r="I62" s="3" t="s">
        <v>773</v>
      </c>
      <c r="J62" s="3" t="s">
        <v>533</v>
      </c>
      <c r="K62" s="3" t="s">
        <v>534</v>
      </c>
      <c r="L62" s="15" t="s">
        <v>774</v>
      </c>
      <c r="M62" s="1"/>
      <c r="N62" s="1"/>
      <c r="O62" s="1"/>
      <c r="P62" s="1"/>
      <c r="Q62" s="1"/>
      <c r="R62" s="1"/>
      <c r="S62" s="1"/>
      <c r="T62" s="1"/>
      <c r="U62" s="1"/>
      <c r="V62" s="1"/>
    </row>
    <row r="63" spans="1:22" ht="68">
      <c r="A63" s="13" t="s">
        <v>184</v>
      </c>
      <c r="B63" s="3" t="s">
        <v>535</v>
      </c>
      <c r="C63" s="3" t="s">
        <v>506</v>
      </c>
      <c r="D63" s="3"/>
      <c r="E63" s="3" t="s">
        <v>20</v>
      </c>
      <c r="F63" s="14">
        <v>44210</v>
      </c>
      <c r="G63" s="3"/>
      <c r="H63" s="3" t="s">
        <v>22</v>
      </c>
      <c r="I63" s="15" t="s">
        <v>536</v>
      </c>
      <c r="J63" s="3"/>
      <c r="K63" s="3"/>
      <c r="L63" s="15" t="s">
        <v>177</v>
      </c>
      <c r="M63" s="1"/>
      <c r="N63" s="1"/>
      <c r="O63" s="1"/>
      <c r="P63" s="1"/>
      <c r="Q63" s="1"/>
      <c r="R63" s="1"/>
      <c r="S63" s="1"/>
      <c r="T63" s="1"/>
      <c r="U63" s="1"/>
      <c r="V63" s="1"/>
    </row>
    <row r="64" spans="1:22" ht="187">
      <c r="A64" s="13" t="s">
        <v>185</v>
      </c>
      <c r="B64" s="3" t="s">
        <v>186</v>
      </c>
      <c r="C64" s="3" t="s">
        <v>72</v>
      </c>
      <c r="D64" s="3" t="s">
        <v>756</v>
      </c>
      <c r="E64" s="3" t="s">
        <v>21</v>
      </c>
      <c r="F64" s="14">
        <v>44210</v>
      </c>
      <c r="G64" s="14">
        <v>44216</v>
      </c>
      <c r="H64" s="3" t="s">
        <v>22</v>
      </c>
      <c r="I64" s="15" t="s">
        <v>187</v>
      </c>
      <c r="J64" s="3" t="s">
        <v>188</v>
      </c>
      <c r="K64" s="15" t="s">
        <v>189</v>
      </c>
      <c r="L64" s="15" t="s">
        <v>177</v>
      </c>
      <c r="M64" s="1"/>
      <c r="N64" s="1"/>
      <c r="O64" s="1"/>
      <c r="P64" s="1"/>
      <c r="Q64" s="1"/>
      <c r="R64" s="1"/>
      <c r="S64" s="1"/>
      <c r="T64" s="1"/>
      <c r="U64" s="1"/>
      <c r="V64" s="1"/>
    </row>
    <row r="65" spans="1:22" ht="34">
      <c r="A65" s="13" t="s">
        <v>190</v>
      </c>
      <c r="B65" s="3" t="s">
        <v>191</v>
      </c>
      <c r="C65" s="3" t="s">
        <v>53</v>
      </c>
      <c r="D65" s="3" t="s">
        <v>775</v>
      </c>
      <c r="E65" s="3" t="s">
        <v>21</v>
      </c>
      <c r="F65" s="14">
        <v>44210</v>
      </c>
      <c r="G65" s="14">
        <v>44211</v>
      </c>
      <c r="H65" s="3" t="s">
        <v>54</v>
      </c>
      <c r="I65" s="3" t="s">
        <v>192</v>
      </c>
      <c r="J65" s="3" t="s">
        <v>193</v>
      </c>
      <c r="K65" s="15" t="s">
        <v>194</v>
      </c>
      <c r="L65" s="3" t="s">
        <v>137</v>
      </c>
      <c r="M65" s="1"/>
      <c r="N65" s="1"/>
      <c r="O65" s="1"/>
      <c r="P65" s="1"/>
      <c r="Q65" s="1"/>
      <c r="R65" s="1"/>
      <c r="S65" s="1"/>
      <c r="T65" s="1"/>
      <c r="U65" s="1"/>
      <c r="V65" s="1"/>
    </row>
    <row r="66" spans="1:22" ht="388">
      <c r="A66" s="13" t="s">
        <v>195</v>
      </c>
      <c r="B66" s="3" t="s">
        <v>196</v>
      </c>
      <c r="C66" s="3" t="s">
        <v>174</v>
      </c>
      <c r="D66" s="3" t="s">
        <v>756</v>
      </c>
      <c r="E66" s="3" t="s">
        <v>21</v>
      </c>
      <c r="F66" s="14">
        <v>44210</v>
      </c>
      <c r="G66" s="14">
        <v>44216</v>
      </c>
      <c r="H66" s="3" t="s">
        <v>22</v>
      </c>
      <c r="I66" s="3" t="s">
        <v>197</v>
      </c>
      <c r="J66" s="15" t="s">
        <v>198</v>
      </c>
      <c r="K66" s="15" t="s">
        <v>199</v>
      </c>
      <c r="L66" s="15" t="s">
        <v>200</v>
      </c>
      <c r="M66" s="1"/>
      <c r="N66" s="1"/>
      <c r="O66" s="1"/>
      <c r="P66" s="1"/>
      <c r="Q66" s="1"/>
      <c r="R66" s="1"/>
      <c r="S66" s="1"/>
      <c r="T66" s="1"/>
      <c r="U66" s="1"/>
      <c r="V66" s="1"/>
    </row>
    <row r="67" spans="1:22">
      <c r="A67" s="13" t="s">
        <v>201</v>
      </c>
      <c r="B67" s="3" t="s">
        <v>202</v>
      </c>
      <c r="C67" s="3" t="s">
        <v>38</v>
      </c>
      <c r="D67" s="3" t="s">
        <v>776</v>
      </c>
      <c r="E67" s="3" t="s">
        <v>21</v>
      </c>
      <c r="F67" s="14">
        <v>44207</v>
      </c>
      <c r="G67" s="14">
        <v>44216</v>
      </c>
      <c r="H67" s="3" t="s">
        <v>22</v>
      </c>
      <c r="I67" s="3" t="s">
        <v>203</v>
      </c>
      <c r="J67" s="3"/>
      <c r="K67" s="3" t="s">
        <v>204</v>
      </c>
      <c r="L67" s="3" t="s">
        <v>205</v>
      </c>
      <c r="M67" s="1"/>
      <c r="N67" s="1"/>
      <c r="O67" s="1"/>
      <c r="P67" s="1"/>
      <c r="Q67" s="1"/>
      <c r="R67" s="1"/>
      <c r="S67" s="1"/>
      <c r="T67" s="1"/>
      <c r="U67" s="1"/>
      <c r="V67" s="1"/>
    </row>
    <row r="68" spans="1:22" ht="51">
      <c r="A68" s="13" t="s">
        <v>206</v>
      </c>
      <c r="B68" s="3" t="s">
        <v>207</v>
      </c>
      <c r="C68" s="3" t="s">
        <v>176</v>
      </c>
      <c r="D68" s="3" t="s">
        <v>713</v>
      </c>
      <c r="E68" s="3" t="s">
        <v>21</v>
      </c>
      <c r="F68" s="14">
        <v>44209</v>
      </c>
      <c r="G68" s="14">
        <v>44214</v>
      </c>
      <c r="H68" s="3" t="s">
        <v>54</v>
      </c>
      <c r="I68" s="3" t="s">
        <v>208</v>
      </c>
      <c r="J68" s="15" t="s">
        <v>209</v>
      </c>
      <c r="K68" s="3"/>
      <c r="L68" s="3" t="s">
        <v>96</v>
      </c>
      <c r="M68" s="1"/>
      <c r="N68" s="1"/>
      <c r="O68" s="1"/>
      <c r="P68" s="1"/>
      <c r="Q68" s="1"/>
      <c r="R68" s="1"/>
      <c r="S68" s="1"/>
      <c r="T68" s="1"/>
      <c r="U68" s="1"/>
      <c r="V68" s="1"/>
    </row>
    <row r="69" spans="1:22">
      <c r="A69" s="13" t="s">
        <v>210</v>
      </c>
      <c r="B69" s="3" t="s">
        <v>211</v>
      </c>
      <c r="C69" s="3" t="s">
        <v>174</v>
      </c>
      <c r="D69" s="3" t="s">
        <v>750</v>
      </c>
      <c r="E69" s="3" t="s">
        <v>21</v>
      </c>
      <c r="F69" s="14">
        <v>44209</v>
      </c>
      <c r="G69" s="14">
        <v>44214</v>
      </c>
      <c r="H69" s="3" t="s">
        <v>22</v>
      </c>
      <c r="I69" s="3" t="s">
        <v>212</v>
      </c>
      <c r="J69" s="3" t="s">
        <v>213</v>
      </c>
      <c r="K69" s="3" t="s">
        <v>214</v>
      </c>
      <c r="L69" s="3" t="s">
        <v>137</v>
      </c>
      <c r="M69" s="1"/>
      <c r="N69" s="1"/>
      <c r="O69" s="1"/>
      <c r="P69" s="1"/>
      <c r="Q69" s="1"/>
      <c r="R69" s="1"/>
      <c r="S69" s="1"/>
      <c r="T69" s="1"/>
      <c r="U69" s="1"/>
      <c r="V69" s="1"/>
    </row>
    <row r="70" spans="1:22" ht="85" hidden="1">
      <c r="A70" s="9" t="s">
        <v>215</v>
      </c>
      <c r="B70" s="3" t="s">
        <v>777</v>
      </c>
      <c r="C70" s="3" t="s">
        <v>588</v>
      </c>
      <c r="D70" s="3" t="s">
        <v>560</v>
      </c>
      <c r="E70" s="3" t="s">
        <v>589</v>
      </c>
      <c r="F70" s="14">
        <v>44209</v>
      </c>
      <c r="G70" s="14">
        <v>44214</v>
      </c>
      <c r="H70" s="3" t="s">
        <v>580</v>
      </c>
      <c r="I70" s="15" t="s">
        <v>778</v>
      </c>
      <c r="J70" s="3" t="s">
        <v>779</v>
      </c>
      <c r="K70" s="15" t="s">
        <v>780</v>
      </c>
      <c r="L70" s="3" t="s">
        <v>781</v>
      </c>
      <c r="M70" s="1"/>
      <c r="N70" s="1"/>
      <c r="O70" s="1"/>
      <c r="P70" s="1"/>
      <c r="Q70" s="1"/>
      <c r="R70" s="1"/>
      <c r="S70" s="1"/>
      <c r="T70" s="1"/>
      <c r="U70" s="1"/>
      <c r="V70" s="1"/>
    </row>
    <row r="71" spans="1:22" ht="388">
      <c r="A71" s="13" t="s">
        <v>219</v>
      </c>
      <c r="B71" s="3" t="s">
        <v>220</v>
      </c>
      <c r="C71" s="3" t="s">
        <v>174</v>
      </c>
      <c r="D71" s="3" t="s">
        <v>782</v>
      </c>
      <c r="E71" s="3" t="s">
        <v>21</v>
      </c>
      <c r="F71" s="14">
        <v>44210</v>
      </c>
      <c r="G71" s="14">
        <v>44210</v>
      </c>
      <c r="H71" s="3" t="s">
        <v>54</v>
      </c>
      <c r="I71" s="3" t="s">
        <v>221</v>
      </c>
      <c r="J71" s="15" t="s">
        <v>222</v>
      </c>
      <c r="K71" s="3" t="s">
        <v>223</v>
      </c>
      <c r="L71" s="15" t="s">
        <v>224</v>
      </c>
      <c r="M71" s="1"/>
      <c r="N71" s="1"/>
      <c r="O71" s="1"/>
      <c r="P71" s="1"/>
      <c r="Q71" s="1"/>
      <c r="R71" s="1"/>
      <c r="S71" s="1"/>
      <c r="T71" s="1"/>
      <c r="U71" s="1"/>
      <c r="V71" s="1"/>
    </row>
    <row r="72" spans="1:22" ht="221">
      <c r="A72" s="13" t="s">
        <v>225</v>
      </c>
      <c r="B72" s="3" t="s">
        <v>783</v>
      </c>
      <c r="C72" s="3" t="s">
        <v>64</v>
      </c>
      <c r="D72" s="3" t="s">
        <v>560</v>
      </c>
      <c r="E72" s="3" t="s">
        <v>21</v>
      </c>
      <c r="F72" s="14">
        <v>44209</v>
      </c>
      <c r="G72" s="14">
        <v>44214</v>
      </c>
      <c r="H72" s="3" t="s">
        <v>22</v>
      </c>
      <c r="I72" s="15" t="s">
        <v>784</v>
      </c>
      <c r="J72" s="3" t="s">
        <v>226</v>
      </c>
      <c r="K72" s="15" t="s">
        <v>227</v>
      </c>
      <c r="L72" s="3" t="s">
        <v>218</v>
      </c>
      <c r="M72" s="1"/>
      <c r="N72" s="1"/>
      <c r="O72" s="1"/>
      <c r="P72" s="1"/>
      <c r="Q72" s="1"/>
      <c r="R72" s="1"/>
      <c r="S72" s="1"/>
      <c r="T72" s="1"/>
      <c r="U72" s="1"/>
      <c r="V72" s="1"/>
    </row>
    <row r="73" spans="1:22" ht="51" hidden="1">
      <c r="A73" s="9" t="s">
        <v>228</v>
      </c>
      <c r="B73" s="3" t="s">
        <v>785</v>
      </c>
      <c r="C73" s="3" t="s">
        <v>604</v>
      </c>
      <c r="D73" s="3"/>
      <c r="E73" s="3" t="s">
        <v>589</v>
      </c>
      <c r="F73" s="14">
        <v>44209</v>
      </c>
      <c r="G73" s="14">
        <v>44222</v>
      </c>
      <c r="H73" s="3" t="s">
        <v>580</v>
      </c>
      <c r="I73" s="15" t="s">
        <v>786</v>
      </c>
      <c r="J73" s="15" t="s">
        <v>787</v>
      </c>
      <c r="K73" s="3" t="s">
        <v>788</v>
      </c>
      <c r="L73" s="15" t="s">
        <v>789</v>
      </c>
      <c r="M73" s="1"/>
      <c r="N73" s="1"/>
      <c r="O73" s="1"/>
      <c r="P73" s="1"/>
      <c r="Q73" s="1"/>
      <c r="R73" s="1"/>
      <c r="S73" s="1"/>
      <c r="T73" s="1"/>
      <c r="U73" s="1"/>
      <c r="V73" s="1"/>
    </row>
    <row r="74" spans="1:22" ht="51" hidden="1">
      <c r="A74" s="9" t="s">
        <v>229</v>
      </c>
      <c r="B74" s="3" t="s">
        <v>790</v>
      </c>
      <c r="C74" s="3" t="s">
        <v>588</v>
      </c>
      <c r="D74" s="3" t="s">
        <v>560</v>
      </c>
      <c r="E74" s="3" t="s">
        <v>589</v>
      </c>
      <c r="F74" s="14">
        <v>44209</v>
      </c>
      <c r="G74" s="14">
        <v>44214</v>
      </c>
      <c r="H74" s="3" t="s">
        <v>580</v>
      </c>
      <c r="I74" s="15" t="s">
        <v>791</v>
      </c>
      <c r="J74" s="15" t="s">
        <v>792</v>
      </c>
      <c r="K74" s="15" t="s">
        <v>230</v>
      </c>
      <c r="L74" s="15" t="s">
        <v>613</v>
      </c>
      <c r="M74" s="1"/>
      <c r="N74" s="1"/>
      <c r="O74" s="1"/>
      <c r="P74" s="1"/>
      <c r="Q74" s="1"/>
      <c r="R74" s="1"/>
      <c r="S74" s="1"/>
      <c r="T74" s="1"/>
      <c r="U74" s="1"/>
      <c r="V74" s="1"/>
    </row>
    <row r="75" spans="1:22" ht="136">
      <c r="A75" s="13" t="s">
        <v>231</v>
      </c>
      <c r="B75" s="3" t="s">
        <v>793</v>
      </c>
      <c r="C75" s="3" t="s">
        <v>64</v>
      </c>
      <c r="D75" s="3" t="s">
        <v>560</v>
      </c>
      <c r="E75" s="3" t="s">
        <v>21</v>
      </c>
      <c r="F75" s="14">
        <v>44209</v>
      </c>
      <c r="G75" s="14">
        <v>44214</v>
      </c>
      <c r="H75" s="3" t="s">
        <v>22</v>
      </c>
      <c r="I75" s="15" t="s">
        <v>794</v>
      </c>
      <c r="J75" s="3" t="s">
        <v>216</v>
      </c>
      <c r="K75" s="3" t="s">
        <v>217</v>
      </c>
      <c r="L75" s="3" t="s">
        <v>218</v>
      </c>
      <c r="M75" s="1"/>
      <c r="N75" s="1"/>
      <c r="O75" s="1"/>
      <c r="P75" s="1"/>
      <c r="Q75" s="1"/>
      <c r="R75" s="1"/>
      <c r="S75" s="1"/>
      <c r="T75" s="1"/>
      <c r="U75" s="1"/>
      <c r="V75" s="1"/>
    </row>
    <row r="76" spans="1:22" ht="356">
      <c r="A76" s="13" t="s">
        <v>232</v>
      </c>
      <c r="B76" s="3" t="s">
        <v>795</v>
      </c>
      <c r="C76" s="3" t="s">
        <v>72</v>
      </c>
      <c r="D76" s="3"/>
      <c r="E76" s="3" t="s">
        <v>516</v>
      </c>
      <c r="F76" s="14">
        <v>44209</v>
      </c>
      <c r="G76" s="3"/>
      <c r="H76" s="3" t="s">
        <v>22</v>
      </c>
      <c r="I76" s="15" t="s">
        <v>796</v>
      </c>
      <c r="J76" s="15" t="s">
        <v>797</v>
      </c>
      <c r="K76" s="3"/>
      <c r="L76" s="15" t="s">
        <v>537</v>
      </c>
      <c r="M76" s="1"/>
      <c r="N76" s="1"/>
      <c r="O76" s="1"/>
      <c r="P76" s="1"/>
      <c r="Q76" s="1"/>
      <c r="R76" s="1"/>
      <c r="S76" s="1"/>
      <c r="T76" s="1"/>
      <c r="U76" s="1"/>
      <c r="V76" s="1"/>
    </row>
    <row r="77" spans="1:22" ht="409.6">
      <c r="A77" s="13" t="s">
        <v>233</v>
      </c>
      <c r="B77" s="3" t="s">
        <v>538</v>
      </c>
      <c r="C77" s="3" t="s">
        <v>72</v>
      </c>
      <c r="D77" s="3"/>
      <c r="E77" s="3" t="s">
        <v>161</v>
      </c>
      <c r="F77" s="14">
        <v>44209</v>
      </c>
      <c r="G77" s="3"/>
      <c r="H77" s="3" t="s">
        <v>22</v>
      </c>
      <c r="I77" s="15" t="s">
        <v>539</v>
      </c>
      <c r="J77" s="15" t="s">
        <v>540</v>
      </c>
      <c r="K77" s="15" t="s">
        <v>541</v>
      </c>
      <c r="L77" s="15" t="s">
        <v>537</v>
      </c>
      <c r="M77" s="1"/>
      <c r="N77" s="1"/>
      <c r="O77" s="1"/>
      <c r="P77" s="1"/>
      <c r="Q77" s="1"/>
      <c r="R77" s="1"/>
      <c r="S77" s="1"/>
      <c r="T77" s="1"/>
      <c r="U77" s="1"/>
      <c r="V77" s="1"/>
    </row>
    <row r="78" spans="1:22" ht="34" hidden="1">
      <c r="A78" s="9" t="s">
        <v>234</v>
      </c>
      <c r="B78" s="3" t="s">
        <v>798</v>
      </c>
      <c r="C78" s="3" t="s">
        <v>588</v>
      </c>
      <c r="D78" s="3" t="s">
        <v>560</v>
      </c>
      <c r="E78" s="3" t="s">
        <v>589</v>
      </c>
      <c r="F78" s="14">
        <v>44209</v>
      </c>
      <c r="G78" s="14">
        <v>44216</v>
      </c>
      <c r="H78" s="3" t="s">
        <v>580</v>
      </c>
      <c r="I78" s="15" t="s">
        <v>799</v>
      </c>
      <c r="J78" s="3" t="s">
        <v>235</v>
      </c>
      <c r="K78" s="3" t="s">
        <v>236</v>
      </c>
      <c r="L78" s="3" t="s">
        <v>800</v>
      </c>
      <c r="M78" s="1"/>
      <c r="N78" s="1"/>
      <c r="O78" s="1"/>
      <c r="P78" s="1"/>
      <c r="Q78" s="1"/>
      <c r="R78" s="1"/>
      <c r="S78" s="1"/>
      <c r="T78" s="1"/>
      <c r="U78" s="1"/>
      <c r="V78" s="1"/>
    </row>
    <row r="79" spans="1:22" ht="136" hidden="1">
      <c r="A79" s="9" t="s">
        <v>237</v>
      </c>
      <c r="B79" s="3" t="s">
        <v>801</v>
      </c>
      <c r="C79" s="3" t="s">
        <v>802</v>
      </c>
      <c r="D79" s="3" t="s">
        <v>782</v>
      </c>
      <c r="E79" s="3" t="s">
        <v>589</v>
      </c>
      <c r="F79" s="14">
        <v>44209</v>
      </c>
      <c r="G79" s="14">
        <v>44209</v>
      </c>
      <c r="H79" s="3" t="s">
        <v>580</v>
      </c>
      <c r="I79" s="15" t="s">
        <v>803</v>
      </c>
      <c r="J79" s="3"/>
      <c r="K79" s="3"/>
      <c r="L79" s="3"/>
      <c r="M79" s="1"/>
      <c r="N79" s="1"/>
      <c r="O79" s="1"/>
      <c r="P79" s="1"/>
      <c r="Q79" s="1"/>
      <c r="R79" s="1"/>
      <c r="S79" s="1"/>
      <c r="T79" s="1"/>
      <c r="U79" s="1"/>
      <c r="V79" s="1"/>
    </row>
    <row r="80" spans="1:22" ht="204">
      <c r="A80" s="13" t="s">
        <v>239</v>
      </c>
      <c r="B80" s="3" t="s">
        <v>804</v>
      </c>
      <c r="C80" s="3" t="s">
        <v>64</v>
      </c>
      <c r="D80" s="3" t="s">
        <v>805</v>
      </c>
      <c r="E80" s="3" t="s">
        <v>21</v>
      </c>
      <c r="F80" s="14">
        <v>44209</v>
      </c>
      <c r="G80" s="14">
        <v>44216</v>
      </c>
      <c r="H80" s="3" t="s">
        <v>54</v>
      </c>
      <c r="I80" s="15" t="s">
        <v>806</v>
      </c>
      <c r="J80" s="3"/>
      <c r="K80" s="3"/>
      <c r="L80" s="3" t="s">
        <v>240</v>
      </c>
      <c r="M80" s="1"/>
      <c r="N80" s="1"/>
      <c r="O80" s="1"/>
      <c r="P80" s="1"/>
      <c r="Q80" s="1"/>
      <c r="R80" s="1"/>
      <c r="S80" s="1"/>
      <c r="T80" s="1"/>
      <c r="U80" s="1"/>
      <c r="V80" s="1"/>
    </row>
    <row r="81" spans="1:22" ht="255" hidden="1">
      <c r="A81" s="9" t="s">
        <v>241</v>
      </c>
      <c r="B81" s="3" t="s">
        <v>615</v>
      </c>
      <c r="C81" s="3" t="s">
        <v>588</v>
      </c>
      <c r="D81" s="3"/>
      <c r="E81" s="3" t="s">
        <v>589</v>
      </c>
      <c r="F81" s="14">
        <v>44209</v>
      </c>
      <c r="G81" s="14">
        <v>44222</v>
      </c>
      <c r="H81" s="3" t="s">
        <v>584</v>
      </c>
      <c r="I81" s="15" t="s">
        <v>616</v>
      </c>
      <c r="J81" s="3" t="s">
        <v>807</v>
      </c>
      <c r="K81" s="3" t="s">
        <v>808</v>
      </c>
      <c r="L81" s="3"/>
      <c r="M81" s="1"/>
      <c r="N81" s="1"/>
      <c r="O81" s="1"/>
      <c r="P81" s="1"/>
      <c r="Q81" s="1"/>
      <c r="R81" s="1"/>
      <c r="S81" s="1"/>
      <c r="T81" s="1"/>
      <c r="U81" s="1"/>
      <c r="V81" s="1"/>
    </row>
    <row r="82" spans="1:22" ht="204">
      <c r="A82" s="13" t="s">
        <v>242</v>
      </c>
      <c r="B82" s="3" t="s">
        <v>542</v>
      </c>
      <c r="C82" s="3" t="s">
        <v>64</v>
      </c>
      <c r="D82" s="3" t="s">
        <v>809</v>
      </c>
      <c r="E82" s="3" t="s">
        <v>21</v>
      </c>
      <c r="F82" s="14">
        <v>44208</v>
      </c>
      <c r="G82" s="14">
        <v>44222</v>
      </c>
      <c r="H82" s="3" t="s">
        <v>22</v>
      </c>
      <c r="I82" s="15" t="s">
        <v>543</v>
      </c>
      <c r="J82" s="3" t="s">
        <v>544</v>
      </c>
      <c r="K82" s="3" t="s">
        <v>545</v>
      </c>
      <c r="L82" s="3" t="s">
        <v>243</v>
      </c>
      <c r="M82" s="1"/>
      <c r="N82" s="1"/>
      <c r="O82" s="1"/>
      <c r="P82" s="1"/>
      <c r="Q82" s="1"/>
      <c r="R82" s="1"/>
      <c r="S82" s="1"/>
      <c r="T82" s="1"/>
      <c r="U82" s="1"/>
      <c r="V82" s="1"/>
    </row>
    <row r="83" spans="1:22" ht="136">
      <c r="A83" s="13" t="s">
        <v>244</v>
      </c>
      <c r="B83" s="3" t="s">
        <v>810</v>
      </c>
      <c r="C83" s="3" t="s">
        <v>64</v>
      </c>
      <c r="D83" s="3" t="s">
        <v>560</v>
      </c>
      <c r="E83" s="3" t="s">
        <v>21</v>
      </c>
      <c r="F83" s="14">
        <v>44209</v>
      </c>
      <c r="G83" s="14">
        <v>44216</v>
      </c>
      <c r="H83" s="3" t="s">
        <v>22</v>
      </c>
      <c r="I83" s="15" t="s">
        <v>811</v>
      </c>
      <c r="J83" s="3" t="s">
        <v>245</v>
      </c>
      <c r="K83" s="3" t="s">
        <v>246</v>
      </c>
      <c r="L83" s="3" t="s">
        <v>106</v>
      </c>
      <c r="M83" s="1"/>
      <c r="N83" s="1"/>
      <c r="O83" s="1"/>
      <c r="P83" s="1"/>
      <c r="Q83" s="1"/>
      <c r="R83" s="1"/>
      <c r="S83" s="1"/>
      <c r="T83" s="1"/>
      <c r="U83" s="1"/>
      <c r="V83" s="1"/>
    </row>
    <row r="84" spans="1:22">
      <c r="A84" s="13" t="s">
        <v>247</v>
      </c>
      <c r="B84" s="3" t="s">
        <v>546</v>
      </c>
      <c r="C84" s="3" t="s">
        <v>506</v>
      </c>
      <c r="D84" s="3"/>
      <c r="E84" s="3" t="s">
        <v>20</v>
      </c>
      <c r="F84" s="3"/>
      <c r="G84" s="3"/>
      <c r="H84" s="3" t="s">
        <v>22</v>
      </c>
      <c r="I84" s="3" t="s">
        <v>547</v>
      </c>
      <c r="J84" s="3"/>
      <c r="K84" s="3"/>
      <c r="L84" s="3"/>
      <c r="M84" s="1"/>
      <c r="N84" s="1"/>
      <c r="O84" s="1"/>
      <c r="P84" s="1"/>
      <c r="Q84" s="1"/>
      <c r="R84" s="1"/>
      <c r="S84" s="1"/>
      <c r="T84" s="1"/>
      <c r="U84" s="1"/>
      <c r="V84" s="1"/>
    </row>
    <row r="85" spans="1:22" ht="51">
      <c r="A85" s="13" t="s">
        <v>248</v>
      </c>
      <c r="B85" s="3" t="s">
        <v>249</v>
      </c>
      <c r="C85" s="3" t="s">
        <v>174</v>
      </c>
      <c r="D85" s="3" t="s">
        <v>756</v>
      </c>
      <c r="E85" s="3" t="s">
        <v>21</v>
      </c>
      <c r="F85" s="14">
        <v>44209</v>
      </c>
      <c r="G85" s="14">
        <v>44215</v>
      </c>
      <c r="H85" s="3" t="s">
        <v>54</v>
      </c>
      <c r="I85" s="3" t="s">
        <v>250</v>
      </c>
      <c r="J85" s="3" t="s">
        <v>251</v>
      </c>
      <c r="K85" s="15" t="s">
        <v>252</v>
      </c>
      <c r="L85" s="3"/>
      <c r="M85" s="1"/>
      <c r="N85" s="1"/>
      <c r="O85" s="1"/>
      <c r="P85" s="1"/>
      <c r="Q85" s="1"/>
      <c r="R85" s="1"/>
      <c r="S85" s="1"/>
      <c r="T85" s="1"/>
      <c r="U85" s="1"/>
      <c r="V85" s="1"/>
    </row>
    <row r="86" spans="1:22" ht="85">
      <c r="A86" s="13" t="s">
        <v>253</v>
      </c>
      <c r="B86" s="3" t="s">
        <v>254</v>
      </c>
      <c r="C86" s="3" t="s">
        <v>64</v>
      </c>
      <c r="D86" s="3" t="s">
        <v>560</v>
      </c>
      <c r="E86" s="3" t="s">
        <v>21</v>
      </c>
      <c r="F86" s="14">
        <v>44209</v>
      </c>
      <c r="G86" s="14">
        <v>44216</v>
      </c>
      <c r="H86" s="3" t="s">
        <v>22</v>
      </c>
      <c r="I86" s="15" t="s">
        <v>255</v>
      </c>
      <c r="J86" s="3" t="s">
        <v>245</v>
      </c>
      <c r="K86" s="3" t="s">
        <v>246</v>
      </c>
      <c r="L86" s="3" t="s">
        <v>106</v>
      </c>
      <c r="M86" s="1"/>
      <c r="N86" s="1"/>
      <c r="O86" s="1"/>
      <c r="P86" s="1"/>
      <c r="Q86" s="1"/>
      <c r="R86" s="1"/>
      <c r="S86" s="1"/>
      <c r="T86" s="1"/>
      <c r="U86" s="1"/>
      <c r="V86" s="1"/>
    </row>
    <row r="87" spans="1:22" ht="409.6">
      <c r="A87" s="13" t="s">
        <v>256</v>
      </c>
      <c r="B87" s="3" t="s">
        <v>257</v>
      </c>
      <c r="C87" s="3" t="s">
        <v>180</v>
      </c>
      <c r="D87" s="3" t="s">
        <v>756</v>
      </c>
      <c r="E87" s="3" t="s">
        <v>21</v>
      </c>
      <c r="F87" s="14">
        <v>44209</v>
      </c>
      <c r="G87" s="14">
        <v>44209</v>
      </c>
      <c r="H87" s="3" t="s">
        <v>22</v>
      </c>
      <c r="I87" s="15" t="s">
        <v>258</v>
      </c>
      <c r="J87" s="3" t="s">
        <v>259</v>
      </c>
      <c r="K87" s="3" t="s">
        <v>260</v>
      </c>
      <c r="L87" s="3" t="s">
        <v>44</v>
      </c>
      <c r="M87" s="1"/>
      <c r="N87" s="1"/>
      <c r="O87" s="1"/>
      <c r="P87" s="1"/>
      <c r="Q87" s="1"/>
      <c r="R87" s="1"/>
      <c r="S87" s="1"/>
      <c r="T87" s="1"/>
      <c r="U87" s="1"/>
      <c r="V87" s="1"/>
    </row>
    <row r="88" spans="1:22" ht="340" hidden="1">
      <c r="A88" s="9" t="s">
        <v>261</v>
      </c>
      <c r="B88" s="3" t="s">
        <v>812</v>
      </c>
      <c r="C88" s="3" t="s">
        <v>588</v>
      </c>
      <c r="D88" s="3" t="s">
        <v>560</v>
      </c>
      <c r="E88" s="3" t="s">
        <v>589</v>
      </c>
      <c r="F88" s="14">
        <v>44209</v>
      </c>
      <c r="G88" s="14">
        <v>44214</v>
      </c>
      <c r="H88" s="3" t="s">
        <v>611</v>
      </c>
      <c r="I88" s="15" t="s">
        <v>813</v>
      </c>
      <c r="J88" s="3" t="s">
        <v>262</v>
      </c>
      <c r="K88" s="15" t="s">
        <v>814</v>
      </c>
      <c r="L88" s="3" t="s">
        <v>815</v>
      </c>
      <c r="M88" s="1"/>
      <c r="N88" s="1"/>
      <c r="O88" s="1"/>
      <c r="P88" s="1"/>
      <c r="Q88" s="1"/>
      <c r="R88" s="1"/>
      <c r="S88" s="1"/>
      <c r="T88" s="1"/>
      <c r="U88" s="1"/>
      <c r="V88" s="1"/>
    </row>
    <row r="89" spans="1:22" ht="68">
      <c r="A89" s="13" t="s">
        <v>263</v>
      </c>
      <c r="B89" s="3" t="s">
        <v>264</v>
      </c>
      <c r="C89" s="3" t="s">
        <v>64</v>
      </c>
      <c r="D89" s="3" t="s">
        <v>560</v>
      </c>
      <c r="E89" s="3" t="s">
        <v>21</v>
      </c>
      <c r="F89" s="14">
        <v>44209</v>
      </c>
      <c r="G89" s="14">
        <v>44216</v>
      </c>
      <c r="H89" s="3" t="s">
        <v>22</v>
      </c>
      <c r="I89" s="15" t="s">
        <v>265</v>
      </c>
      <c r="J89" s="3" t="s">
        <v>245</v>
      </c>
      <c r="K89" s="3" t="s">
        <v>246</v>
      </c>
      <c r="L89" s="3" t="s">
        <v>106</v>
      </c>
      <c r="M89" s="1"/>
      <c r="N89" s="1"/>
      <c r="O89" s="1"/>
      <c r="P89" s="1"/>
      <c r="Q89" s="1"/>
      <c r="R89" s="1"/>
      <c r="S89" s="1"/>
      <c r="T89" s="1"/>
      <c r="U89" s="1"/>
      <c r="V89" s="1"/>
    </row>
    <row r="90" spans="1:22" ht="409.6">
      <c r="A90" s="13" t="s">
        <v>266</v>
      </c>
      <c r="B90" s="3" t="s">
        <v>816</v>
      </c>
      <c r="C90" s="3" t="s">
        <v>638</v>
      </c>
      <c r="D90" s="3" t="s">
        <v>713</v>
      </c>
      <c r="E90" s="3" t="s">
        <v>21</v>
      </c>
      <c r="F90" s="14">
        <v>44208</v>
      </c>
      <c r="G90" s="14">
        <v>44215</v>
      </c>
      <c r="H90" s="3" t="s">
        <v>117</v>
      </c>
      <c r="I90" s="15" t="s">
        <v>817</v>
      </c>
      <c r="J90" s="3"/>
      <c r="K90" s="15" t="s">
        <v>818</v>
      </c>
      <c r="L90" s="3" t="s">
        <v>267</v>
      </c>
      <c r="M90" s="1"/>
      <c r="N90" s="1"/>
      <c r="O90" s="1"/>
      <c r="P90" s="1"/>
      <c r="Q90" s="1"/>
      <c r="R90" s="1"/>
      <c r="S90" s="1"/>
      <c r="T90" s="1"/>
      <c r="U90" s="1"/>
      <c r="V90" s="1"/>
    </row>
    <row r="91" spans="1:22" ht="34" hidden="1">
      <c r="A91" s="9" t="s">
        <v>268</v>
      </c>
      <c r="B91" s="3" t="s">
        <v>819</v>
      </c>
      <c r="C91" s="3" t="s">
        <v>761</v>
      </c>
      <c r="D91" s="3"/>
      <c r="E91" s="3" t="s">
        <v>614</v>
      </c>
      <c r="F91" s="14">
        <v>44208</v>
      </c>
      <c r="G91" s="14"/>
      <c r="H91" s="3" t="s">
        <v>580</v>
      </c>
      <c r="I91" s="15" t="s">
        <v>820</v>
      </c>
      <c r="J91" s="15"/>
      <c r="K91" s="15" t="s">
        <v>821</v>
      </c>
      <c r="L91" s="3"/>
      <c r="M91" s="1"/>
      <c r="N91" s="1"/>
      <c r="O91" s="1"/>
      <c r="P91" s="1"/>
      <c r="Q91" s="1"/>
      <c r="R91" s="1"/>
      <c r="S91" s="1"/>
      <c r="T91" s="1"/>
      <c r="U91" s="1"/>
      <c r="V91" s="1"/>
    </row>
    <row r="92" spans="1:22" ht="68" hidden="1">
      <c r="A92" s="9" t="s">
        <v>269</v>
      </c>
      <c r="B92" s="3" t="s">
        <v>822</v>
      </c>
      <c r="C92" s="3" t="s">
        <v>588</v>
      </c>
      <c r="D92" s="3"/>
      <c r="E92" s="3" t="s">
        <v>589</v>
      </c>
      <c r="F92" s="14">
        <v>44208</v>
      </c>
      <c r="G92" s="14">
        <v>44221</v>
      </c>
      <c r="H92" s="3" t="s">
        <v>580</v>
      </c>
      <c r="I92" s="15" t="s">
        <v>823</v>
      </c>
      <c r="J92" s="15" t="s">
        <v>824</v>
      </c>
      <c r="K92" s="15" t="s">
        <v>825</v>
      </c>
      <c r="L92" s="15" t="s">
        <v>826</v>
      </c>
      <c r="M92" s="1"/>
      <c r="N92" s="1"/>
      <c r="O92" s="1"/>
      <c r="P92" s="1"/>
      <c r="Q92" s="1"/>
      <c r="R92" s="1"/>
      <c r="S92" s="1"/>
      <c r="T92" s="1"/>
      <c r="U92" s="1"/>
      <c r="V92" s="1"/>
    </row>
    <row r="93" spans="1:22" ht="255" hidden="1">
      <c r="A93" s="9" t="s">
        <v>270</v>
      </c>
      <c r="B93" s="3" t="s">
        <v>618</v>
      </c>
      <c r="C93" s="3" t="s">
        <v>578</v>
      </c>
      <c r="D93" s="3"/>
      <c r="E93" s="3" t="s">
        <v>589</v>
      </c>
      <c r="F93" s="14">
        <v>44208</v>
      </c>
      <c r="G93" s="14">
        <v>44217</v>
      </c>
      <c r="H93" s="3" t="s">
        <v>580</v>
      </c>
      <c r="I93" s="15" t="s">
        <v>619</v>
      </c>
      <c r="J93" s="15" t="s">
        <v>620</v>
      </c>
      <c r="K93" s="15" t="s">
        <v>827</v>
      </c>
      <c r="L93" s="3"/>
      <c r="M93" s="1"/>
      <c r="N93" s="1"/>
      <c r="O93" s="1"/>
      <c r="P93" s="1"/>
      <c r="Q93" s="1"/>
      <c r="R93" s="1"/>
      <c r="S93" s="1"/>
      <c r="T93" s="1"/>
      <c r="U93" s="1"/>
      <c r="V93" s="1"/>
    </row>
    <row r="94" spans="1:22" ht="136" hidden="1">
      <c r="A94" s="9" t="s">
        <v>272</v>
      </c>
      <c r="B94" s="3" t="s">
        <v>621</v>
      </c>
      <c r="C94" s="3" t="s">
        <v>588</v>
      </c>
      <c r="D94" s="3" t="s">
        <v>809</v>
      </c>
      <c r="E94" s="3" t="s">
        <v>589</v>
      </c>
      <c r="F94" s="14">
        <v>44208</v>
      </c>
      <c r="G94" s="14">
        <v>44222</v>
      </c>
      <c r="H94" s="3" t="s">
        <v>580</v>
      </c>
      <c r="I94" s="15" t="s">
        <v>622</v>
      </c>
      <c r="J94" s="3" t="s">
        <v>828</v>
      </c>
      <c r="K94" s="15" t="s">
        <v>829</v>
      </c>
      <c r="L94" s="3" t="s">
        <v>830</v>
      </c>
      <c r="M94" s="1"/>
      <c r="N94" s="1"/>
      <c r="O94" s="1"/>
      <c r="P94" s="1"/>
      <c r="Q94" s="1"/>
      <c r="R94" s="1"/>
      <c r="S94" s="1"/>
      <c r="T94" s="1"/>
      <c r="U94" s="1"/>
      <c r="V94" s="1"/>
    </row>
    <row r="95" spans="1:22" ht="187" hidden="1">
      <c r="A95" s="9" t="s">
        <v>273</v>
      </c>
      <c r="B95" s="3" t="s">
        <v>623</v>
      </c>
      <c r="C95" s="3" t="s">
        <v>604</v>
      </c>
      <c r="D95" s="3"/>
      <c r="E95" s="3" t="s">
        <v>589</v>
      </c>
      <c r="F95" s="14">
        <v>44208</v>
      </c>
      <c r="G95" s="14">
        <v>44222</v>
      </c>
      <c r="H95" s="3" t="s">
        <v>624</v>
      </c>
      <c r="I95" s="15" t="s">
        <v>625</v>
      </c>
      <c r="J95" s="15" t="s">
        <v>831</v>
      </c>
      <c r="K95" s="3"/>
      <c r="L95" s="3"/>
      <c r="M95" s="1"/>
      <c r="N95" s="1"/>
      <c r="O95" s="1"/>
      <c r="P95" s="1"/>
      <c r="Q95" s="1"/>
      <c r="R95" s="1"/>
      <c r="S95" s="1"/>
      <c r="T95" s="1"/>
      <c r="U95" s="1"/>
      <c r="V95" s="1"/>
    </row>
    <row r="96" spans="1:22" ht="409.6" hidden="1">
      <c r="A96" s="9" t="s">
        <v>275</v>
      </c>
      <c r="B96" s="3" t="s">
        <v>626</v>
      </c>
      <c r="C96" s="3" t="s">
        <v>588</v>
      </c>
      <c r="D96" s="3" t="s">
        <v>809</v>
      </c>
      <c r="E96" s="3" t="s">
        <v>589</v>
      </c>
      <c r="F96" s="14">
        <v>44208</v>
      </c>
      <c r="G96" s="14">
        <v>44222</v>
      </c>
      <c r="H96" s="3" t="s">
        <v>580</v>
      </c>
      <c r="I96" s="15" t="s">
        <v>627</v>
      </c>
      <c r="J96" s="3" t="s">
        <v>832</v>
      </c>
      <c r="K96" s="15" t="s">
        <v>833</v>
      </c>
      <c r="L96" s="3" t="s">
        <v>830</v>
      </c>
      <c r="M96" s="1"/>
      <c r="N96" s="1"/>
      <c r="O96" s="1"/>
      <c r="P96" s="1"/>
      <c r="Q96" s="1"/>
      <c r="R96" s="1"/>
      <c r="S96" s="1"/>
      <c r="T96" s="1"/>
      <c r="U96" s="1"/>
      <c r="V96" s="1"/>
    </row>
    <row r="97" spans="1:22" ht="187">
      <c r="A97" s="13" t="s">
        <v>276</v>
      </c>
      <c r="B97" s="3" t="s">
        <v>834</v>
      </c>
      <c r="C97" s="3" t="s">
        <v>506</v>
      </c>
      <c r="D97" s="3"/>
      <c r="E97" s="3" t="s">
        <v>20</v>
      </c>
      <c r="F97" s="14">
        <v>44208</v>
      </c>
      <c r="G97" s="3"/>
      <c r="H97" s="3" t="s">
        <v>22</v>
      </c>
      <c r="I97" s="15" t="s">
        <v>835</v>
      </c>
      <c r="J97" s="3"/>
      <c r="K97" s="3"/>
      <c r="L97" s="3"/>
      <c r="M97" s="1"/>
      <c r="N97" s="1"/>
      <c r="O97" s="1"/>
      <c r="P97" s="1"/>
      <c r="Q97" s="1"/>
      <c r="R97" s="1"/>
      <c r="S97" s="1"/>
      <c r="T97" s="1"/>
      <c r="U97" s="1"/>
      <c r="V97" s="1"/>
    </row>
    <row r="98" spans="1:22" ht="372">
      <c r="A98" s="13" t="s">
        <v>277</v>
      </c>
      <c r="B98" s="3" t="s">
        <v>836</v>
      </c>
      <c r="C98" s="3" t="s">
        <v>64</v>
      </c>
      <c r="D98" s="3" t="s">
        <v>809</v>
      </c>
      <c r="E98" s="3" t="s">
        <v>21</v>
      </c>
      <c r="F98" s="14">
        <v>44208</v>
      </c>
      <c r="G98" s="14">
        <v>44222</v>
      </c>
      <c r="H98" s="3" t="s">
        <v>22</v>
      </c>
      <c r="I98" s="15" t="s">
        <v>837</v>
      </c>
      <c r="J98" s="3" t="s">
        <v>548</v>
      </c>
      <c r="K98" s="3" t="s">
        <v>549</v>
      </c>
      <c r="L98" s="3" t="s">
        <v>550</v>
      </c>
      <c r="M98" s="1"/>
      <c r="N98" s="1"/>
      <c r="O98" s="1"/>
      <c r="P98" s="1"/>
      <c r="Q98" s="1"/>
      <c r="R98" s="1"/>
      <c r="S98" s="1"/>
      <c r="T98" s="1"/>
      <c r="U98" s="1"/>
      <c r="V98" s="1"/>
    </row>
    <row r="99" spans="1:22" ht="68">
      <c r="A99" s="13" t="s">
        <v>278</v>
      </c>
      <c r="B99" s="3" t="s">
        <v>551</v>
      </c>
      <c r="C99" s="3" t="s">
        <v>506</v>
      </c>
      <c r="D99" s="3"/>
      <c r="E99" s="3" t="s">
        <v>20</v>
      </c>
      <c r="F99" s="14">
        <v>44208</v>
      </c>
      <c r="G99" s="3"/>
      <c r="H99" s="3" t="s">
        <v>22</v>
      </c>
      <c r="I99" s="15" t="s">
        <v>552</v>
      </c>
      <c r="J99" s="3"/>
      <c r="K99" s="3"/>
      <c r="L99" s="3"/>
      <c r="M99" s="1"/>
      <c r="N99" s="1"/>
      <c r="O99" s="1"/>
      <c r="P99" s="1"/>
      <c r="Q99" s="1"/>
      <c r="R99" s="1"/>
      <c r="S99" s="1"/>
      <c r="T99" s="1"/>
      <c r="U99" s="1"/>
      <c r="V99" s="1"/>
    </row>
    <row r="100" spans="1:22" ht="153" hidden="1">
      <c r="A100" s="9" t="s">
        <v>279</v>
      </c>
      <c r="B100" s="3" t="s">
        <v>838</v>
      </c>
      <c r="C100" s="3" t="s">
        <v>588</v>
      </c>
      <c r="D100" s="3" t="s">
        <v>805</v>
      </c>
      <c r="E100" s="3" t="s">
        <v>589</v>
      </c>
      <c r="F100" s="14">
        <v>44208</v>
      </c>
      <c r="G100" s="14">
        <v>44209</v>
      </c>
      <c r="H100" s="3" t="s">
        <v>611</v>
      </c>
      <c r="I100" s="15" t="s">
        <v>839</v>
      </c>
      <c r="J100" s="3"/>
      <c r="K100" s="15"/>
      <c r="L100" s="3" t="s">
        <v>840</v>
      </c>
      <c r="M100" s="1"/>
      <c r="N100" s="1"/>
      <c r="O100" s="1"/>
      <c r="P100" s="1"/>
      <c r="Q100" s="1"/>
      <c r="R100" s="1"/>
      <c r="S100" s="1"/>
      <c r="T100" s="1"/>
      <c r="U100" s="1"/>
      <c r="V100" s="1"/>
    </row>
    <row r="101" spans="1:22" ht="204">
      <c r="A101" s="13" t="s">
        <v>280</v>
      </c>
      <c r="B101" s="3" t="s">
        <v>281</v>
      </c>
      <c r="C101" s="3" t="s">
        <v>64</v>
      </c>
      <c r="D101" s="3" t="s">
        <v>805</v>
      </c>
      <c r="E101" s="3" t="s">
        <v>21</v>
      </c>
      <c r="F101" s="14">
        <v>44208</v>
      </c>
      <c r="G101" s="14">
        <v>44209</v>
      </c>
      <c r="H101" s="3" t="s">
        <v>54</v>
      </c>
      <c r="I101" s="15" t="s">
        <v>282</v>
      </c>
      <c r="J101" s="3"/>
      <c r="K101" s="3"/>
      <c r="L101" s="3" t="s">
        <v>243</v>
      </c>
      <c r="M101" s="1"/>
      <c r="N101" s="1"/>
      <c r="O101" s="1"/>
      <c r="P101" s="1"/>
      <c r="Q101" s="1"/>
      <c r="R101" s="1"/>
      <c r="S101" s="1"/>
      <c r="T101" s="1"/>
      <c r="U101" s="1"/>
      <c r="V101" s="1"/>
    </row>
    <row r="102" spans="1:22" ht="238" hidden="1">
      <c r="A102" s="9" t="s">
        <v>283</v>
      </c>
      <c r="B102" s="3" t="s">
        <v>629</v>
      </c>
      <c r="C102" s="3" t="s">
        <v>588</v>
      </c>
      <c r="D102" s="3" t="s">
        <v>805</v>
      </c>
      <c r="E102" s="3" t="s">
        <v>589</v>
      </c>
      <c r="F102" s="14">
        <v>44208</v>
      </c>
      <c r="G102" s="14">
        <v>44209</v>
      </c>
      <c r="H102" s="3" t="s">
        <v>611</v>
      </c>
      <c r="I102" s="15" t="s">
        <v>630</v>
      </c>
      <c r="J102" s="3"/>
      <c r="K102" s="15"/>
      <c r="L102" s="3" t="s">
        <v>830</v>
      </c>
      <c r="M102" s="1"/>
      <c r="N102" s="1"/>
      <c r="O102" s="1"/>
      <c r="P102" s="1"/>
      <c r="Q102" s="1"/>
      <c r="R102" s="1"/>
      <c r="S102" s="1"/>
      <c r="T102" s="1"/>
      <c r="U102" s="1"/>
      <c r="V102" s="1"/>
    </row>
    <row r="103" spans="1:22" ht="136" hidden="1">
      <c r="A103" s="9" t="s">
        <v>284</v>
      </c>
      <c r="B103" s="3" t="s">
        <v>841</v>
      </c>
      <c r="C103" s="3" t="s">
        <v>617</v>
      </c>
      <c r="D103" s="3" t="s">
        <v>809</v>
      </c>
      <c r="E103" s="3" t="s">
        <v>586</v>
      </c>
      <c r="F103" s="14">
        <v>44208</v>
      </c>
      <c r="G103" s="3"/>
      <c r="H103" s="3" t="s">
        <v>580</v>
      </c>
      <c r="I103" s="15" t="s">
        <v>842</v>
      </c>
      <c r="J103" s="3" t="s">
        <v>553</v>
      </c>
      <c r="K103" s="15" t="s">
        <v>843</v>
      </c>
      <c r="L103" s="3" t="s">
        <v>243</v>
      </c>
      <c r="M103" s="1"/>
      <c r="N103" s="1"/>
      <c r="O103" s="1"/>
      <c r="P103" s="1"/>
      <c r="Q103" s="1"/>
      <c r="R103" s="1"/>
      <c r="S103" s="1"/>
      <c r="T103" s="1"/>
      <c r="U103" s="1"/>
      <c r="V103" s="1"/>
    </row>
    <row r="104" spans="1:22" ht="272" hidden="1">
      <c r="A104" s="9" t="s">
        <v>285</v>
      </c>
      <c r="B104" s="3" t="s">
        <v>631</v>
      </c>
      <c r="C104" s="3" t="s">
        <v>588</v>
      </c>
      <c r="D104" s="3" t="s">
        <v>805</v>
      </c>
      <c r="E104" s="3" t="s">
        <v>589</v>
      </c>
      <c r="F104" s="14">
        <v>44208</v>
      </c>
      <c r="G104" s="14">
        <v>44209</v>
      </c>
      <c r="H104" s="3" t="s">
        <v>611</v>
      </c>
      <c r="I104" s="15" t="s">
        <v>632</v>
      </c>
      <c r="J104" s="3"/>
      <c r="K104" s="15"/>
      <c r="L104" s="3" t="s">
        <v>830</v>
      </c>
      <c r="M104" s="1"/>
      <c r="N104" s="1"/>
      <c r="O104" s="1"/>
      <c r="P104" s="1"/>
      <c r="Q104" s="1"/>
      <c r="R104" s="1"/>
      <c r="S104" s="1"/>
      <c r="T104" s="1"/>
      <c r="U104" s="1"/>
      <c r="V104" s="1"/>
    </row>
    <row r="105" spans="1:22" ht="68">
      <c r="A105" s="13" t="s">
        <v>286</v>
      </c>
      <c r="B105" s="3" t="s">
        <v>844</v>
      </c>
      <c r="C105" s="3" t="s">
        <v>176</v>
      </c>
      <c r="D105" s="3"/>
      <c r="E105" s="3" t="s">
        <v>20</v>
      </c>
      <c r="F105" s="14">
        <v>44208</v>
      </c>
      <c r="G105" s="3"/>
      <c r="H105" s="3" t="s">
        <v>22</v>
      </c>
      <c r="I105" s="3" t="s">
        <v>845</v>
      </c>
      <c r="J105" s="3"/>
      <c r="K105" s="15" t="s">
        <v>846</v>
      </c>
      <c r="L105" s="3"/>
      <c r="M105" s="1"/>
      <c r="N105" s="1"/>
      <c r="O105" s="1"/>
      <c r="P105" s="1"/>
      <c r="Q105" s="1"/>
      <c r="R105" s="1"/>
      <c r="S105" s="1"/>
      <c r="T105" s="1"/>
      <c r="U105" s="1"/>
      <c r="V105" s="1"/>
    </row>
    <row r="106" spans="1:22" ht="238">
      <c r="A106" s="13" t="s">
        <v>287</v>
      </c>
      <c r="B106" s="3" t="s">
        <v>847</v>
      </c>
      <c r="C106" s="3" t="s">
        <v>64</v>
      </c>
      <c r="D106" s="3" t="s">
        <v>809</v>
      </c>
      <c r="E106" s="3" t="s">
        <v>21</v>
      </c>
      <c r="F106" s="14">
        <v>44208</v>
      </c>
      <c r="G106" s="14">
        <v>44222</v>
      </c>
      <c r="H106" s="3" t="s">
        <v>22</v>
      </c>
      <c r="I106" s="15" t="s">
        <v>848</v>
      </c>
      <c r="J106" s="3" t="s">
        <v>554</v>
      </c>
      <c r="K106" s="15" t="s">
        <v>555</v>
      </c>
      <c r="L106" s="3" t="s">
        <v>243</v>
      </c>
      <c r="M106" s="1"/>
      <c r="N106" s="1"/>
      <c r="O106" s="1"/>
      <c r="P106" s="1"/>
      <c r="Q106" s="1"/>
      <c r="R106" s="1"/>
      <c r="S106" s="1"/>
      <c r="T106" s="1"/>
      <c r="U106" s="1"/>
      <c r="V106" s="1"/>
    </row>
    <row r="107" spans="1:22" ht="102">
      <c r="A107" s="13" t="s">
        <v>288</v>
      </c>
      <c r="B107" s="3" t="s">
        <v>556</v>
      </c>
      <c r="C107" s="3" t="s">
        <v>506</v>
      </c>
      <c r="D107" s="3"/>
      <c r="E107" s="3" t="s">
        <v>20</v>
      </c>
      <c r="F107" s="14">
        <v>44207</v>
      </c>
      <c r="G107" s="3"/>
      <c r="H107" s="3" t="s">
        <v>22</v>
      </c>
      <c r="I107" s="15" t="s">
        <v>557</v>
      </c>
      <c r="J107" s="3"/>
      <c r="K107" s="3"/>
      <c r="L107" s="3"/>
      <c r="M107" s="1"/>
      <c r="N107" s="1"/>
      <c r="O107" s="1"/>
      <c r="P107" s="1"/>
      <c r="Q107" s="1"/>
      <c r="R107" s="1"/>
      <c r="S107" s="1"/>
      <c r="T107" s="1"/>
      <c r="U107" s="1"/>
      <c r="V107" s="1"/>
    </row>
    <row r="108" spans="1:22">
      <c r="A108" s="13" t="s">
        <v>289</v>
      </c>
      <c r="B108" s="3" t="s">
        <v>290</v>
      </c>
      <c r="C108" s="3" t="s">
        <v>38</v>
      </c>
      <c r="D108" s="3" t="s">
        <v>724</v>
      </c>
      <c r="E108" s="3" t="s">
        <v>21</v>
      </c>
      <c r="F108" s="14">
        <v>44207</v>
      </c>
      <c r="G108" s="14">
        <v>44214</v>
      </c>
      <c r="H108" s="3" t="s">
        <v>22</v>
      </c>
      <c r="I108" s="3" t="s">
        <v>291</v>
      </c>
      <c r="J108" s="3"/>
      <c r="K108" s="3" t="s">
        <v>292</v>
      </c>
      <c r="L108" s="3" t="s">
        <v>96</v>
      </c>
      <c r="M108" s="1"/>
      <c r="N108" s="1"/>
      <c r="O108" s="1"/>
      <c r="P108" s="1"/>
      <c r="Q108" s="1"/>
      <c r="R108" s="1"/>
      <c r="S108" s="1"/>
      <c r="T108" s="1"/>
      <c r="U108" s="1"/>
      <c r="V108" s="1"/>
    </row>
    <row r="109" spans="1:22">
      <c r="A109" s="13" t="s">
        <v>293</v>
      </c>
      <c r="B109" s="3" t="s">
        <v>294</v>
      </c>
      <c r="C109" s="3" t="s">
        <v>72</v>
      </c>
      <c r="D109" s="3" t="s">
        <v>713</v>
      </c>
      <c r="E109" s="3" t="s">
        <v>21</v>
      </c>
      <c r="F109" s="14">
        <v>44207</v>
      </c>
      <c r="G109" s="14">
        <v>44209</v>
      </c>
      <c r="H109" s="3" t="s">
        <v>23</v>
      </c>
      <c r="I109" s="3" t="s">
        <v>295</v>
      </c>
      <c r="J109" s="3"/>
      <c r="K109" s="3"/>
      <c r="L109" s="3" t="s">
        <v>96</v>
      </c>
      <c r="M109" s="1"/>
      <c r="N109" s="1"/>
      <c r="O109" s="1"/>
      <c r="P109" s="1"/>
      <c r="Q109" s="1"/>
      <c r="R109" s="1"/>
      <c r="S109" s="1"/>
      <c r="T109" s="1"/>
      <c r="U109" s="1"/>
      <c r="V109" s="1"/>
    </row>
    <row r="110" spans="1:22">
      <c r="A110" s="13" t="s">
        <v>296</v>
      </c>
      <c r="B110" s="3" t="s">
        <v>297</v>
      </c>
      <c r="C110" s="3" t="s">
        <v>176</v>
      </c>
      <c r="D110" s="3" t="s">
        <v>849</v>
      </c>
      <c r="E110" s="3" t="s">
        <v>21</v>
      </c>
      <c r="F110" s="14">
        <v>44207</v>
      </c>
      <c r="G110" s="14">
        <v>44215</v>
      </c>
      <c r="H110" s="3" t="s">
        <v>23</v>
      </c>
      <c r="I110" s="3" t="s">
        <v>298</v>
      </c>
      <c r="J110" s="3"/>
      <c r="K110" s="3"/>
      <c r="L110" s="3"/>
      <c r="M110" s="1"/>
      <c r="N110" s="1"/>
      <c r="O110" s="1"/>
      <c r="P110" s="1"/>
      <c r="Q110" s="1"/>
      <c r="R110" s="1"/>
      <c r="S110" s="1"/>
      <c r="T110" s="1"/>
      <c r="U110" s="1"/>
      <c r="V110" s="1"/>
    </row>
    <row r="111" spans="1:22" ht="102" hidden="1">
      <c r="A111" s="9" t="s">
        <v>299</v>
      </c>
      <c r="B111" s="3" t="s">
        <v>850</v>
      </c>
      <c r="C111" s="3" t="s">
        <v>633</v>
      </c>
      <c r="D111" s="3" t="s">
        <v>724</v>
      </c>
      <c r="E111" s="3" t="s">
        <v>589</v>
      </c>
      <c r="F111" s="14">
        <v>44207</v>
      </c>
      <c r="G111" s="14">
        <v>44214</v>
      </c>
      <c r="H111" s="3" t="s">
        <v>580</v>
      </c>
      <c r="I111" s="15" t="s">
        <v>851</v>
      </c>
      <c r="J111" s="15" t="s">
        <v>852</v>
      </c>
      <c r="K111" s="15" t="s">
        <v>853</v>
      </c>
      <c r="L111" s="3" t="s">
        <v>854</v>
      </c>
      <c r="M111" s="1"/>
      <c r="N111" s="1"/>
      <c r="O111" s="1"/>
      <c r="P111" s="1"/>
      <c r="Q111" s="1"/>
      <c r="R111" s="1"/>
      <c r="S111" s="1"/>
      <c r="T111" s="1"/>
      <c r="U111" s="1"/>
      <c r="V111" s="1"/>
    </row>
    <row r="112" spans="1:22" ht="68" hidden="1">
      <c r="A112" s="9" t="s">
        <v>300</v>
      </c>
      <c r="B112" s="3" t="s">
        <v>855</v>
      </c>
      <c r="C112" s="3" t="s">
        <v>633</v>
      </c>
      <c r="D112" s="3" t="s">
        <v>724</v>
      </c>
      <c r="E112" s="3" t="s">
        <v>589</v>
      </c>
      <c r="F112" s="14">
        <v>44207</v>
      </c>
      <c r="G112" s="14">
        <v>44214</v>
      </c>
      <c r="H112" s="3" t="s">
        <v>580</v>
      </c>
      <c r="I112" s="15" t="s">
        <v>856</v>
      </c>
      <c r="J112" s="15" t="s">
        <v>301</v>
      </c>
      <c r="K112" s="3" t="s">
        <v>302</v>
      </c>
      <c r="L112" s="3" t="s">
        <v>857</v>
      </c>
      <c r="M112" s="1"/>
      <c r="N112" s="1"/>
      <c r="O112" s="1"/>
      <c r="P112" s="1"/>
      <c r="Q112" s="1"/>
      <c r="R112" s="1"/>
      <c r="S112" s="1"/>
      <c r="T112" s="1"/>
      <c r="U112" s="1"/>
      <c r="V112" s="1"/>
    </row>
    <row r="113" spans="1:22" ht="153">
      <c r="A113" s="13" t="s">
        <v>304</v>
      </c>
      <c r="B113" s="3" t="s">
        <v>858</v>
      </c>
      <c r="C113" s="3" t="s">
        <v>305</v>
      </c>
      <c r="D113" s="3" t="s">
        <v>859</v>
      </c>
      <c r="E113" s="3" t="s">
        <v>21</v>
      </c>
      <c r="F113" s="14">
        <v>44207</v>
      </c>
      <c r="G113" s="14">
        <v>44208</v>
      </c>
      <c r="H113" s="3" t="s">
        <v>22</v>
      </c>
      <c r="I113" s="3" t="s">
        <v>860</v>
      </c>
      <c r="J113" s="15" t="s">
        <v>306</v>
      </c>
      <c r="K113" s="15" t="s">
        <v>307</v>
      </c>
      <c r="L113" s="3" t="s">
        <v>861</v>
      </c>
      <c r="M113" s="1"/>
      <c r="N113" s="1"/>
      <c r="O113" s="1"/>
      <c r="P113" s="1"/>
      <c r="Q113" s="1"/>
      <c r="R113" s="1"/>
      <c r="S113" s="1"/>
      <c r="T113" s="1"/>
      <c r="U113" s="1"/>
      <c r="V113" s="1"/>
    </row>
    <row r="114" spans="1:22" ht="409.6">
      <c r="A114" s="13" t="s">
        <v>308</v>
      </c>
      <c r="B114" s="3" t="s">
        <v>862</v>
      </c>
      <c r="C114" s="3" t="s">
        <v>101</v>
      </c>
      <c r="D114" s="3"/>
      <c r="E114" s="3" t="s">
        <v>516</v>
      </c>
      <c r="F114" s="14">
        <v>44206</v>
      </c>
      <c r="G114" s="3"/>
      <c r="H114" s="3" t="s">
        <v>23</v>
      </c>
      <c r="I114" s="15" t="s">
        <v>863</v>
      </c>
      <c r="J114" s="3" t="s">
        <v>864</v>
      </c>
      <c r="K114" s="15" t="s">
        <v>865</v>
      </c>
      <c r="L114" s="3" t="s">
        <v>662</v>
      </c>
      <c r="M114" s="1"/>
      <c r="N114" s="1"/>
      <c r="O114" s="1"/>
      <c r="P114" s="1"/>
      <c r="Q114" s="1"/>
      <c r="R114" s="1"/>
      <c r="S114" s="1"/>
      <c r="T114" s="1"/>
      <c r="U114" s="1"/>
      <c r="V114" s="1"/>
    </row>
    <row r="115" spans="1:22">
      <c r="A115" s="13" t="s">
        <v>309</v>
      </c>
      <c r="B115" s="3" t="s">
        <v>558</v>
      </c>
      <c r="C115" s="3" t="s">
        <v>176</v>
      </c>
      <c r="D115" s="3"/>
      <c r="E115" s="3" t="s">
        <v>20</v>
      </c>
      <c r="F115" s="14">
        <v>44206</v>
      </c>
      <c r="G115" s="3"/>
      <c r="H115" s="3" t="s">
        <v>23</v>
      </c>
      <c r="I115" s="3" t="s">
        <v>559</v>
      </c>
      <c r="J115" s="3"/>
      <c r="K115" s="3"/>
      <c r="L115" s="3"/>
      <c r="M115" s="1"/>
      <c r="N115" s="1"/>
      <c r="O115" s="1"/>
      <c r="P115" s="1"/>
      <c r="Q115" s="1"/>
      <c r="R115" s="1"/>
      <c r="S115" s="1"/>
      <c r="T115" s="1"/>
      <c r="U115" s="1"/>
      <c r="V115" s="1"/>
    </row>
    <row r="116" spans="1:22">
      <c r="A116" s="13" t="s">
        <v>310</v>
      </c>
      <c r="B116" s="3" t="s">
        <v>311</v>
      </c>
      <c r="C116" s="3" t="s">
        <v>64</v>
      </c>
      <c r="D116" s="3" t="s">
        <v>713</v>
      </c>
      <c r="E116" s="3" t="s">
        <v>21</v>
      </c>
      <c r="F116" s="14">
        <v>44206</v>
      </c>
      <c r="G116" s="14">
        <v>44207</v>
      </c>
      <c r="H116" s="3" t="s">
        <v>22</v>
      </c>
      <c r="I116" s="3" t="s">
        <v>312</v>
      </c>
      <c r="J116" s="3"/>
      <c r="K116" s="3"/>
      <c r="L116" s="3"/>
      <c r="M116" s="1"/>
      <c r="N116" s="1"/>
      <c r="O116" s="1"/>
      <c r="P116" s="1"/>
      <c r="Q116" s="1"/>
      <c r="R116" s="1"/>
      <c r="S116" s="1"/>
      <c r="T116" s="1"/>
      <c r="U116" s="1"/>
      <c r="V116" s="1"/>
    </row>
    <row r="117" spans="1:22">
      <c r="A117" s="13" t="s">
        <v>313</v>
      </c>
      <c r="B117" s="3" t="s">
        <v>314</v>
      </c>
      <c r="C117" s="3" t="s">
        <v>29</v>
      </c>
      <c r="D117" s="3" t="s">
        <v>560</v>
      </c>
      <c r="E117" s="3" t="s">
        <v>21</v>
      </c>
      <c r="F117" s="14">
        <v>44206</v>
      </c>
      <c r="G117" s="14">
        <v>44208</v>
      </c>
      <c r="H117" s="3" t="s">
        <v>22</v>
      </c>
      <c r="I117" s="3" t="s">
        <v>34</v>
      </c>
      <c r="J117" s="3"/>
      <c r="K117" s="3"/>
      <c r="L117" s="3"/>
      <c r="M117" s="1"/>
      <c r="N117" s="1"/>
      <c r="O117" s="1"/>
      <c r="P117" s="1"/>
      <c r="Q117" s="1"/>
      <c r="R117" s="1"/>
      <c r="S117" s="1"/>
      <c r="T117" s="1"/>
      <c r="U117" s="1"/>
      <c r="V117" s="1"/>
    </row>
    <row r="118" spans="1:22" ht="68">
      <c r="A118" s="13" t="s">
        <v>315</v>
      </c>
      <c r="B118" s="3" t="s">
        <v>316</v>
      </c>
      <c r="C118" s="3" t="s">
        <v>176</v>
      </c>
      <c r="D118" s="3" t="s">
        <v>688</v>
      </c>
      <c r="E118" s="3" t="s">
        <v>21</v>
      </c>
      <c r="F118" s="14">
        <v>44206</v>
      </c>
      <c r="G118" s="14">
        <v>44207</v>
      </c>
      <c r="H118" s="3" t="s">
        <v>54</v>
      </c>
      <c r="I118" s="15" t="s">
        <v>317</v>
      </c>
      <c r="J118" s="3"/>
      <c r="K118" s="3"/>
      <c r="L118" s="3" t="s">
        <v>318</v>
      </c>
      <c r="M118" s="1"/>
      <c r="N118" s="1"/>
      <c r="O118" s="1"/>
      <c r="P118" s="1"/>
      <c r="Q118" s="1"/>
      <c r="R118" s="1"/>
      <c r="S118" s="1"/>
      <c r="T118" s="1"/>
      <c r="U118" s="1"/>
      <c r="V118" s="1"/>
    </row>
    <row r="119" spans="1:22" ht="102">
      <c r="A119" s="13" t="s">
        <v>319</v>
      </c>
      <c r="B119" s="3" t="s">
        <v>320</v>
      </c>
      <c r="C119" s="3" t="s">
        <v>64</v>
      </c>
      <c r="D119" s="3" t="s">
        <v>805</v>
      </c>
      <c r="E119" s="3" t="s">
        <v>21</v>
      </c>
      <c r="F119" s="14">
        <v>44206</v>
      </c>
      <c r="G119" s="14">
        <v>44215</v>
      </c>
      <c r="H119" s="3" t="s">
        <v>54</v>
      </c>
      <c r="I119" s="15" t="s">
        <v>321</v>
      </c>
      <c r="J119" s="3"/>
      <c r="K119" s="3"/>
      <c r="L119" s="3" t="s">
        <v>322</v>
      </c>
      <c r="M119" s="1"/>
      <c r="N119" s="1"/>
      <c r="O119" s="1"/>
      <c r="P119" s="1"/>
      <c r="Q119" s="1"/>
      <c r="R119" s="1"/>
      <c r="S119" s="1"/>
      <c r="T119" s="1"/>
      <c r="U119" s="1"/>
      <c r="V119" s="1"/>
    </row>
    <row r="120" spans="1:22" ht="51">
      <c r="A120" s="13" t="s">
        <v>323</v>
      </c>
      <c r="B120" s="3" t="s">
        <v>324</v>
      </c>
      <c r="C120" s="3" t="s">
        <v>305</v>
      </c>
      <c r="D120" s="3" t="s">
        <v>859</v>
      </c>
      <c r="E120" s="3" t="s">
        <v>21</v>
      </c>
      <c r="F120" s="3"/>
      <c r="G120" s="14">
        <v>44207</v>
      </c>
      <c r="H120" s="3" t="s">
        <v>22</v>
      </c>
      <c r="I120" s="15" t="s">
        <v>325</v>
      </c>
      <c r="J120" s="15" t="s">
        <v>326</v>
      </c>
      <c r="K120" s="3" t="s">
        <v>327</v>
      </c>
      <c r="L120" s="3" t="s">
        <v>328</v>
      </c>
      <c r="M120" s="1"/>
      <c r="N120" s="1"/>
      <c r="O120" s="1"/>
      <c r="P120" s="1"/>
      <c r="Q120" s="1"/>
      <c r="R120" s="1"/>
      <c r="S120" s="1"/>
      <c r="T120" s="1"/>
      <c r="U120" s="1"/>
      <c r="V120" s="1"/>
    </row>
    <row r="121" spans="1:22" ht="136">
      <c r="A121" s="13" t="s">
        <v>329</v>
      </c>
      <c r="B121" s="3" t="s">
        <v>330</v>
      </c>
      <c r="C121" s="3" t="s">
        <v>305</v>
      </c>
      <c r="D121" s="3" t="s">
        <v>859</v>
      </c>
      <c r="E121" s="3" t="s">
        <v>21</v>
      </c>
      <c r="F121" s="14">
        <v>44206</v>
      </c>
      <c r="G121" s="14">
        <v>44207</v>
      </c>
      <c r="H121" s="3" t="s">
        <v>22</v>
      </c>
      <c r="I121" s="15" t="s">
        <v>331</v>
      </c>
      <c r="J121" s="3" t="s">
        <v>332</v>
      </c>
      <c r="K121" s="3" t="s">
        <v>333</v>
      </c>
      <c r="L121" s="3" t="s">
        <v>328</v>
      </c>
      <c r="M121" s="1"/>
      <c r="N121" s="1"/>
      <c r="O121" s="1"/>
      <c r="P121" s="1"/>
      <c r="Q121" s="1"/>
      <c r="R121" s="1"/>
      <c r="S121" s="1"/>
      <c r="T121" s="1"/>
      <c r="U121" s="1"/>
      <c r="V121" s="1"/>
    </row>
    <row r="122" spans="1:22" ht="68">
      <c r="A122" s="13" t="s">
        <v>334</v>
      </c>
      <c r="B122" s="3" t="s">
        <v>335</v>
      </c>
      <c r="C122" s="3" t="s">
        <v>305</v>
      </c>
      <c r="D122" s="3" t="s">
        <v>859</v>
      </c>
      <c r="E122" s="3" t="s">
        <v>21</v>
      </c>
      <c r="F122" s="14">
        <v>44207</v>
      </c>
      <c r="G122" s="14">
        <v>44207</v>
      </c>
      <c r="H122" s="3" t="s">
        <v>22</v>
      </c>
      <c r="I122" s="3" t="s">
        <v>336</v>
      </c>
      <c r="J122" s="15" t="s">
        <v>337</v>
      </c>
      <c r="K122" s="15" t="s">
        <v>338</v>
      </c>
      <c r="L122" s="3" t="s">
        <v>328</v>
      </c>
      <c r="M122" s="1"/>
      <c r="N122" s="1"/>
      <c r="O122" s="1"/>
      <c r="P122" s="1"/>
      <c r="Q122" s="1"/>
      <c r="R122" s="1"/>
      <c r="S122" s="1"/>
      <c r="T122" s="1"/>
      <c r="U122" s="1"/>
      <c r="V122" s="1"/>
    </row>
    <row r="123" spans="1:22">
      <c r="A123" s="13" t="s">
        <v>339</v>
      </c>
      <c r="B123" s="3" t="s">
        <v>340</v>
      </c>
      <c r="C123" s="3" t="s">
        <v>64</v>
      </c>
      <c r="D123" s="3" t="s">
        <v>805</v>
      </c>
      <c r="E123" s="3" t="s">
        <v>21</v>
      </c>
      <c r="F123" s="14">
        <v>44206</v>
      </c>
      <c r="G123" s="14">
        <v>44215</v>
      </c>
      <c r="H123" s="3" t="s">
        <v>54</v>
      </c>
      <c r="I123" s="3" t="s">
        <v>341</v>
      </c>
      <c r="J123" s="3"/>
      <c r="K123" s="3"/>
      <c r="L123" s="3" t="s">
        <v>318</v>
      </c>
      <c r="M123" s="1"/>
      <c r="N123" s="1"/>
      <c r="O123" s="1"/>
      <c r="P123" s="1"/>
      <c r="Q123" s="1"/>
      <c r="R123" s="1"/>
      <c r="S123" s="1"/>
      <c r="T123" s="1"/>
      <c r="U123" s="1"/>
      <c r="V123" s="1"/>
    </row>
    <row r="124" spans="1:22" ht="102">
      <c r="A124" s="13" t="s">
        <v>342</v>
      </c>
      <c r="B124" s="3" t="s">
        <v>343</v>
      </c>
      <c r="C124" s="3" t="s">
        <v>29</v>
      </c>
      <c r="D124" s="3" t="s">
        <v>560</v>
      </c>
      <c r="E124" s="3" t="s">
        <v>21</v>
      </c>
      <c r="F124" s="14">
        <v>44206</v>
      </c>
      <c r="G124" s="14">
        <v>44209</v>
      </c>
      <c r="H124" s="3" t="s">
        <v>22</v>
      </c>
      <c r="I124" s="15" t="s">
        <v>344</v>
      </c>
      <c r="J124" s="3"/>
      <c r="K124" s="3"/>
      <c r="L124" s="3"/>
      <c r="M124" s="1"/>
      <c r="N124" s="1"/>
      <c r="O124" s="1"/>
      <c r="P124" s="1"/>
      <c r="Q124" s="1"/>
      <c r="R124" s="1"/>
      <c r="S124" s="1"/>
      <c r="T124" s="1"/>
      <c r="U124" s="1"/>
      <c r="V124" s="1"/>
    </row>
    <row r="125" spans="1:22" ht="136" hidden="1">
      <c r="A125" s="9" t="s">
        <v>345</v>
      </c>
      <c r="B125" s="3" t="s">
        <v>866</v>
      </c>
      <c r="C125" s="3" t="s">
        <v>588</v>
      </c>
      <c r="D125" s="3" t="s">
        <v>560</v>
      </c>
      <c r="E125" s="3" t="s">
        <v>589</v>
      </c>
      <c r="F125" s="14">
        <v>44206</v>
      </c>
      <c r="G125" s="14">
        <v>44208</v>
      </c>
      <c r="H125" s="3" t="s">
        <v>580</v>
      </c>
      <c r="I125" s="15" t="s">
        <v>867</v>
      </c>
      <c r="J125" s="15"/>
      <c r="K125" s="15"/>
      <c r="L125" s="3"/>
      <c r="M125" s="1"/>
      <c r="N125" s="1"/>
      <c r="O125" s="1"/>
      <c r="P125" s="1"/>
      <c r="Q125" s="1"/>
      <c r="R125" s="1"/>
      <c r="S125" s="1"/>
      <c r="T125" s="1"/>
      <c r="U125" s="1"/>
      <c r="V125" s="1"/>
    </row>
    <row r="126" spans="1:22">
      <c r="A126" s="13" t="s">
        <v>346</v>
      </c>
      <c r="B126" s="3" t="s">
        <v>347</v>
      </c>
      <c r="C126" s="3" t="s">
        <v>69</v>
      </c>
      <c r="D126" s="3" t="s">
        <v>724</v>
      </c>
      <c r="E126" s="3" t="s">
        <v>21</v>
      </c>
      <c r="F126" s="14">
        <v>44205</v>
      </c>
      <c r="G126" s="14">
        <v>44214</v>
      </c>
      <c r="H126" s="3" t="s">
        <v>22</v>
      </c>
      <c r="I126" s="3" t="s">
        <v>34</v>
      </c>
      <c r="J126" s="3"/>
      <c r="K126" s="3"/>
      <c r="L126" s="3" t="s">
        <v>205</v>
      </c>
      <c r="M126" s="1"/>
      <c r="N126" s="1"/>
      <c r="O126" s="1"/>
      <c r="P126" s="1"/>
      <c r="Q126" s="1"/>
      <c r="R126" s="1"/>
      <c r="S126" s="1"/>
      <c r="T126" s="1"/>
      <c r="U126" s="1"/>
      <c r="V126" s="1"/>
    </row>
    <row r="127" spans="1:22" ht="306">
      <c r="A127" s="13" t="s">
        <v>348</v>
      </c>
      <c r="B127" s="3" t="s">
        <v>868</v>
      </c>
      <c r="C127" s="3" t="s">
        <v>638</v>
      </c>
      <c r="D127" s="3" t="s">
        <v>713</v>
      </c>
      <c r="E127" s="3" t="s">
        <v>21</v>
      </c>
      <c r="F127" s="14">
        <v>44205</v>
      </c>
      <c r="G127" s="14">
        <v>44211</v>
      </c>
      <c r="H127" s="3" t="s">
        <v>117</v>
      </c>
      <c r="I127" s="3" t="s">
        <v>869</v>
      </c>
      <c r="J127" s="3"/>
      <c r="K127" s="15" t="s">
        <v>870</v>
      </c>
      <c r="L127" s="3" t="s">
        <v>267</v>
      </c>
      <c r="M127" s="1"/>
      <c r="N127" s="1"/>
      <c r="O127" s="1"/>
      <c r="P127" s="1"/>
      <c r="Q127" s="1"/>
      <c r="R127" s="1"/>
      <c r="S127" s="1"/>
      <c r="T127" s="1"/>
      <c r="U127" s="1"/>
      <c r="V127" s="1"/>
    </row>
    <row r="128" spans="1:22" ht="409.6">
      <c r="A128" s="13" t="s">
        <v>349</v>
      </c>
      <c r="B128" s="3" t="s">
        <v>561</v>
      </c>
      <c r="C128" s="3" t="s">
        <v>515</v>
      </c>
      <c r="D128" s="3"/>
      <c r="E128" s="3" t="s">
        <v>516</v>
      </c>
      <c r="F128" s="14">
        <v>44205</v>
      </c>
      <c r="G128" s="3"/>
      <c r="H128" s="3" t="s">
        <v>22</v>
      </c>
      <c r="I128" s="3" t="s">
        <v>562</v>
      </c>
      <c r="J128" s="15" t="s">
        <v>563</v>
      </c>
      <c r="K128" s="15" t="s">
        <v>564</v>
      </c>
      <c r="L128" s="3" t="s">
        <v>565</v>
      </c>
      <c r="M128" s="1"/>
      <c r="N128" s="1"/>
      <c r="O128" s="1"/>
      <c r="P128" s="1"/>
      <c r="Q128" s="1"/>
      <c r="R128" s="1"/>
      <c r="S128" s="1"/>
      <c r="T128" s="1"/>
      <c r="U128" s="1"/>
      <c r="V128" s="1"/>
    </row>
    <row r="129" spans="1:22">
      <c r="A129" s="13" t="s">
        <v>27</v>
      </c>
      <c r="B129" s="3" t="s">
        <v>28</v>
      </c>
      <c r="C129" s="3" t="s">
        <v>64</v>
      </c>
      <c r="D129" s="3" t="s">
        <v>871</v>
      </c>
      <c r="E129" s="3" t="s">
        <v>21</v>
      </c>
      <c r="F129" s="14">
        <v>44205</v>
      </c>
      <c r="G129" s="14">
        <v>44207</v>
      </c>
      <c r="H129" s="3" t="s">
        <v>22</v>
      </c>
      <c r="I129" s="3" t="s">
        <v>30</v>
      </c>
      <c r="J129" s="3"/>
      <c r="K129" s="3"/>
      <c r="L129" s="3" t="s">
        <v>31</v>
      </c>
      <c r="M129" s="1"/>
      <c r="N129" s="1"/>
      <c r="O129" s="1"/>
      <c r="P129" s="1"/>
      <c r="Q129" s="1"/>
      <c r="R129" s="1"/>
      <c r="S129" s="1"/>
      <c r="T129" s="1"/>
      <c r="U129" s="1"/>
      <c r="V129" s="1"/>
    </row>
    <row r="130" spans="1:22">
      <c r="A130" s="13" t="s">
        <v>32</v>
      </c>
      <c r="B130" s="3" t="s">
        <v>33</v>
      </c>
      <c r="C130" s="3" t="s">
        <v>64</v>
      </c>
      <c r="D130" s="3" t="s">
        <v>560</v>
      </c>
      <c r="E130" s="3" t="s">
        <v>21</v>
      </c>
      <c r="F130" s="14">
        <v>44205</v>
      </c>
      <c r="G130" s="14">
        <v>44207</v>
      </c>
      <c r="H130" s="3" t="s">
        <v>22</v>
      </c>
      <c r="I130" s="3" t="s">
        <v>34</v>
      </c>
      <c r="J130" s="3"/>
      <c r="K130" s="3"/>
      <c r="L130" s="3" t="s">
        <v>35</v>
      </c>
      <c r="M130" s="1"/>
      <c r="N130" s="1"/>
      <c r="O130" s="1"/>
      <c r="P130" s="1"/>
      <c r="Q130" s="1"/>
      <c r="R130" s="1"/>
      <c r="S130" s="1"/>
      <c r="T130" s="1"/>
      <c r="U130" s="1"/>
      <c r="V130" s="1"/>
    </row>
    <row r="131" spans="1:22">
      <c r="A131" s="13" t="s">
        <v>36</v>
      </c>
      <c r="B131" s="3" t="s">
        <v>37</v>
      </c>
      <c r="C131" s="3" t="s">
        <v>69</v>
      </c>
      <c r="D131" s="3" t="s">
        <v>872</v>
      </c>
      <c r="E131" s="3" t="s">
        <v>21</v>
      </c>
      <c r="F131" s="14">
        <v>44205</v>
      </c>
      <c r="G131" s="14">
        <v>44216</v>
      </c>
      <c r="H131" s="3" t="s">
        <v>22</v>
      </c>
      <c r="I131" s="3" t="s">
        <v>39</v>
      </c>
      <c r="J131" s="3"/>
      <c r="K131" s="3"/>
      <c r="L131" s="3"/>
      <c r="M131" s="1"/>
      <c r="N131" s="1"/>
      <c r="O131" s="1"/>
      <c r="P131" s="1"/>
      <c r="Q131" s="1"/>
      <c r="R131" s="1"/>
      <c r="S131" s="1"/>
      <c r="T131" s="1"/>
      <c r="U131" s="1"/>
      <c r="V131" s="1"/>
    </row>
    <row r="132" spans="1:22" ht="119">
      <c r="A132" s="13" t="s">
        <v>40</v>
      </c>
      <c r="B132" s="3" t="s">
        <v>41</v>
      </c>
      <c r="C132" s="3" t="s">
        <v>69</v>
      </c>
      <c r="D132" s="3" t="s">
        <v>724</v>
      </c>
      <c r="E132" s="3" t="s">
        <v>21</v>
      </c>
      <c r="F132" s="14">
        <v>44205</v>
      </c>
      <c r="G132" s="14">
        <v>44216</v>
      </c>
      <c r="H132" s="3" t="s">
        <v>22</v>
      </c>
      <c r="I132" s="15" t="s">
        <v>42</v>
      </c>
      <c r="J132" s="3"/>
      <c r="K132" s="3"/>
      <c r="L132" s="3"/>
      <c r="M132" s="1"/>
      <c r="N132" s="1"/>
      <c r="O132" s="1"/>
      <c r="P132" s="1"/>
      <c r="Q132" s="1"/>
      <c r="R132" s="1"/>
      <c r="S132" s="1"/>
      <c r="T132" s="1"/>
      <c r="U132" s="1"/>
      <c r="V132" s="1"/>
    </row>
    <row r="133" spans="1:22">
      <c r="A133" s="13" t="s">
        <v>46</v>
      </c>
      <c r="B133" s="3" t="s">
        <v>47</v>
      </c>
      <c r="C133" s="3" t="s">
        <v>53</v>
      </c>
      <c r="D133" s="3" t="s">
        <v>560</v>
      </c>
      <c r="E133" s="3" t="s">
        <v>21</v>
      </c>
      <c r="F133" s="14">
        <v>44203</v>
      </c>
      <c r="G133" s="14">
        <v>44204</v>
      </c>
      <c r="H133" s="3" t="s">
        <v>22</v>
      </c>
      <c r="I133" s="3" t="s">
        <v>48</v>
      </c>
      <c r="J133" s="3" t="s">
        <v>49</v>
      </c>
      <c r="K133" s="3" t="s">
        <v>50</v>
      </c>
      <c r="L133" s="3"/>
      <c r="M133" s="1"/>
      <c r="N133" s="1"/>
      <c r="O133" s="1"/>
      <c r="P133" s="1"/>
      <c r="Q133" s="1"/>
      <c r="R133" s="1"/>
      <c r="S133" s="1"/>
      <c r="T133" s="1"/>
      <c r="U133" s="1"/>
      <c r="V133" s="1"/>
    </row>
    <row r="134" spans="1:22" ht="85">
      <c r="A134" s="13" t="s">
        <v>51</v>
      </c>
      <c r="B134" s="3" t="s">
        <v>52</v>
      </c>
      <c r="C134" s="3" t="s">
        <v>53</v>
      </c>
      <c r="D134" s="3" t="s">
        <v>560</v>
      </c>
      <c r="E134" s="3" t="s">
        <v>21</v>
      </c>
      <c r="F134" s="14">
        <v>44203</v>
      </c>
      <c r="G134" s="14">
        <v>44204</v>
      </c>
      <c r="H134" s="3" t="s">
        <v>54</v>
      </c>
      <c r="I134" s="15" t="s">
        <v>55</v>
      </c>
      <c r="J134" s="3" t="s">
        <v>56</v>
      </c>
      <c r="K134" s="3" t="s">
        <v>57</v>
      </c>
      <c r="L134" s="15" t="s">
        <v>350</v>
      </c>
      <c r="M134" s="1"/>
      <c r="N134" s="1"/>
      <c r="O134" s="1"/>
      <c r="P134" s="1"/>
      <c r="Q134" s="1"/>
      <c r="R134" s="1"/>
      <c r="S134" s="1"/>
      <c r="T134" s="1"/>
      <c r="U134" s="1"/>
      <c r="V134" s="1"/>
    </row>
    <row r="135" spans="1:22" ht="51">
      <c r="A135" s="13" t="s">
        <v>58</v>
      </c>
      <c r="B135" s="3" t="s">
        <v>59</v>
      </c>
      <c r="C135" s="3" t="s">
        <v>53</v>
      </c>
      <c r="D135" s="3" t="s">
        <v>713</v>
      </c>
      <c r="E135" s="3" t="s">
        <v>21</v>
      </c>
      <c r="F135" s="14">
        <v>44203</v>
      </c>
      <c r="G135" s="14">
        <v>44204</v>
      </c>
      <c r="H135" s="3" t="s">
        <v>22</v>
      </c>
      <c r="I135" s="3" t="s">
        <v>351</v>
      </c>
      <c r="J135" s="15" t="s">
        <v>60</v>
      </c>
      <c r="K135" s="3" t="s">
        <v>45</v>
      </c>
      <c r="L135" s="3"/>
      <c r="M135" s="1"/>
      <c r="N135" s="1"/>
      <c r="O135" s="1"/>
      <c r="P135" s="1"/>
      <c r="Q135" s="1"/>
      <c r="R135" s="1"/>
      <c r="S135" s="1"/>
      <c r="T135" s="1"/>
      <c r="U135" s="1"/>
      <c r="V135" s="1"/>
    </row>
    <row r="136" spans="1:22" ht="323">
      <c r="A136" s="13" t="s">
        <v>61</v>
      </c>
      <c r="B136" s="3" t="s">
        <v>352</v>
      </c>
      <c r="C136" s="3" t="s">
        <v>64</v>
      </c>
      <c r="D136" s="3" t="s">
        <v>873</v>
      </c>
      <c r="E136" s="3" t="s">
        <v>21</v>
      </c>
      <c r="F136" s="14">
        <v>44210</v>
      </c>
      <c r="G136" s="14">
        <v>44211</v>
      </c>
      <c r="H136" s="3" t="s">
        <v>54</v>
      </c>
      <c r="I136" s="15" t="s">
        <v>353</v>
      </c>
      <c r="J136" s="15" t="s">
        <v>354</v>
      </c>
      <c r="K136" s="3" t="s">
        <v>355</v>
      </c>
      <c r="L136" s="3"/>
      <c r="M136" s="1"/>
      <c r="N136" s="1"/>
      <c r="O136" s="1"/>
      <c r="P136" s="1"/>
      <c r="Q136" s="1"/>
      <c r="R136" s="1"/>
      <c r="S136" s="1"/>
      <c r="T136" s="1"/>
      <c r="U136" s="1"/>
      <c r="V136" s="1"/>
    </row>
    <row r="137" spans="1:22" ht="323">
      <c r="A137" s="13" t="s">
        <v>62</v>
      </c>
      <c r="B137" s="3" t="s">
        <v>63</v>
      </c>
      <c r="C137" s="3" t="s">
        <v>64</v>
      </c>
      <c r="D137" s="3" t="s">
        <v>634</v>
      </c>
      <c r="E137" s="3" t="s">
        <v>21</v>
      </c>
      <c r="F137" s="14">
        <v>44202</v>
      </c>
      <c r="G137" s="14">
        <v>44203</v>
      </c>
      <c r="H137" s="3" t="s">
        <v>22</v>
      </c>
      <c r="I137" s="15" t="s">
        <v>356</v>
      </c>
      <c r="J137" s="3" t="s">
        <v>65</v>
      </c>
      <c r="K137" s="15" t="s">
        <v>66</v>
      </c>
      <c r="L137" s="3"/>
      <c r="M137" s="1"/>
      <c r="N137" s="1"/>
      <c r="O137" s="1"/>
      <c r="P137" s="1"/>
      <c r="Q137" s="1"/>
      <c r="R137" s="1"/>
      <c r="S137" s="1"/>
      <c r="T137" s="1"/>
      <c r="U137" s="1"/>
      <c r="V137" s="1"/>
    </row>
    <row r="138" spans="1:22">
      <c r="A138" s="13" t="s">
        <v>67</v>
      </c>
      <c r="B138" s="3" t="s">
        <v>68</v>
      </c>
      <c r="C138" s="3" t="s">
        <v>69</v>
      </c>
      <c r="D138" s="3" t="s">
        <v>872</v>
      </c>
      <c r="E138" s="3" t="s">
        <v>21</v>
      </c>
      <c r="F138" s="14">
        <v>44202</v>
      </c>
      <c r="G138" s="14">
        <v>44203</v>
      </c>
      <c r="H138" s="3" t="s">
        <v>22</v>
      </c>
      <c r="I138" s="3" t="s">
        <v>357</v>
      </c>
      <c r="J138" s="3" t="s">
        <v>358</v>
      </c>
      <c r="K138" s="3" t="s">
        <v>359</v>
      </c>
      <c r="L138" s="3"/>
      <c r="M138" s="1"/>
      <c r="N138" s="1"/>
      <c r="O138" s="1"/>
      <c r="P138" s="1"/>
      <c r="Q138" s="1"/>
      <c r="R138" s="1"/>
      <c r="S138" s="1"/>
      <c r="T138" s="1"/>
      <c r="U138" s="1"/>
      <c r="V138" s="1"/>
    </row>
    <row r="139" spans="1:22" ht="102">
      <c r="A139" s="13" t="s">
        <v>70</v>
      </c>
      <c r="B139" s="3" t="s">
        <v>71</v>
      </c>
      <c r="C139" s="3" t="s">
        <v>72</v>
      </c>
      <c r="D139" s="3" t="s">
        <v>483</v>
      </c>
      <c r="E139" s="3" t="s">
        <v>21</v>
      </c>
      <c r="F139" s="14">
        <v>44202</v>
      </c>
      <c r="G139" s="14">
        <v>44202</v>
      </c>
      <c r="H139" s="3" t="s">
        <v>22</v>
      </c>
      <c r="I139" s="3" t="s">
        <v>360</v>
      </c>
      <c r="J139" s="15" t="s">
        <v>361</v>
      </c>
      <c r="K139" s="3" t="s">
        <v>44</v>
      </c>
      <c r="L139" s="3"/>
      <c r="M139" s="1"/>
      <c r="N139" s="1"/>
      <c r="O139" s="1"/>
      <c r="P139" s="1"/>
      <c r="Q139" s="1"/>
      <c r="R139" s="1"/>
      <c r="S139" s="1"/>
      <c r="T139" s="1"/>
      <c r="U139" s="1"/>
      <c r="V139" s="1"/>
    </row>
    <row r="140" spans="1:22">
      <c r="A140" s="13" t="s">
        <v>73</v>
      </c>
      <c r="B140" s="3" t="s">
        <v>362</v>
      </c>
      <c r="C140" s="3" t="s">
        <v>72</v>
      </c>
      <c r="D140" s="3" t="s">
        <v>560</v>
      </c>
      <c r="E140" s="3" t="s">
        <v>21</v>
      </c>
      <c r="F140" s="14">
        <v>44202</v>
      </c>
      <c r="G140" s="14">
        <v>44208</v>
      </c>
      <c r="H140" s="3" t="s">
        <v>22</v>
      </c>
      <c r="I140" s="3" t="s">
        <v>363</v>
      </c>
      <c r="J140" s="3" t="s">
        <v>44</v>
      </c>
      <c r="K140" s="3" t="s">
        <v>44</v>
      </c>
      <c r="L140" s="3"/>
      <c r="M140" s="1"/>
      <c r="N140" s="1"/>
      <c r="O140" s="1"/>
      <c r="P140" s="1"/>
      <c r="Q140" s="1"/>
      <c r="R140" s="1"/>
      <c r="S140" s="1"/>
      <c r="T140" s="1"/>
      <c r="U140" s="1"/>
      <c r="V140" s="1"/>
    </row>
    <row r="141" spans="1:22" ht="170" hidden="1">
      <c r="A141" s="9" t="s">
        <v>74</v>
      </c>
      <c r="B141" s="3" t="s">
        <v>874</v>
      </c>
      <c r="C141" s="3" t="s">
        <v>610</v>
      </c>
      <c r="D141" s="3" t="s">
        <v>483</v>
      </c>
      <c r="E141" s="3" t="s">
        <v>589</v>
      </c>
      <c r="F141" s="14">
        <v>44202</v>
      </c>
      <c r="G141" s="14">
        <v>44216</v>
      </c>
      <c r="H141" s="3" t="s">
        <v>580</v>
      </c>
      <c r="I141" s="15" t="s">
        <v>875</v>
      </c>
      <c r="J141" s="15" t="s">
        <v>876</v>
      </c>
      <c r="K141" s="15" t="s">
        <v>877</v>
      </c>
      <c r="L141" s="3"/>
      <c r="M141" s="1"/>
      <c r="N141" s="1"/>
      <c r="O141" s="1"/>
      <c r="P141" s="1"/>
      <c r="Q141" s="1"/>
      <c r="R141" s="1"/>
      <c r="S141" s="1"/>
      <c r="T141" s="1"/>
      <c r="U141" s="1"/>
      <c r="V141" s="1"/>
    </row>
    <row r="142" spans="1:22" ht="85">
      <c r="A142" s="13" t="s">
        <v>75</v>
      </c>
      <c r="B142" s="3" t="s">
        <v>76</v>
      </c>
      <c r="C142" s="3" t="s">
        <v>29</v>
      </c>
      <c r="D142" s="3" t="s">
        <v>560</v>
      </c>
      <c r="E142" s="3" t="s">
        <v>21</v>
      </c>
      <c r="F142" s="14">
        <v>44202</v>
      </c>
      <c r="G142" s="14">
        <v>44207</v>
      </c>
      <c r="H142" s="3" t="s">
        <v>22</v>
      </c>
      <c r="I142" s="15" t="s">
        <v>77</v>
      </c>
      <c r="J142" s="3"/>
      <c r="K142" s="3"/>
      <c r="L142" s="3"/>
      <c r="M142" s="1"/>
      <c r="N142" s="1"/>
      <c r="O142" s="1"/>
      <c r="P142" s="1"/>
      <c r="Q142" s="1"/>
      <c r="R142" s="1"/>
      <c r="S142" s="1"/>
      <c r="T142" s="1"/>
      <c r="U142" s="1"/>
    </row>
    <row r="143" spans="1:22" ht="409.6">
      <c r="A143" s="13" t="s">
        <v>78</v>
      </c>
      <c r="B143" s="3" t="s">
        <v>878</v>
      </c>
      <c r="C143" s="3" t="s">
        <v>38</v>
      </c>
      <c r="D143" s="3" t="s">
        <v>724</v>
      </c>
      <c r="E143" s="3" t="s">
        <v>21</v>
      </c>
      <c r="F143" s="14">
        <v>44202</v>
      </c>
      <c r="G143" s="14">
        <v>44204</v>
      </c>
      <c r="H143" s="3" t="s">
        <v>22</v>
      </c>
      <c r="I143" s="3" t="s">
        <v>879</v>
      </c>
      <c r="J143" s="15" t="s">
        <v>880</v>
      </c>
      <c r="K143" s="3" t="s">
        <v>881</v>
      </c>
      <c r="L143" s="3"/>
      <c r="M143" s="1"/>
      <c r="N143" s="1"/>
      <c r="O143" s="1"/>
      <c r="P143" s="1"/>
      <c r="Q143" s="1"/>
      <c r="R143" s="1"/>
      <c r="S143" s="1"/>
      <c r="T143" s="1"/>
      <c r="U143" s="1"/>
    </row>
    <row r="144" spans="1:22" ht="409.6">
      <c r="A144" s="13" t="s">
        <v>79</v>
      </c>
      <c r="B144" s="3" t="s">
        <v>566</v>
      </c>
      <c r="C144" s="3" t="s">
        <v>72</v>
      </c>
      <c r="D144" s="3"/>
      <c r="E144" s="3" t="s">
        <v>516</v>
      </c>
      <c r="F144" s="14">
        <v>44202</v>
      </c>
      <c r="G144" s="3"/>
      <c r="H144" s="3" t="s">
        <v>22</v>
      </c>
      <c r="I144" s="15" t="s">
        <v>567</v>
      </c>
      <c r="J144" s="15" t="s">
        <v>568</v>
      </c>
      <c r="K144" s="15" t="s">
        <v>569</v>
      </c>
      <c r="L144" s="3"/>
      <c r="M144" s="1"/>
      <c r="N144" s="1"/>
      <c r="O144" s="1"/>
      <c r="P144" s="1"/>
      <c r="Q144" s="1"/>
      <c r="R144" s="1"/>
      <c r="S144" s="1"/>
      <c r="T144" s="1"/>
      <c r="U144" s="1"/>
    </row>
    <row r="145" spans="1:21">
      <c r="A145" s="3"/>
      <c r="B145" s="3"/>
      <c r="C145" s="3"/>
      <c r="D145" s="3"/>
      <c r="E145" s="3"/>
      <c r="F145" s="3"/>
      <c r="G145" s="3"/>
      <c r="H145" s="3"/>
      <c r="I145" s="3"/>
      <c r="J145" s="3"/>
      <c r="K145" s="3"/>
      <c r="L145" s="3"/>
      <c r="M145" s="1"/>
      <c r="N145" s="1"/>
      <c r="O145" s="1"/>
      <c r="P145" s="1"/>
      <c r="Q145" s="1"/>
      <c r="R145" s="1"/>
      <c r="S145" s="1"/>
      <c r="T145" s="1"/>
      <c r="U145" s="1"/>
    </row>
    <row r="146" spans="1:21">
      <c r="I146"/>
      <c r="J146"/>
      <c r="K146"/>
    </row>
    <row r="147" spans="1:21">
      <c r="I147"/>
      <c r="J147"/>
      <c r="K147"/>
    </row>
    <row r="148" spans="1:21">
      <c r="I148"/>
      <c r="J148"/>
      <c r="K148"/>
    </row>
    <row r="149" spans="1:21">
      <c r="I149"/>
      <c r="J149"/>
      <c r="K149"/>
    </row>
    <row r="150" spans="1:21">
      <c r="I150"/>
      <c r="J150"/>
      <c r="K150"/>
    </row>
    <row r="151" spans="1:21">
      <c r="I151"/>
      <c r="J151"/>
      <c r="K151"/>
    </row>
    <row r="152" spans="1:21">
      <c r="I152"/>
      <c r="J152"/>
      <c r="K152"/>
    </row>
    <row r="153" spans="1:21">
      <c r="I153"/>
      <c r="J153"/>
      <c r="K153"/>
    </row>
    <row r="154" spans="1:21">
      <c r="I154"/>
      <c r="J154"/>
      <c r="K154"/>
    </row>
    <row r="155" spans="1:21">
      <c r="I155"/>
      <c r="J155"/>
      <c r="K155"/>
    </row>
    <row r="156" spans="1:21">
      <c r="I156"/>
      <c r="J156"/>
      <c r="K156"/>
    </row>
    <row r="157" spans="1:21">
      <c r="I157"/>
      <c r="J157"/>
      <c r="K157"/>
    </row>
    <row r="158" spans="1:21">
      <c r="I158"/>
      <c r="J158"/>
      <c r="K158"/>
    </row>
    <row r="159" spans="1:21">
      <c r="I159"/>
      <c r="J159"/>
      <c r="K159"/>
    </row>
    <row r="160" spans="1:21">
      <c r="I160"/>
      <c r="J160"/>
      <c r="K160"/>
    </row>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41" xr:uid="{74DFAF9E-0219-45F1-9849-259CB8942152}">
    <filterColumn colId="4">
      <filters>
        <filter val="完了"/>
      </filters>
    </filterColumn>
  </autoFilter>
  <mergeCells count="2">
    <mergeCell ref="B1:C1"/>
    <mergeCell ref="B2:C2"/>
  </mergeCells>
  <phoneticPr fontId="4"/>
  <hyperlinks>
    <hyperlink ref="A6" r:id="rId1" xr:uid="{B87BAF40-0463-4421-80DD-CADCA06313CE}"/>
    <hyperlink ref="A7" r:id="rId2" xr:uid="{6C9D25B1-48E5-4E9B-A3B4-2766191521D9}"/>
    <hyperlink ref="A8" r:id="rId3" xr:uid="{29C9767A-C937-49A4-B30C-0ABC8E42F116}"/>
    <hyperlink ref="A9" r:id="rId4" xr:uid="{5145F892-03B5-40FB-8692-BF8B273C1BB5}"/>
    <hyperlink ref="A13" r:id="rId5" xr:uid="{FAE8E787-7033-4B04-9CEE-56E306839BD8}"/>
    <hyperlink ref="A14" r:id="rId6" xr:uid="{E4195255-2E78-45B5-ACAF-EB617BAAF48D}"/>
    <hyperlink ref="A15" r:id="rId7" xr:uid="{8C305CD6-F56F-4559-8B8C-9D8E13EBC434}"/>
    <hyperlink ref="A17" r:id="rId8" xr:uid="{8D7DF8A0-AD03-4570-A215-3C23E4CEF5F3}"/>
    <hyperlink ref="A18" r:id="rId9" xr:uid="{92C81CFA-A546-480C-B318-CFE8F4650AB8}"/>
    <hyperlink ref="A23" r:id="rId10" xr:uid="{8FE3D319-6444-4665-A819-AB2C5911F4D0}"/>
    <hyperlink ref="A25" r:id="rId11" xr:uid="{74B7FCB4-1B50-4294-B225-73C4E408D296}"/>
    <hyperlink ref="A27" r:id="rId12" xr:uid="{D434F2C5-9642-415F-AD45-44EBF5099D84}"/>
    <hyperlink ref="A28" r:id="rId13" xr:uid="{E372F7AD-065E-471E-97B4-4B014AE91BDA}"/>
    <hyperlink ref="A31" r:id="rId14" xr:uid="{5DCAA400-6B37-4E69-910B-7DDAE48F2DCB}"/>
    <hyperlink ref="A32" r:id="rId15" xr:uid="{10A886EF-16AA-4E45-BA6E-07E9A1FF6E76}"/>
    <hyperlink ref="A34" r:id="rId16" xr:uid="{18458C5E-7984-4D4F-B6EC-9111F2BAD35B}"/>
    <hyperlink ref="A35" r:id="rId17" xr:uid="{192A2786-21A2-4CC9-ACB1-E881D6A30EEF}"/>
    <hyperlink ref="A37" r:id="rId18" xr:uid="{EC612F13-9828-4CAC-BFEE-45DDD81A6877}"/>
    <hyperlink ref="A41" r:id="rId19" xr:uid="{5C7B40B2-C902-47A1-B89C-03AE595B826A}"/>
    <hyperlink ref="A45" r:id="rId20" xr:uid="{1BC32CDE-5632-405E-AC9D-A10898A70C6D}"/>
    <hyperlink ref="A46" r:id="rId21" xr:uid="{B7C91D12-379E-4A30-A6B3-167A9B94C33A}"/>
    <hyperlink ref="A51" r:id="rId22" xr:uid="{D4B8C1DF-6ECA-4D5F-90B6-0875582B23E6}"/>
    <hyperlink ref="A54" r:id="rId23" xr:uid="{E8AA9CFF-9D64-4103-9D56-9F5310157C02}"/>
    <hyperlink ref="A56" r:id="rId24" xr:uid="{42913A89-BF1D-44B2-9FEE-4A6F3DFFF7D8}"/>
    <hyperlink ref="A59" r:id="rId25" xr:uid="{9A318E5F-4704-4D2E-89A0-5D1C2B30E0C8}"/>
    <hyperlink ref="A60" r:id="rId26" xr:uid="{0769D633-1902-4BA7-8B8A-A7DD27E6C3BC}"/>
    <hyperlink ref="A70" r:id="rId27" xr:uid="{77A88BF8-6ED8-4F7F-B2DC-FF0A2560E628}"/>
    <hyperlink ref="A73" r:id="rId28" xr:uid="{888FFD2C-6867-46CB-A0AF-E68265A20A36}"/>
    <hyperlink ref="A74" r:id="rId29" xr:uid="{F19FA2C7-5776-465E-A906-9B09D7EFCAF5}"/>
    <hyperlink ref="A78" r:id="rId30" xr:uid="{BBCDE702-A74C-4271-BCE1-9F70F18F7CEA}"/>
    <hyperlink ref="A79" r:id="rId31" xr:uid="{9E87C92D-49EF-4ADC-BD8E-AC8EF2290269}"/>
    <hyperlink ref="A81" r:id="rId32" xr:uid="{83ACC4E7-F333-4D9E-B641-BF27664D88D3}"/>
    <hyperlink ref="A88" r:id="rId33" xr:uid="{76B6C7DF-B22C-4D67-8676-C018B39EE6B4}"/>
    <hyperlink ref="A91" r:id="rId34" xr:uid="{073F3F68-E511-48EF-A3BE-4FC8241DEBEB}"/>
    <hyperlink ref="A92" r:id="rId35" xr:uid="{0948E677-38BE-43E4-AC55-84C53126BEB3}"/>
    <hyperlink ref="A93" r:id="rId36" xr:uid="{73D7F436-BCE2-47F1-9259-13285D856DC4}"/>
    <hyperlink ref="A94" r:id="rId37" xr:uid="{79A7590C-9C17-474C-8E4E-8AC75C1F2B78}"/>
    <hyperlink ref="A95" r:id="rId38" xr:uid="{37AE221B-C8F5-4676-BC16-FFBBC88C5BF6}"/>
    <hyperlink ref="A96" r:id="rId39" xr:uid="{764BE1F1-B93F-404C-A98A-F8B4D9C641C5}"/>
    <hyperlink ref="A100" r:id="rId40" xr:uid="{40DC4D0F-564D-44F3-B6CF-10490E44EC88}"/>
    <hyperlink ref="A102" r:id="rId41" xr:uid="{653379D7-7C1E-4868-BA31-1D28DAE9890B}"/>
    <hyperlink ref="A103" r:id="rId42" xr:uid="{C1D44E0A-B25C-41DA-8FC0-EEE242EE2684}"/>
    <hyperlink ref="A104" r:id="rId43" xr:uid="{347B7057-E86D-4FC4-8996-F3E7873937D4}"/>
    <hyperlink ref="A111" r:id="rId44" xr:uid="{E73F8D0D-2EE8-469D-9975-C7AD40EB3A13}"/>
    <hyperlink ref="A112" r:id="rId45" xr:uid="{EAA18312-FA76-40B1-B137-652258B9FF93}"/>
    <hyperlink ref="A125" r:id="rId46" xr:uid="{F53BCA76-F526-40B2-B7AB-35E1529C67F1}"/>
    <hyperlink ref="A141" r:id="rId47" xr:uid="{35803575-C04B-4112-BFFF-02ED8E735C0D}"/>
    <hyperlink ref="A10" r:id="rId48" xr:uid="{3AC4CF0C-5915-492A-AD53-D09D970E6CAE}"/>
    <hyperlink ref="A11" r:id="rId49" xr:uid="{012BDD35-C2E5-4D92-B0AA-8F7F2A8D9BB0}"/>
    <hyperlink ref="A12" r:id="rId50" xr:uid="{10E3C134-AF9E-4FA9-85A1-87B232C54DB8}"/>
    <hyperlink ref="A16" r:id="rId51" xr:uid="{707AEC5C-BBCB-4D4A-8CE3-A894221578AF}"/>
    <hyperlink ref="A19" r:id="rId52" xr:uid="{E9937868-8B67-40FE-8981-930BA1B0F157}"/>
    <hyperlink ref="A20" r:id="rId53" xr:uid="{CD51767B-D197-473F-B1AC-6DFE680C8EA5}"/>
    <hyperlink ref="A21" r:id="rId54" xr:uid="{3A7100E7-99FD-46E5-AF0C-076EE3B962C6}"/>
    <hyperlink ref="A22" r:id="rId55" xr:uid="{3A4FBF6B-F46E-40FE-B7E0-829564B5025A}"/>
    <hyperlink ref="A24" r:id="rId56" xr:uid="{E4206640-A3EA-47A3-9856-A50063A09B6C}"/>
    <hyperlink ref="A26" r:id="rId57" xr:uid="{F6664873-4666-42C4-9E3D-67592E5494F0}"/>
    <hyperlink ref="A29" r:id="rId58" xr:uid="{D99C1AFB-7EC5-48AC-84DD-9DB3DDE5B0A6}"/>
    <hyperlink ref="A30" r:id="rId59" xr:uid="{57D84317-34CF-465E-A2D6-50327EED577F}"/>
    <hyperlink ref="A33" r:id="rId60" xr:uid="{1D9EF1D9-6B35-4BA1-AB2D-40CC69BC8B17}"/>
    <hyperlink ref="A36" r:id="rId61" xr:uid="{60130A59-6288-443B-AB0F-314A98785D47}"/>
    <hyperlink ref="A38" r:id="rId62" xr:uid="{3A58EF16-2A10-4706-8BBC-0AC3539F4011}"/>
    <hyperlink ref="A39" r:id="rId63" xr:uid="{5FB89021-72E3-4DF0-86F2-7CC07C926FFA}"/>
    <hyperlink ref="A40" r:id="rId64" xr:uid="{930811C9-DBC2-4C1D-9EFB-249FC5CAF86D}"/>
    <hyperlink ref="A42" r:id="rId65" xr:uid="{BFA465C3-DF5A-4F8B-B0EF-9A46168426D3}"/>
    <hyperlink ref="A43" r:id="rId66" xr:uid="{8E7B5EC1-F4BD-47DB-8BE6-8704FE048388}"/>
    <hyperlink ref="A44" r:id="rId67" xr:uid="{8F2A7B9A-4E23-4E02-972F-38827F873071}"/>
    <hyperlink ref="A47" r:id="rId68" xr:uid="{5D82FF12-B6E9-4B7B-B7BB-510C4A09CB02}"/>
    <hyperlink ref="A48" r:id="rId69" xr:uid="{5CA841B8-DA13-4791-88DD-186612F36607}"/>
    <hyperlink ref="A49" r:id="rId70" xr:uid="{BEF7CAFC-492B-4DD4-9D62-A6395DB6AD72}"/>
    <hyperlink ref="A50" r:id="rId71" xr:uid="{BAF28B2D-BDD0-4B58-8990-4B1187F59F88}"/>
    <hyperlink ref="A52" r:id="rId72" xr:uid="{8FF6124E-FB24-43EB-81E5-693B82A63C34}"/>
    <hyperlink ref="A53" r:id="rId73" xr:uid="{5480994C-A830-4562-9BA7-152F9A445258}"/>
    <hyperlink ref="A55" r:id="rId74" xr:uid="{888725FC-0FC8-4C12-B714-8B79BF93708B}"/>
    <hyperlink ref="A57" r:id="rId75" xr:uid="{23D3122D-91CB-4878-8D92-1B0F11D647BE}"/>
    <hyperlink ref="A58" r:id="rId76" xr:uid="{01F89FED-9443-4A63-8244-EEE4ABF53BD9}"/>
    <hyperlink ref="A61" r:id="rId77" xr:uid="{BDF268AE-8F4A-4E81-8CF8-67014746294F}"/>
    <hyperlink ref="A62" r:id="rId78" xr:uid="{515A91A4-FD32-4178-9FEF-F631E8E70396}"/>
    <hyperlink ref="A63" r:id="rId79" xr:uid="{6C2D79AB-0EBB-4E48-9608-05D037ABEB30}"/>
    <hyperlink ref="A64" r:id="rId80" xr:uid="{A4DA6EF9-08C4-4873-903A-148EA3FE4CCF}"/>
    <hyperlink ref="A65" r:id="rId81" xr:uid="{7AE6E8AA-999C-460A-9E86-5F8821AFB10A}"/>
    <hyperlink ref="A66" r:id="rId82" xr:uid="{034B048F-7B3F-4975-AE10-3F2FF59BE29B}"/>
    <hyperlink ref="A67" r:id="rId83" xr:uid="{4FA893E5-4427-42B5-A300-01A5EE11FEBD}"/>
    <hyperlink ref="A68" r:id="rId84" xr:uid="{6C79A437-79F9-41BC-873A-912DFD148EE0}"/>
    <hyperlink ref="A69" r:id="rId85" xr:uid="{EEE000FB-B0B9-4DD3-93FA-413850BFD6DB}"/>
    <hyperlink ref="A71" r:id="rId86" xr:uid="{A90BD921-484D-41FF-AEFB-FFCA2379A132}"/>
    <hyperlink ref="A72" r:id="rId87" xr:uid="{EE29255C-9CEF-498F-804B-630937FC0AE9}"/>
    <hyperlink ref="A75" r:id="rId88" xr:uid="{0B5001E7-E0F0-4C80-A0DD-94E9722596F3}"/>
    <hyperlink ref="A76" r:id="rId89" xr:uid="{56B75CED-3419-4E59-B2CD-9D12E4662FF6}"/>
    <hyperlink ref="A77" r:id="rId90" xr:uid="{75F7EB83-1489-433E-AFB6-28B9ABE8D128}"/>
    <hyperlink ref="A80" r:id="rId91" xr:uid="{A52FA41A-A9B2-4469-8316-064363B0A6A6}"/>
    <hyperlink ref="A82" r:id="rId92" xr:uid="{264CE8DD-ABEF-4B7A-8AE9-42D443BCF292}"/>
    <hyperlink ref="A83" r:id="rId93" xr:uid="{78822137-5398-4A7F-A0F1-81F767244F83}"/>
    <hyperlink ref="A84" r:id="rId94" xr:uid="{B1A0F3B3-4DF8-4316-AC85-DC0AB37A3490}"/>
    <hyperlink ref="A85" r:id="rId95" xr:uid="{84F0ABB5-DF54-4CD5-9745-4C6FE1F3A491}"/>
    <hyperlink ref="A86" r:id="rId96" xr:uid="{3B2E8DAF-D154-4A7C-AF39-654FCFFA116B}"/>
    <hyperlink ref="A87" r:id="rId97" xr:uid="{C990418D-06ED-4A4F-8202-F111F41F06D7}"/>
    <hyperlink ref="A89" r:id="rId98" xr:uid="{1AF431E8-3682-4A30-B67D-DBAB40876122}"/>
    <hyperlink ref="A90" r:id="rId99" xr:uid="{F13D0494-1410-4720-AE38-4B404CC98B30}"/>
    <hyperlink ref="A97" r:id="rId100" xr:uid="{C3A450D5-A01A-4C99-B80B-F80219182F6E}"/>
    <hyperlink ref="A98" r:id="rId101" xr:uid="{D6ADC4B9-3E65-420E-9926-10D463C05369}"/>
    <hyperlink ref="A99" r:id="rId102" xr:uid="{1649A4DB-19C5-4342-AE7A-7F21EAE0B19A}"/>
    <hyperlink ref="A101" r:id="rId103" xr:uid="{52DD17C5-C302-4B77-AC05-EEEF212B8C9F}"/>
    <hyperlink ref="A105" r:id="rId104" xr:uid="{5C3E33B7-7DCC-483D-8026-4B66E96E1240}"/>
    <hyperlink ref="A106" r:id="rId105" xr:uid="{69725A1C-3B51-42BD-81CF-67AA43CB253F}"/>
    <hyperlink ref="A107" r:id="rId106" xr:uid="{59BF9417-A3D6-4ECA-A734-57203C3A6043}"/>
    <hyperlink ref="A108" r:id="rId107" xr:uid="{62A5744A-6F1D-42D7-8E5F-D736FB3FBA10}"/>
    <hyperlink ref="A109" r:id="rId108" xr:uid="{12A526D2-DB2B-4DFE-864E-26005174075A}"/>
    <hyperlink ref="A110" r:id="rId109" xr:uid="{503A133E-650F-46EC-90D7-8A628F0E2E29}"/>
    <hyperlink ref="A113" r:id="rId110" xr:uid="{0D9C587F-C8C0-4B6C-A9F0-321A6A7E461E}"/>
    <hyperlink ref="A114" r:id="rId111" xr:uid="{E7A3B9C5-F17B-42E8-B907-AB53E93AA98C}"/>
    <hyperlink ref="A115" r:id="rId112" xr:uid="{C761D888-2B87-478C-A14E-D6C324D972C9}"/>
    <hyperlink ref="A116" r:id="rId113" xr:uid="{25FEBD64-EC59-41B5-B95D-5DFC7FC61CB0}"/>
    <hyperlink ref="A117" r:id="rId114" xr:uid="{02797A0E-7CB0-4B15-A52F-22BCD16CBEAD}"/>
    <hyperlink ref="A118" r:id="rId115" xr:uid="{DC90B261-4B81-46B5-89A4-58A0E07C7196}"/>
    <hyperlink ref="A119" r:id="rId116" xr:uid="{DD4E3E7A-CE55-4961-A900-BEAEFCD28574}"/>
    <hyperlink ref="A120" r:id="rId117" xr:uid="{18DFEBB0-5E7A-4776-A86C-39805294A73C}"/>
    <hyperlink ref="A121" r:id="rId118" xr:uid="{BAFB6DA1-1B51-4C1A-9A66-602D5636226D}"/>
    <hyperlink ref="A122" r:id="rId119" xr:uid="{F22CDD03-55AA-44CA-B45A-F301B6A24549}"/>
    <hyperlink ref="A123" r:id="rId120" xr:uid="{EE2CFD29-36E4-44DD-97E8-C318D4CBC8EC}"/>
    <hyperlink ref="A124" r:id="rId121" xr:uid="{7789A62A-AD48-4740-83D6-05827F1F9FD6}"/>
    <hyperlink ref="A126" r:id="rId122" xr:uid="{283A1954-7268-48BE-A90C-73670F21C6AD}"/>
    <hyperlink ref="A127" r:id="rId123" xr:uid="{923509DA-2D31-45A3-91F8-FBECA3B2BE19}"/>
    <hyperlink ref="A128" r:id="rId124" xr:uid="{246B462B-7F0D-4EB6-A6A7-374C8356756C}"/>
    <hyperlink ref="A129" r:id="rId125" xr:uid="{1A29DA3E-2316-478C-9662-EB7DAF54573C}"/>
    <hyperlink ref="A130" r:id="rId126" xr:uid="{772C2C27-5DD6-4DFD-BA36-D7710CECF726}"/>
    <hyperlink ref="A131" r:id="rId127" xr:uid="{EFDDDB35-B871-42AF-9470-BE08D44F74D7}"/>
    <hyperlink ref="A132" r:id="rId128" xr:uid="{47772581-2A37-4283-8C9E-B2800C48F871}"/>
    <hyperlink ref="A133" r:id="rId129" xr:uid="{8B4BD6FF-B2BD-416B-A2F5-9E303355EAA1}"/>
    <hyperlink ref="A134" r:id="rId130" xr:uid="{D787A23D-C055-42B6-BF80-9B0E0CB78041}"/>
    <hyperlink ref="A135" r:id="rId131" xr:uid="{1B2E9612-1B1D-46CF-AACC-BE5CFF9FFF4B}"/>
    <hyperlink ref="A136" r:id="rId132" xr:uid="{0B622567-B590-4A01-9F28-41A716156D86}"/>
    <hyperlink ref="A137" r:id="rId133" xr:uid="{A8591EED-C028-467A-9405-AA9D279D5BDB}"/>
    <hyperlink ref="A138" r:id="rId134" xr:uid="{8A42C232-A166-4441-9D67-E75D401316F4}"/>
    <hyperlink ref="A139" r:id="rId135" xr:uid="{8555ED14-9903-4B66-9F73-5015C70F809A}"/>
    <hyperlink ref="A140" r:id="rId136" xr:uid="{DEEEAEFB-A27C-4C79-85E7-766F8145BE79}"/>
    <hyperlink ref="A142" r:id="rId137" xr:uid="{B2D55242-A78F-4766-8C4A-7422BBA64638}"/>
    <hyperlink ref="A143" r:id="rId138" xr:uid="{9C4C0445-501B-4933-A34D-441F1FA2D3DB}"/>
    <hyperlink ref="A144" r:id="rId139" xr:uid="{56504D27-2E75-4816-AC58-2639761D950E}"/>
  </hyperlinks>
  <pageMargins left="0.7" right="0.7" top="0.75" bottom="0.75" header="0.3" footer="0.3"/>
  <pageSetup paperSize="9" orientation="portrait" r:id="rId140"/>
  <drawing r:id="rId141"/>
  <legacyDrawing r:id="rId142"/>
  <mc:AlternateContent xmlns:mc="http://schemas.openxmlformats.org/markup-compatibility/2006">
    <mc:Choice Requires="x14">
      <controls>
        <mc:AlternateContent xmlns:mc="http://schemas.openxmlformats.org/markup-compatibility/2006">
          <mc:Choice Requires="x14">
            <control shapeId="18433" r:id="rId14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4" t="s">
        <v>84</v>
      </c>
      <c r="C1" s="104"/>
      <c r="D1" s="52"/>
    </row>
    <row r="2" spans="1:22">
      <c r="A2" s="10" t="s">
        <v>2</v>
      </c>
      <c r="B2" s="104">
        <f>VLOOKUP(B1,親課題リスト!D4:E6,2)</f>
        <v>10929022</v>
      </c>
      <c r="C2" s="104"/>
      <c r="D2" s="52"/>
    </row>
    <row r="3" spans="1:22">
      <c r="A3" s="12" t="s">
        <v>882</v>
      </c>
      <c r="B3" s="12"/>
    </row>
    <row r="4" spans="1:22" ht="6.75" customHeight="1"/>
    <row r="5" spans="1:22" ht="40.5" customHeight="1">
      <c r="A5" s="17" t="s">
        <v>11</v>
      </c>
      <c r="B5" s="17" t="s">
        <v>3</v>
      </c>
      <c r="C5" s="17" t="s">
        <v>12</v>
      </c>
      <c r="D5" s="16" t="s">
        <v>482</v>
      </c>
      <c r="E5" s="17" t="s">
        <v>13</v>
      </c>
      <c r="F5" s="17" t="s">
        <v>14</v>
      </c>
      <c r="G5" s="17" t="s">
        <v>15</v>
      </c>
      <c r="H5" s="16" t="s">
        <v>19</v>
      </c>
      <c r="I5" s="17" t="s">
        <v>16</v>
      </c>
      <c r="J5" s="16" t="s">
        <v>17</v>
      </c>
      <c r="K5" s="16" t="s">
        <v>18</v>
      </c>
      <c r="L5" s="16" t="s">
        <v>25</v>
      </c>
    </row>
    <row r="6" spans="1:22" ht="409.6">
      <c r="A6" s="13" t="s">
        <v>364</v>
      </c>
      <c r="B6" s="3" t="s">
        <v>100</v>
      </c>
      <c r="C6" s="3" t="s">
        <v>90</v>
      </c>
      <c r="D6" s="3"/>
      <c r="E6" s="3" t="s">
        <v>20</v>
      </c>
      <c r="F6" s="14">
        <v>44216</v>
      </c>
      <c r="G6" s="3"/>
      <c r="H6" s="3" t="s">
        <v>22</v>
      </c>
      <c r="I6" s="15" t="s">
        <v>365</v>
      </c>
      <c r="J6" s="3"/>
      <c r="K6" s="3"/>
      <c r="L6" s="3"/>
      <c r="M6" s="1"/>
      <c r="N6" s="1"/>
      <c r="O6" s="1"/>
      <c r="P6" s="1"/>
      <c r="Q6" s="1"/>
      <c r="R6" s="1"/>
      <c r="S6" s="1"/>
      <c r="T6" s="1"/>
      <c r="U6" s="1"/>
      <c r="V6" s="1"/>
    </row>
    <row r="7" spans="1:22" ht="119">
      <c r="A7" s="13" t="s">
        <v>366</v>
      </c>
      <c r="B7" s="3" t="s">
        <v>367</v>
      </c>
      <c r="C7" s="3" t="s">
        <v>64</v>
      </c>
      <c r="D7" s="3" t="s">
        <v>634</v>
      </c>
      <c r="E7" s="3" t="s">
        <v>21</v>
      </c>
      <c r="F7" s="14">
        <v>44215</v>
      </c>
      <c r="G7" s="14">
        <v>44217</v>
      </c>
      <c r="H7" s="3" t="s">
        <v>22</v>
      </c>
      <c r="I7" s="15" t="s">
        <v>368</v>
      </c>
      <c r="J7" s="3"/>
      <c r="K7" s="3"/>
      <c r="L7" s="3"/>
      <c r="M7" s="1"/>
      <c r="N7" s="1"/>
      <c r="O7" s="1"/>
      <c r="P7" s="1"/>
      <c r="Q7" s="1"/>
      <c r="R7" s="1"/>
      <c r="S7" s="1"/>
      <c r="T7" s="1"/>
      <c r="U7" s="1"/>
      <c r="V7" s="1"/>
    </row>
    <row r="8" spans="1:22" ht="119">
      <c r="A8" s="13" t="s">
        <v>369</v>
      </c>
      <c r="B8" s="3" t="s">
        <v>370</v>
      </c>
      <c r="C8" s="3" t="s">
        <v>90</v>
      </c>
      <c r="D8" s="3"/>
      <c r="E8" s="3" t="s">
        <v>20</v>
      </c>
      <c r="F8" s="14">
        <v>44215</v>
      </c>
      <c r="G8" s="3"/>
      <c r="H8" s="3" t="s">
        <v>54</v>
      </c>
      <c r="I8" s="15" t="s">
        <v>368</v>
      </c>
      <c r="J8" s="3"/>
      <c r="K8" s="3"/>
      <c r="L8" s="3" t="s">
        <v>371</v>
      </c>
      <c r="M8" s="1"/>
      <c r="N8" s="1"/>
      <c r="O8" s="1"/>
      <c r="P8" s="1"/>
      <c r="Q8" s="1"/>
      <c r="R8" s="1"/>
      <c r="S8" s="1"/>
      <c r="T8" s="1"/>
      <c r="U8" s="1"/>
      <c r="V8" s="1"/>
    </row>
    <row r="9" spans="1:22" ht="372">
      <c r="A9" s="13" t="s">
        <v>372</v>
      </c>
      <c r="B9" s="3" t="s">
        <v>373</v>
      </c>
      <c r="C9" s="3" t="s">
        <v>90</v>
      </c>
      <c r="D9" s="3"/>
      <c r="E9" s="3" t="s">
        <v>20</v>
      </c>
      <c r="F9" s="14">
        <v>44216</v>
      </c>
      <c r="G9" s="3"/>
      <c r="H9" s="3" t="s">
        <v>22</v>
      </c>
      <c r="I9" s="15" t="s">
        <v>374</v>
      </c>
      <c r="J9" s="3"/>
      <c r="K9" s="3"/>
      <c r="L9" s="3"/>
      <c r="M9" s="1"/>
      <c r="N9" s="1"/>
      <c r="O9" s="1"/>
      <c r="P9" s="1"/>
      <c r="Q9" s="1"/>
      <c r="R9" s="1"/>
      <c r="S9" s="1"/>
      <c r="T9" s="1"/>
      <c r="U9" s="1"/>
      <c r="V9" s="1"/>
    </row>
    <row r="10" spans="1:22" ht="170">
      <c r="A10" s="13" t="s">
        <v>375</v>
      </c>
      <c r="B10" s="3" t="s">
        <v>376</v>
      </c>
      <c r="C10" s="3" t="s">
        <v>90</v>
      </c>
      <c r="D10" s="3"/>
      <c r="E10" s="3" t="s">
        <v>20</v>
      </c>
      <c r="F10" s="14">
        <v>44216</v>
      </c>
      <c r="G10" s="3"/>
      <c r="H10" s="3" t="s">
        <v>22</v>
      </c>
      <c r="I10" s="15" t="s">
        <v>377</v>
      </c>
      <c r="J10" s="3"/>
      <c r="K10" s="3"/>
      <c r="L10" s="3"/>
      <c r="M10" s="1"/>
      <c r="N10" s="1"/>
      <c r="O10" s="1"/>
      <c r="P10" s="1"/>
      <c r="Q10" s="1"/>
      <c r="R10" s="1"/>
      <c r="S10" s="1"/>
      <c r="T10" s="1"/>
      <c r="U10" s="1"/>
      <c r="V10" s="1"/>
    </row>
    <row r="11" spans="1:22" ht="187">
      <c r="A11" s="13" t="s">
        <v>378</v>
      </c>
      <c r="B11" s="3" t="s">
        <v>379</v>
      </c>
      <c r="C11" s="3" t="s">
        <v>64</v>
      </c>
      <c r="D11" s="3" t="s">
        <v>634</v>
      </c>
      <c r="E11" s="3" t="s">
        <v>21</v>
      </c>
      <c r="F11" s="14">
        <v>44215</v>
      </c>
      <c r="G11" s="14">
        <v>44217</v>
      </c>
      <c r="H11" s="3" t="s">
        <v>22</v>
      </c>
      <c r="I11" s="15" t="s">
        <v>380</v>
      </c>
      <c r="J11" s="3"/>
      <c r="K11" s="3"/>
      <c r="L11" s="3"/>
      <c r="M11" s="1"/>
      <c r="N11" s="1"/>
      <c r="O11" s="1"/>
      <c r="P11" s="1"/>
      <c r="Q11" s="1"/>
      <c r="R11" s="1"/>
      <c r="S11" s="1"/>
      <c r="T11" s="1"/>
      <c r="U11" s="1"/>
      <c r="V11" s="1"/>
    </row>
    <row r="12" spans="1:22" ht="153">
      <c r="A12" s="13" t="s">
        <v>381</v>
      </c>
      <c r="B12" s="3" t="s">
        <v>382</v>
      </c>
      <c r="C12" s="3" t="s">
        <v>90</v>
      </c>
      <c r="D12" s="3"/>
      <c r="E12" s="3" t="s">
        <v>20</v>
      </c>
      <c r="F12" s="14">
        <v>44215</v>
      </c>
      <c r="G12" s="3"/>
      <c r="H12" s="3" t="s">
        <v>54</v>
      </c>
      <c r="I12" s="15" t="s">
        <v>383</v>
      </c>
      <c r="J12" s="3"/>
      <c r="K12" s="3"/>
      <c r="L12" s="3" t="s">
        <v>384</v>
      </c>
      <c r="M12" s="1"/>
      <c r="N12" s="1"/>
      <c r="O12" s="1"/>
      <c r="P12" s="1"/>
      <c r="Q12" s="1"/>
      <c r="R12" s="1"/>
      <c r="S12" s="1"/>
      <c r="T12" s="1"/>
      <c r="U12" s="1"/>
      <c r="V12" s="1"/>
    </row>
    <row r="13" spans="1:22" ht="409.6">
      <c r="A13" s="13" t="s">
        <v>385</v>
      </c>
      <c r="B13" s="3" t="s">
        <v>386</v>
      </c>
      <c r="C13" s="3" t="s">
        <v>238</v>
      </c>
      <c r="D13" s="3" t="s">
        <v>782</v>
      </c>
      <c r="E13" s="3" t="s">
        <v>21</v>
      </c>
      <c r="F13" s="14">
        <v>44215</v>
      </c>
      <c r="G13" s="14">
        <v>44216</v>
      </c>
      <c r="H13" s="3" t="s">
        <v>54</v>
      </c>
      <c r="I13" s="15" t="s">
        <v>387</v>
      </c>
      <c r="J13" s="15" t="s">
        <v>388</v>
      </c>
      <c r="K13" s="15" t="s">
        <v>389</v>
      </c>
      <c r="L13" s="3" t="s">
        <v>390</v>
      </c>
      <c r="M13" s="1"/>
      <c r="N13" s="1"/>
      <c r="O13" s="1"/>
      <c r="P13" s="1"/>
      <c r="Q13" s="1"/>
      <c r="R13" s="1"/>
      <c r="S13" s="1"/>
      <c r="T13" s="1"/>
      <c r="U13" s="1"/>
      <c r="V13" s="1"/>
    </row>
    <row r="14" spans="1:22">
      <c r="A14" s="3"/>
      <c r="B14" s="3"/>
      <c r="C14" s="3"/>
      <c r="D14" s="3"/>
      <c r="E14" s="3"/>
      <c r="F14" s="3"/>
      <c r="G14" s="3"/>
      <c r="H14" s="3"/>
      <c r="I14" s="3"/>
      <c r="J14" s="3"/>
      <c r="K14" s="3"/>
      <c r="L14" s="3"/>
      <c r="M14" s="1"/>
      <c r="N14" s="1"/>
      <c r="O14" s="1"/>
      <c r="P14" s="1"/>
      <c r="Q14" s="1"/>
      <c r="R14" s="1"/>
      <c r="S14" s="1"/>
      <c r="T14" s="1"/>
      <c r="U14" s="1"/>
      <c r="V14" s="1"/>
    </row>
    <row r="15" spans="1:22">
      <c r="I15"/>
      <c r="J15"/>
      <c r="K15"/>
    </row>
    <row r="16" spans="1:22">
      <c r="I16"/>
      <c r="J16"/>
      <c r="K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4"/>
  <hyperlinks>
    <hyperlink ref="A6" r:id="rId1" xr:uid="{F8662087-DBEE-4A8B-A4F8-44CDEA0670D9}"/>
    <hyperlink ref="A7" r:id="rId2" xr:uid="{80F81CCC-5C14-42BC-BD89-371B21B34403}"/>
    <hyperlink ref="A8" r:id="rId3" xr:uid="{602D32B8-FC29-4B82-ADF2-1BBD060ECCD5}"/>
    <hyperlink ref="A9" r:id="rId4" xr:uid="{8F003121-D6F2-4E64-99C5-05FA8A4173F2}"/>
    <hyperlink ref="A10" r:id="rId5" xr:uid="{CEF3E46E-7EEA-403A-BF9A-0D1BE7152C6A}"/>
    <hyperlink ref="A11" r:id="rId6" xr:uid="{F9BAFBF8-1E6F-4324-B84F-0CDBEBEF161A}"/>
    <hyperlink ref="A12" r:id="rId7" xr:uid="{BFE76AB5-BB32-43D1-8ABE-7F0F9AD335E3}"/>
    <hyperlink ref="A13" r:id="rId8" xr:uid="{DE246744-ED36-421D-864A-0FC19733D3FE}"/>
  </hyperlinks>
  <pageMargins left="0.7" right="0.7" top="0.75" bottom="0.75" header="0.3" footer="0.3"/>
  <pageSetup paperSize="9"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481" r:id="rId12"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4" t="s">
        <v>85</v>
      </c>
      <c r="C1" s="104"/>
      <c r="D1" s="52"/>
    </row>
    <row r="2" spans="1:22">
      <c r="A2" s="10" t="s">
        <v>2</v>
      </c>
      <c r="B2" s="104">
        <v>10971683</v>
      </c>
      <c r="C2" s="104"/>
      <c r="D2" s="52"/>
    </row>
    <row r="3" spans="1:22">
      <c r="A3" s="12" t="s">
        <v>883</v>
      </c>
      <c r="B3" s="12"/>
    </row>
    <row r="4" spans="1:22" ht="6.75" customHeight="1"/>
    <row r="5" spans="1:22" ht="40.5" customHeight="1">
      <c r="A5" s="17" t="s">
        <v>11</v>
      </c>
      <c r="B5" s="17" t="s">
        <v>3</v>
      </c>
      <c r="C5" s="17" t="s">
        <v>12</v>
      </c>
      <c r="D5" s="16" t="s">
        <v>482</v>
      </c>
      <c r="E5" s="17" t="s">
        <v>13</v>
      </c>
      <c r="F5" s="17" t="s">
        <v>14</v>
      </c>
      <c r="G5" s="17" t="s">
        <v>15</v>
      </c>
      <c r="H5" s="16" t="s">
        <v>19</v>
      </c>
      <c r="I5" s="17" t="s">
        <v>16</v>
      </c>
      <c r="J5" s="16" t="s">
        <v>17</v>
      </c>
      <c r="K5" s="16" t="s">
        <v>18</v>
      </c>
      <c r="L5" s="16" t="s">
        <v>25</v>
      </c>
    </row>
    <row r="6" spans="1:22">
      <c r="A6" s="13" t="s">
        <v>570</v>
      </c>
      <c r="B6" s="3" t="s">
        <v>571</v>
      </c>
      <c r="C6" s="3" t="s">
        <v>180</v>
      </c>
      <c r="D6" s="3"/>
      <c r="E6" s="3" t="s">
        <v>20</v>
      </c>
      <c r="F6" s="14">
        <v>44228</v>
      </c>
      <c r="G6" s="14">
        <v>44229</v>
      </c>
      <c r="H6" s="3"/>
      <c r="I6" s="3"/>
      <c r="J6" s="3"/>
      <c r="K6" s="3"/>
      <c r="L6" s="3"/>
      <c r="M6" s="1"/>
      <c r="N6" s="1"/>
      <c r="O6" s="1"/>
      <c r="P6" s="1"/>
      <c r="Q6" s="1"/>
      <c r="R6" s="1"/>
      <c r="S6" s="1"/>
      <c r="T6" s="1"/>
      <c r="U6" s="1"/>
      <c r="V6" s="1"/>
    </row>
    <row r="7" spans="1:22" ht="119">
      <c r="A7" s="13" t="s">
        <v>391</v>
      </c>
      <c r="B7" s="3" t="s">
        <v>392</v>
      </c>
      <c r="C7" s="3" t="s">
        <v>271</v>
      </c>
      <c r="D7" s="3"/>
      <c r="E7" s="3" t="s">
        <v>20</v>
      </c>
      <c r="F7" s="14">
        <v>44214</v>
      </c>
      <c r="G7" s="3"/>
      <c r="H7" s="3" t="s">
        <v>23</v>
      </c>
      <c r="I7" s="15" t="s">
        <v>393</v>
      </c>
      <c r="J7" s="3"/>
      <c r="K7" s="3"/>
      <c r="L7" s="3"/>
      <c r="M7" s="1"/>
      <c r="N7" s="1"/>
      <c r="O7" s="1"/>
      <c r="P7" s="1"/>
      <c r="Q7" s="1"/>
      <c r="R7" s="1"/>
      <c r="S7" s="1"/>
      <c r="T7" s="1"/>
      <c r="U7" s="1"/>
      <c r="V7" s="1"/>
    </row>
    <row r="8" spans="1:22" ht="238">
      <c r="A8" s="13" t="s">
        <v>394</v>
      </c>
      <c r="B8" s="3" t="s">
        <v>395</v>
      </c>
      <c r="C8" s="3" t="s">
        <v>90</v>
      </c>
      <c r="D8" s="3"/>
      <c r="E8" s="3" t="s">
        <v>20</v>
      </c>
      <c r="F8" s="14">
        <v>44216</v>
      </c>
      <c r="G8" s="3"/>
      <c r="H8" s="3" t="s">
        <v>22</v>
      </c>
      <c r="I8" s="15" t="s">
        <v>396</v>
      </c>
      <c r="J8" s="3"/>
      <c r="K8" s="3"/>
      <c r="L8" s="3"/>
      <c r="M8" s="1"/>
      <c r="N8" s="1"/>
      <c r="O8" s="1"/>
      <c r="P8" s="1"/>
      <c r="Q8" s="1"/>
      <c r="R8" s="1"/>
      <c r="S8" s="1"/>
      <c r="T8" s="1"/>
      <c r="U8" s="1"/>
      <c r="V8" s="1"/>
    </row>
    <row r="9" spans="1:22" ht="238">
      <c r="A9" s="13" t="s">
        <v>397</v>
      </c>
      <c r="B9" s="3" t="s">
        <v>398</v>
      </c>
      <c r="C9" s="3" t="s">
        <v>176</v>
      </c>
      <c r="D9" s="3"/>
      <c r="E9" s="3" t="s">
        <v>20</v>
      </c>
      <c r="F9" s="14">
        <v>44214</v>
      </c>
      <c r="G9" s="3"/>
      <c r="H9" s="3" t="s">
        <v>23</v>
      </c>
      <c r="I9" s="15" t="s">
        <v>399</v>
      </c>
      <c r="J9" s="3"/>
      <c r="K9" s="3"/>
      <c r="L9" s="3"/>
      <c r="M9" s="1"/>
      <c r="N9" s="1"/>
      <c r="O9" s="1"/>
      <c r="P9" s="1"/>
      <c r="Q9" s="1"/>
      <c r="R9" s="1"/>
      <c r="S9" s="1"/>
      <c r="T9" s="1"/>
      <c r="U9" s="1"/>
      <c r="V9" s="1"/>
    </row>
    <row r="10" spans="1:22" ht="85">
      <c r="A10" s="13" t="s">
        <v>400</v>
      </c>
      <c r="B10" s="3" t="s">
        <v>401</v>
      </c>
      <c r="C10" s="3" t="s">
        <v>176</v>
      </c>
      <c r="D10" s="3"/>
      <c r="E10" s="3" t="s">
        <v>20</v>
      </c>
      <c r="F10" s="14">
        <v>44211</v>
      </c>
      <c r="G10" s="3"/>
      <c r="H10" s="3" t="s">
        <v>23</v>
      </c>
      <c r="I10" s="15" t="s">
        <v>402</v>
      </c>
      <c r="J10" s="3"/>
      <c r="K10" s="3"/>
      <c r="L10" s="3"/>
      <c r="M10" s="1"/>
      <c r="N10" s="1"/>
      <c r="O10" s="1"/>
      <c r="P10" s="1"/>
      <c r="Q10" s="1"/>
      <c r="R10" s="1"/>
      <c r="S10" s="1"/>
      <c r="T10" s="1"/>
      <c r="U10" s="1"/>
      <c r="V10" s="1"/>
    </row>
    <row r="11" spans="1:22">
      <c r="A11" s="13" t="s">
        <v>403</v>
      </c>
      <c r="B11" s="3" t="s">
        <v>404</v>
      </c>
      <c r="C11" s="3" t="s">
        <v>176</v>
      </c>
      <c r="D11" s="3"/>
      <c r="E11" s="3" t="s">
        <v>20</v>
      </c>
      <c r="F11" s="14">
        <v>44211</v>
      </c>
      <c r="G11" s="3"/>
      <c r="H11" s="3" t="s">
        <v>22</v>
      </c>
      <c r="I11" s="3"/>
      <c r="J11" s="3"/>
      <c r="K11" s="3"/>
      <c r="L11" s="3"/>
      <c r="M11" s="1"/>
      <c r="N11" s="1"/>
      <c r="O11" s="1"/>
      <c r="P11" s="1"/>
      <c r="Q11" s="1"/>
      <c r="R11" s="1"/>
      <c r="S11" s="1"/>
      <c r="T11" s="1"/>
      <c r="U11" s="1"/>
      <c r="V11" s="1"/>
    </row>
    <row r="12" spans="1:22" ht="68">
      <c r="A12" s="13" t="s">
        <v>405</v>
      </c>
      <c r="B12" s="3" t="s">
        <v>406</v>
      </c>
      <c r="C12" s="3" t="s">
        <v>176</v>
      </c>
      <c r="D12" s="3"/>
      <c r="E12" s="3" t="s">
        <v>20</v>
      </c>
      <c r="F12" s="14">
        <v>44208</v>
      </c>
      <c r="G12" s="3"/>
      <c r="H12" s="3" t="s">
        <v>117</v>
      </c>
      <c r="I12" s="15" t="s">
        <v>407</v>
      </c>
      <c r="J12" s="3"/>
      <c r="K12" s="3"/>
      <c r="L12" s="3"/>
      <c r="M12" s="1"/>
      <c r="N12" s="1"/>
      <c r="O12" s="1"/>
      <c r="P12" s="1"/>
      <c r="Q12" s="1"/>
      <c r="R12" s="1"/>
      <c r="S12" s="1"/>
      <c r="T12" s="1"/>
      <c r="U12" s="1"/>
      <c r="V12" s="1"/>
    </row>
    <row r="13" spans="1:22" ht="68">
      <c r="A13" s="13" t="s">
        <v>408</v>
      </c>
      <c r="B13" s="3" t="s">
        <v>409</v>
      </c>
      <c r="C13" s="3" t="s">
        <v>38</v>
      </c>
      <c r="D13" s="3"/>
      <c r="E13" s="3" t="s">
        <v>20</v>
      </c>
      <c r="F13" s="14">
        <v>44207</v>
      </c>
      <c r="G13" s="3"/>
      <c r="H13" s="3" t="s">
        <v>23</v>
      </c>
      <c r="I13" s="15" t="s">
        <v>410</v>
      </c>
      <c r="J13" s="3"/>
      <c r="K13" s="3"/>
      <c r="L13" s="3" t="s">
        <v>96</v>
      </c>
      <c r="M13" s="1"/>
      <c r="N13" s="1"/>
      <c r="O13" s="1"/>
      <c r="P13" s="1"/>
      <c r="Q13" s="1"/>
      <c r="R13" s="1"/>
      <c r="S13" s="1"/>
      <c r="T13" s="1"/>
      <c r="U13" s="1"/>
      <c r="V13" s="1"/>
    </row>
    <row r="14" spans="1:22" ht="187">
      <c r="A14" s="13" t="s">
        <v>411</v>
      </c>
      <c r="B14" s="3" t="s">
        <v>412</v>
      </c>
      <c r="C14" s="3" t="s">
        <v>176</v>
      </c>
      <c r="D14" s="3"/>
      <c r="E14" s="3" t="s">
        <v>20</v>
      </c>
      <c r="F14" s="14">
        <v>44207</v>
      </c>
      <c r="G14" s="3"/>
      <c r="H14" s="3" t="s">
        <v>108</v>
      </c>
      <c r="I14" s="15" t="s">
        <v>413</v>
      </c>
      <c r="J14" s="3"/>
      <c r="K14" s="3"/>
      <c r="L14" s="3" t="s">
        <v>96</v>
      </c>
      <c r="M14" s="1"/>
      <c r="N14" s="1"/>
      <c r="O14" s="1"/>
      <c r="P14" s="1"/>
      <c r="Q14" s="1"/>
      <c r="R14" s="1"/>
      <c r="S14" s="1"/>
      <c r="T14" s="1"/>
      <c r="U14" s="1"/>
      <c r="V14" s="1"/>
    </row>
    <row r="15" spans="1:22">
      <c r="A15" s="13" t="s">
        <v>414</v>
      </c>
      <c r="B15" s="3" t="s">
        <v>415</v>
      </c>
      <c r="C15" s="3" t="s">
        <v>176</v>
      </c>
      <c r="D15" s="3"/>
      <c r="E15" s="3" t="s">
        <v>20</v>
      </c>
      <c r="F15" s="14">
        <v>44207</v>
      </c>
      <c r="G15" s="3"/>
      <c r="H15" s="3" t="s">
        <v>23</v>
      </c>
      <c r="I15" s="3" t="s">
        <v>416</v>
      </c>
      <c r="J15" s="3"/>
      <c r="K15" s="3"/>
      <c r="L15" s="3"/>
      <c r="M15" s="1"/>
      <c r="N15" s="1"/>
      <c r="O15" s="1"/>
      <c r="P15" s="1"/>
      <c r="Q15" s="1"/>
      <c r="R15" s="1"/>
      <c r="S15" s="1"/>
      <c r="T15" s="1"/>
      <c r="U15" s="1"/>
      <c r="V15" s="1"/>
    </row>
    <row r="16" spans="1:22" ht="85">
      <c r="A16" s="13" t="s">
        <v>417</v>
      </c>
      <c r="B16" s="3" t="s">
        <v>418</v>
      </c>
      <c r="C16" s="3" t="s">
        <v>176</v>
      </c>
      <c r="D16" s="3"/>
      <c r="E16" s="3" t="s">
        <v>20</v>
      </c>
      <c r="F16" s="14">
        <v>44207</v>
      </c>
      <c r="G16" s="3"/>
      <c r="H16" s="3" t="s">
        <v>22</v>
      </c>
      <c r="I16" s="15" t="s">
        <v>419</v>
      </c>
      <c r="J16" s="3"/>
      <c r="K16" s="3"/>
      <c r="L16" s="3" t="s">
        <v>303</v>
      </c>
      <c r="M16" s="1"/>
      <c r="N16" s="1"/>
      <c r="O16" s="1"/>
      <c r="P16" s="1"/>
      <c r="Q16" s="1"/>
      <c r="R16" s="1"/>
      <c r="S16" s="1"/>
      <c r="T16" s="1"/>
      <c r="U16" s="1"/>
      <c r="V16" s="1"/>
    </row>
    <row r="17" spans="1:22" ht="221">
      <c r="A17" s="13" t="s">
        <v>420</v>
      </c>
      <c r="B17" s="3" t="s">
        <v>421</v>
      </c>
      <c r="C17" s="3" t="s">
        <v>422</v>
      </c>
      <c r="D17" s="3"/>
      <c r="E17" s="3" t="s">
        <v>20</v>
      </c>
      <c r="F17" s="14">
        <v>44206</v>
      </c>
      <c r="G17" s="3"/>
      <c r="H17" s="3" t="s">
        <v>23</v>
      </c>
      <c r="I17" s="15" t="s">
        <v>423</v>
      </c>
      <c r="J17" s="15" t="s">
        <v>424</v>
      </c>
      <c r="K17" s="15" t="s">
        <v>425</v>
      </c>
      <c r="L17" s="3"/>
      <c r="M17" s="1"/>
      <c r="N17" s="1"/>
      <c r="O17" s="1"/>
      <c r="P17" s="1"/>
      <c r="Q17" s="1"/>
      <c r="R17" s="1"/>
      <c r="S17" s="1"/>
      <c r="T17" s="1"/>
      <c r="U17" s="1"/>
      <c r="V17" s="1"/>
    </row>
    <row r="18" spans="1:22" ht="153">
      <c r="A18" s="13" t="s">
        <v>426</v>
      </c>
      <c r="B18" s="3" t="s">
        <v>427</v>
      </c>
      <c r="C18" s="3" t="s">
        <v>176</v>
      </c>
      <c r="D18" s="3"/>
      <c r="E18" s="3" t="s">
        <v>20</v>
      </c>
      <c r="F18" s="14">
        <v>44206</v>
      </c>
      <c r="G18" s="3"/>
      <c r="H18" s="3" t="s">
        <v>23</v>
      </c>
      <c r="I18" s="3" t="s">
        <v>428</v>
      </c>
      <c r="J18" s="3" t="s">
        <v>92</v>
      </c>
      <c r="K18" s="15" t="s">
        <v>429</v>
      </c>
      <c r="L18" s="3"/>
      <c r="M18" s="1"/>
      <c r="N18" s="1"/>
      <c r="O18" s="1"/>
      <c r="P18" s="1"/>
      <c r="Q18" s="1"/>
      <c r="R18" s="1"/>
      <c r="S18" s="1"/>
      <c r="T18" s="1"/>
      <c r="U18" s="1"/>
      <c r="V18" s="1"/>
    </row>
    <row r="19" spans="1:22" ht="51">
      <c r="A19" s="13" t="s">
        <v>430</v>
      </c>
      <c r="B19" s="3" t="s">
        <v>431</v>
      </c>
      <c r="C19" s="3" t="s">
        <v>176</v>
      </c>
      <c r="D19" s="3"/>
      <c r="E19" s="3" t="s">
        <v>20</v>
      </c>
      <c r="F19" s="14">
        <v>44206</v>
      </c>
      <c r="G19" s="3"/>
      <c r="H19" s="3" t="s">
        <v>23</v>
      </c>
      <c r="I19" s="15" t="s">
        <v>432</v>
      </c>
      <c r="J19" s="3"/>
      <c r="K19" s="3"/>
      <c r="L19" s="3"/>
      <c r="M19" s="1"/>
      <c r="N19" s="1"/>
      <c r="O19" s="1"/>
      <c r="P19" s="1"/>
      <c r="Q19" s="1"/>
      <c r="R19" s="1"/>
      <c r="S19" s="1"/>
      <c r="T19" s="1"/>
      <c r="U19" s="1"/>
      <c r="V19" s="1"/>
    </row>
    <row r="20" spans="1:22">
      <c r="A20" s="13" t="s">
        <v>433</v>
      </c>
      <c r="B20" s="3" t="s">
        <v>434</v>
      </c>
      <c r="C20" s="3" t="s">
        <v>176</v>
      </c>
      <c r="D20" s="3"/>
      <c r="E20" s="3" t="s">
        <v>20</v>
      </c>
      <c r="F20" s="14">
        <v>44206</v>
      </c>
      <c r="G20" s="3"/>
      <c r="H20" s="3" t="s">
        <v>23</v>
      </c>
      <c r="I20" s="3" t="s">
        <v>435</v>
      </c>
      <c r="J20" s="3"/>
      <c r="K20" s="3"/>
      <c r="L20" s="3"/>
      <c r="M20" s="1"/>
      <c r="N20" s="1"/>
      <c r="O20" s="1"/>
      <c r="P20" s="1"/>
      <c r="Q20" s="1"/>
      <c r="R20" s="1"/>
      <c r="S20" s="1"/>
      <c r="T20" s="1"/>
      <c r="U20" s="1"/>
      <c r="V20" s="1"/>
    </row>
    <row r="21" spans="1:22">
      <c r="A21" s="13" t="s">
        <v>436</v>
      </c>
      <c r="B21" s="3" t="s">
        <v>437</v>
      </c>
      <c r="C21" s="3" t="s">
        <v>176</v>
      </c>
      <c r="D21" s="3"/>
      <c r="E21" s="3" t="s">
        <v>20</v>
      </c>
      <c r="F21" s="14">
        <v>44206</v>
      </c>
      <c r="G21" s="3"/>
      <c r="H21" s="3" t="s">
        <v>23</v>
      </c>
      <c r="I21" s="3"/>
      <c r="J21" s="3"/>
      <c r="K21" s="3"/>
      <c r="L21" s="3"/>
      <c r="M21" s="1"/>
      <c r="N21" s="1"/>
      <c r="O21" s="1"/>
      <c r="P21" s="1"/>
      <c r="Q21" s="1"/>
      <c r="R21" s="1"/>
      <c r="S21" s="1"/>
      <c r="T21" s="1"/>
      <c r="U21" s="1"/>
      <c r="V21" s="1"/>
    </row>
    <row r="22" spans="1:22" ht="85">
      <c r="A22" s="13" t="s">
        <v>438</v>
      </c>
      <c r="B22" s="3" t="s">
        <v>439</v>
      </c>
      <c r="C22" s="3" t="s">
        <v>176</v>
      </c>
      <c r="D22" s="3"/>
      <c r="E22" s="3" t="s">
        <v>20</v>
      </c>
      <c r="F22" s="14">
        <v>44206</v>
      </c>
      <c r="G22" s="3"/>
      <c r="H22" s="3" t="s">
        <v>22</v>
      </c>
      <c r="I22" s="15" t="s">
        <v>440</v>
      </c>
      <c r="J22" s="3"/>
      <c r="K22" s="3"/>
      <c r="L22" s="3"/>
      <c r="M22" s="1"/>
      <c r="N22" s="1"/>
      <c r="O22" s="1"/>
      <c r="P22" s="1"/>
      <c r="Q22" s="1"/>
      <c r="R22" s="1"/>
      <c r="S22" s="1"/>
      <c r="T22" s="1"/>
      <c r="U22" s="1"/>
      <c r="V22" s="1"/>
    </row>
    <row r="23" spans="1:22" ht="51">
      <c r="A23" s="13" t="s">
        <v>441</v>
      </c>
      <c r="B23" s="3" t="s">
        <v>442</v>
      </c>
      <c r="C23" s="3" t="s">
        <v>176</v>
      </c>
      <c r="D23" s="3"/>
      <c r="E23" s="3" t="s">
        <v>20</v>
      </c>
      <c r="F23" s="14">
        <v>44206</v>
      </c>
      <c r="G23" s="3"/>
      <c r="H23" s="3" t="s">
        <v>117</v>
      </c>
      <c r="I23" s="15" t="s">
        <v>443</v>
      </c>
      <c r="J23" s="3"/>
      <c r="K23" s="3"/>
      <c r="L23" s="3" t="s">
        <v>444</v>
      </c>
      <c r="M23" s="1"/>
      <c r="N23" s="1"/>
      <c r="O23" s="1"/>
      <c r="P23" s="1"/>
      <c r="Q23" s="1"/>
      <c r="R23" s="1"/>
      <c r="S23" s="1"/>
      <c r="T23" s="1"/>
      <c r="U23" s="1"/>
      <c r="V23" s="1"/>
    </row>
    <row r="24" spans="1:22" ht="153">
      <c r="A24" s="13" t="s">
        <v>445</v>
      </c>
      <c r="B24" s="3" t="s">
        <v>446</v>
      </c>
      <c r="C24" s="3" t="s">
        <v>176</v>
      </c>
      <c r="D24" s="3"/>
      <c r="E24" s="3" t="s">
        <v>20</v>
      </c>
      <c r="F24" s="14">
        <v>44206</v>
      </c>
      <c r="G24" s="3"/>
      <c r="H24" s="3" t="s">
        <v>117</v>
      </c>
      <c r="I24" s="15" t="s">
        <v>447</v>
      </c>
      <c r="J24" s="3"/>
      <c r="K24" s="3"/>
      <c r="L24" s="3" t="s">
        <v>444</v>
      </c>
      <c r="M24" s="1"/>
      <c r="N24" s="1"/>
      <c r="O24" s="1"/>
      <c r="P24" s="1"/>
      <c r="Q24" s="1"/>
      <c r="R24" s="1"/>
      <c r="S24" s="1"/>
      <c r="T24" s="1"/>
      <c r="U24" s="1"/>
      <c r="V24" s="1"/>
    </row>
    <row r="25" spans="1:22" ht="119">
      <c r="A25" s="13" t="s">
        <v>448</v>
      </c>
      <c r="B25" s="3" t="s">
        <v>449</v>
      </c>
      <c r="C25" s="3" t="s">
        <v>176</v>
      </c>
      <c r="D25" s="3"/>
      <c r="E25" s="3" t="s">
        <v>20</v>
      </c>
      <c r="F25" s="14">
        <v>44206</v>
      </c>
      <c r="G25" s="3"/>
      <c r="H25" s="3" t="s">
        <v>22</v>
      </c>
      <c r="I25" s="15" t="s">
        <v>450</v>
      </c>
      <c r="J25" s="3"/>
      <c r="K25" s="3"/>
      <c r="L25" s="3"/>
      <c r="M25" s="1"/>
      <c r="N25" s="1"/>
      <c r="O25" s="1"/>
      <c r="P25" s="1"/>
      <c r="Q25" s="1"/>
      <c r="R25" s="1"/>
      <c r="S25" s="1"/>
      <c r="T25" s="1"/>
      <c r="U25" s="1"/>
      <c r="V25" s="1"/>
    </row>
    <row r="26" spans="1:22">
      <c r="A26" s="13" t="s">
        <v>43</v>
      </c>
      <c r="B26" s="3" t="s">
        <v>451</v>
      </c>
      <c r="C26" s="3" t="s">
        <v>176</v>
      </c>
      <c r="D26" s="3"/>
      <c r="E26" s="3" t="s">
        <v>20</v>
      </c>
      <c r="F26" s="14">
        <v>44204</v>
      </c>
      <c r="G26" s="3"/>
      <c r="H26" s="3" t="s">
        <v>22</v>
      </c>
      <c r="I26" s="3" t="s">
        <v>452</v>
      </c>
      <c r="J26" s="3" t="s">
        <v>44</v>
      </c>
      <c r="K26" s="3" t="s">
        <v>45</v>
      </c>
      <c r="L26" s="3"/>
      <c r="M26" s="1"/>
      <c r="N26" s="1"/>
      <c r="O26" s="1"/>
      <c r="P26" s="1"/>
      <c r="Q26" s="1"/>
      <c r="R26" s="1"/>
      <c r="S26" s="1"/>
      <c r="T26" s="1"/>
      <c r="U26" s="1"/>
      <c r="V26" s="1"/>
    </row>
    <row r="27" spans="1:22">
      <c r="A27" s="3"/>
      <c r="B27" s="3"/>
      <c r="C27" s="3"/>
      <c r="D27" s="3"/>
      <c r="E27" s="3"/>
      <c r="F27" s="3"/>
      <c r="G27" s="3"/>
      <c r="H27" s="3"/>
      <c r="I27" s="3"/>
      <c r="J27" s="3"/>
      <c r="K27" s="3"/>
      <c r="L27" s="3"/>
      <c r="M27" s="1"/>
      <c r="N27" s="1"/>
      <c r="O27" s="1"/>
      <c r="P27" s="1"/>
      <c r="Q27" s="1"/>
      <c r="R27" s="1"/>
      <c r="S27" s="1"/>
      <c r="T27" s="1"/>
      <c r="U27" s="1"/>
    </row>
    <row r="28" spans="1:22">
      <c r="I28"/>
      <c r="J28"/>
      <c r="K28"/>
    </row>
    <row r="29" spans="1:22">
      <c r="I29"/>
      <c r="J29"/>
      <c r="K29"/>
    </row>
    <row r="30" spans="1:22">
      <c r="I30"/>
      <c r="J30"/>
      <c r="K30"/>
    </row>
    <row r="31" spans="1:22">
      <c r="I31"/>
      <c r="J31"/>
      <c r="K31"/>
    </row>
    <row r="32" spans="1:22">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4"/>
  <hyperlinks>
    <hyperlink ref="A6" r:id="rId1" xr:uid="{14375442-0C95-4D99-AD82-F0BBE86FBCED}"/>
    <hyperlink ref="A7" r:id="rId2" xr:uid="{C72538AF-4B4D-4556-A6B9-05C107D0F59E}"/>
    <hyperlink ref="A8" r:id="rId3" xr:uid="{8C85A5CF-EFF9-4C06-A083-A0AB5CDE7651}"/>
    <hyperlink ref="A9" r:id="rId4" xr:uid="{DC626CF1-2BAF-40F5-82D7-6111D3C5CAA1}"/>
    <hyperlink ref="A10" r:id="rId5" xr:uid="{096E191E-47F2-41E0-BA6A-759740709FE7}"/>
    <hyperlink ref="A11" r:id="rId6" xr:uid="{9869A8DA-D7E8-4FC6-B19C-7F3F7327D57F}"/>
    <hyperlink ref="A12" r:id="rId7" xr:uid="{F70E8D6A-88A0-472B-9DB4-1EC858FC3517}"/>
    <hyperlink ref="A13" r:id="rId8" xr:uid="{6EC840FC-8CB7-420F-A280-573D4F471BD0}"/>
    <hyperlink ref="A14" r:id="rId9" xr:uid="{CCD88012-4FF4-4203-9075-7AB4E416153D}"/>
    <hyperlink ref="A15" r:id="rId10" xr:uid="{6686A488-172F-400B-8E21-9506FE3B728F}"/>
    <hyperlink ref="A16" r:id="rId11" xr:uid="{2D068333-68CB-41E5-831D-FEB779BBCC98}"/>
    <hyperlink ref="A17" r:id="rId12" xr:uid="{40CE1366-3EB1-48B4-B5C7-6832FB346B0F}"/>
    <hyperlink ref="A18" r:id="rId13" xr:uid="{E0D0E6C9-DC6D-4A57-8037-85522AFC68F3}"/>
    <hyperlink ref="A19" r:id="rId14" xr:uid="{7125135D-B56B-4E55-BFA6-EDE4B6FE39EF}"/>
    <hyperlink ref="A20" r:id="rId15" xr:uid="{E07E5447-1B7C-43D9-B282-15CEB7F33322}"/>
    <hyperlink ref="A21" r:id="rId16" xr:uid="{DFF52709-4101-47F6-AE6B-DF7F22595503}"/>
    <hyperlink ref="A22" r:id="rId17" xr:uid="{EDDCBF7B-2029-4326-A4CC-A4F38327A78C}"/>
    <hyperlink ref="A23" r:id="rId18" xr:uid="{3F995F03-F176-4E6C-B8F3-F27228284337}"/>
    <hyperlink ref="A24" r:id="rId19" xr:uid="{B6E1B9EB-781C-4322-B3ED-52A1EB66EDBC}"/>
    <hyperlink ref="A25" r:id="rId20" xr:uid="{1D284F29-475A-45A9-8305-3508A59E7FFF}"/>
    <hyperlink ref="A26" r:id="rId21" xr:uid="{731F10BA-2CB8-4C4E-B82C-F6E718F48738}"/>
  </hyperlinks>
  <pageMargins left="0.7" right="0.7" top="0.75" bottom="0.75" header="0.3" footer="0.3"/>
  <pageSetup paperSize="9" orientation="portrait" r:id="rId22"/>
  <drawing r:id="rId23"/>
  <legacyDrawing r:id="rId24"/>
  <mc:AlternateContent xmlns:mc="http://schemas.openxmlformats.org/markup-compatibility/2006">
    <mc:Choice Requires="x14">
      <controls>
        <mc:AlternateContent xmlns:mc="http://schemas.openxmlformats.org/markup-compatibility/2006">
          <mc:Choice Requires="x14">
            <control shapeId="21505" r:id="rId25"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83</v>
      </c>
      <c r="E4" s="3">
        <v>10597942</v>
      </c>
    </row>
    <row r="5" spans="2:5" ht="18">
      <c r="B5" s="3" t="s">
        <v>80</v>
      </c>
      <c r="C5" s="9" t="s">
        <v>7</v>
      </c>
      <c r="D5" s="3" t="s">
        <v>86</v>
      </c>
      <c r="E5" s="3">
        <v>10929022</v>
      </c>
    </row>
    <row r="6" spans="2:5" ht="18">
      <c r="B6" s="3" t="s">
        <v>81</v>
      </c>
      <c r="C6" s="9" t="s">
        <v>7</v>
      </c>
      <c r="D6" s="3" t="s">
        <v>87</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4"/>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2021-01-26T09:35:36Z</dcterms:modified>
</cp:coreProperties>
</file>