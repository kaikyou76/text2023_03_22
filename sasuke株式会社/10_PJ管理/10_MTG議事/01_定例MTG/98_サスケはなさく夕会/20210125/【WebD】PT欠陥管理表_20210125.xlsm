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111" codeName="{6BE1CDB9-6C1C-A5B6-3FC1-E231EC3C600E}"/>
  <workbookPr codeName="ThisWorkbook"/>
  <mc:AlternateContent xmlns:mc="http://schemas.openxmlformats.org/markup-compatibility/2006">
    <mc:Choice Requires="x15">
      <x15ac:absPath xmlns:x15ac="http://schemas.microsoft.com/office/spreadsheetml/2010/11/ac" url="/Volumes/GoogleDrive/共有ドライブ/31_B2B案件/02_はなさく生命/WEBダイレクト販売/10_PJ管理/10_MTG議事/01_外部MTG/01_定例MTG/98_サスケはなさく夕会/20210125/"/>
    </mc:Choice>
  </mc:AlternateContent>
  <xr:revisionPtr revIDLastSave="0" documentId="13_ncr:1_{F78FA2DF-185B-894C-B8DB-876907F4E12C}" xr6:coauthVersionLast="46" xr6:coauthVersionMax="46" xr10:uidLastSave="{00000000-0000-0000-0000-000000000000}"/>
  <bookViews>
    <workbookView xWindow="0" yWindow="0" windowWidth="33600" windowHeight="2100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優先度低" sheetId="11" r:id="rId9"/>
    <sheet name="親課題リスト" sheetId="6" state="hidden" r:id="rId10"/>
    <sheet name="設定" sheetId="1" r:id="rId11"/>
  </sheets>
  <functionGroups builtInGroupCount="19"/>
  <definedNames>
    <definedName name="_xlnm._FilterDatabase" localSheetId="6" hidden="1">'SP1～SP5'!$A$5:$V$141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9" i="17"/>
  <c r="B8" i="17"/>
  <c r="B7" i="17"/>
  <c r="B6" i="17"/>
  <c r="B5" i="17"/>
  <c r="B4" i="17"/>
  <c r="B3" i="17"/>
  <c r="B2" i="17"/>
  <c r="D25" i="15"/>
  <c r="AB18" i="15"/>
  <c r="AA18" i="15"/>
  <c r="Z18" i="15"/>
  <c r="Y18" i="15"/>
  <c r="X18" i="15"/>
  <c r="W18" i="15"/>
  <c r="V18" i="15"/>
  <c r="U18" i="15"/>
  <c r="T18" i="15"/>
  <c r="S18" i="15"/>
  <c r="R18" i="15"/>
  <c r="Q18" i="15"/>
  <c r="P18" i="15"/>
  <c r="O18" i="15"/>
  <c r="N18" i="15"/>
  <c r="M18" i="15"/>
  <c r="L18" i="15"/>
  <c r="K18" i="15"/>
  <c r="J18" i="15"/>
  <c r="I18" i="15"/>
  <c r="H18" i="15"/>
  <c r="G18" i="15"/>
  <c r="F18" i="15"/>
  <c r="E18" i="15"/>
  <c r="D18" i="15"/>
  <c r="C18" i="15"/>
  <c r="B18"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B16"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7" i="15"/>
  <c r="AA27" i="15"/>
  <c r="Z27" i="15"/>
  <c r="Y27" i="15"/>
  <c r="X27" i="15"/>
  <c r="W27" i="15"/>
  <c r="V27" i="15"/>
  <c r="U27" i="15"/>
  <c r="T27" i="15"/>
  <c r="S27" i="15"/>
  <c r="R27" i="15"/>
  <c r="Q27" i="15"/>
  <c r="P27" i="15"/>
  <c r="O27" i="15"/>
  <c r="N27" i="15"/>
  <c r="M27" i="15"/>
  <c r="L27" i="15"/>
  <c r="K27" i="15"/>
  <c r="J27" i="15"/>
  <c r="I27" i="15"/>
  <c r="H27" i="15"/>
  <c r="G27" i="15"/>
  <c r="F27" i="15"/>
  <c r="E27" i="15"/>
  <c r="D27" i="15"/>
  <c r="C27" i="15"/>
  <c r="B27" i="15"/>
  <c r="AB26" i="15"/>
  <c r="AA26" i="15"/>
  <c r="Z26" i="15"/>
  <c r="Y26" i="15"/>
  <c r="X26" i="15"/>
  <c r="W26" i="15"/>
  <c r="V26" i="15"/>
  <c r="U26" i="15"/>
  <c r="T26" i="15"/>
  <c r="S26" i="15"/>
  <c r="R26" i="15"/>
  <c r="Q26" i="15"/>
  <c r="P26" i="15"/>
  <c r="O26" i="15"/>
  <c r="N26" i="15"/>
  <c r="M26" i="15"/>
  <c r="L26" i="15"/>
  <c r="K26" i="15"/>
  <c r="J26" i="15"/>
  <c r="I26" i="15"/>
  <c r="H26" i="15"/>
  <c r="G26" i="15"/>
  <c r="F26" i="15"/>
  <c r="E26" i="15"/>
  <c r="D26" i="15"/>
  <c r="C26" i="15"/>
  <c r="B26" i="15"/>
  <c r="AB25" i="15"/>
  <c r="AB28" i="15" s="1"/>
  <c r="AA25" i="15"/>
  <c r="AA28" i="15" s="1"/>
  <c r="Z25" i="15"/>
  <c r="Z28" i="15" s="1"/>
  <c r="Y25" i="15"/>
  <c r="Y28" i="15" s="1"/>
  <c r="X25" i="15"/>
  <c r="X28" i="15" s="1"/>
  <c r="W25" i="15"/>
  <c r="W28" i="15" s="1"/>
  <c r="V25" i="15"/>
  <c r="V28" i="15" s="1"/>
  <c r="U25" i="15"/>
  <c r="U28" i="15" s="1"/>
  <c r="T25" i="15"/>
  <c r="S25" i="15"/>
  <c r="S28" i="15" s="1"/>
  <c r="R25" i="15"/>
  <c r="R28" i="15" s="1"/>
  <c r="Q25" i="15"/>
  <c r="Q28" i="15" s="1"/>
  <c r="P25" i="15"/>
  <c r="P28" i="15" s="1"/>
  <c r="O25" i="15"/>
  <c r="O28" i="15" s="1"/>
  <c r="N25" i="15"/>
  <c r="N28" i="15" s="1"/>
  <c r="M25" i="15"/>
  <c r="M28" i="15" s="1"/>
  <c r="L25" i="15"/>
  <c r="K25" i="15"/>
  <c r="J25" i="15"/>
  <c r="I25" i="15"/>
  <c r="H25" i="15"/>
  <c r="G25" i="15"/>
  <c r="G28" i="15" s="1"/>
  <c r="F25" i="15"/>
  <c r="E25" i="15"/>
  <c r="E28" i="15" s="1"/>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D24" i="15"/>
  <c r="B6" i="13"/>
  <c r="D17" i="14"/>
  <c r="D16" i="14"/>
  <c r="D15" i="14"/>
  <c r="D14" i="14"/>
  <c r="D13" i="14"/>
  <c r="D12" i="14"/>
  <c r="D11" i="14"/>
  <c r="D10" i="14"/>
  <c r="D9" i="14"/>
  <c r="D8" i="14"/>
  <c r="D7" i="14"/>
  <c r="D6" i="14"/>
  <c r="D5" i="14"/>
  <c r="D4" i="14"/>
  <c r="D3" i="14"/>
  <c r="D2" i="14"/>
  <c r="B3" i="14"/>
  <c r="B4" i="14"/>
  <c r="B5" i="14"/>
  <c r="B6" i="14"/>
  <c r="B7" i="14"/>
  <c r="B8" i="14"/>
  <c r="B9" i="14"/>
  <c r="B10" i="14"/>
  <c r="B11" i="14"/>
  <c r="B12" i="14"/>
  <c r="B13" i="14"/>
  <c r="B14" i="14"/>
  <c r="B15" i="14"/>
  <c r="B16" i="14"/>
  <c r="B17" i="14"/>
  <c r="C3" i="14"/>
  <c r="C4" i="14"/>
  <c r="C5" i="14"/>
  <c r="C6" i="14"/>
  <c r="C7" i="14"/>
  <c r="C8" i="14"/>
  <c r="C9" i="14"/>
  <c r="C10" i="14"/>
  <c r="C11" i="14"/>
  <c r="C12" i="14"/>
  <c r="C13" i="14"/>
  <c r="C14" i="14"/>
  <c r="C15" i="14"/>
  <c r="C16" i="14"/>
  <c r="C17" i="14"/>
  <c r="C2" i="14"/>
  <c r="B2" i="14"/>
  <c r="D6" i="13"/>
  <c r="D5" i="13"/>
  <c r="D4" i="13"/>
  <c r="D3" i="13"/>
  <c r="C6" i="13"/>
  <c r="C5" i="13"/>
  <c r="C4" i="13"/>
  <c r="C3" i="13"/>
  <c r="B3" i="13"/>
  <c r="B4" i="13"/>
  <c r="B5" i="13"/>
  <c r="D5" i="12"/>
  <c r="E5" i="12" s="1"/>
  <c r="F5" i="12" s="1"/>
  <c r="G5" i="12" s="1"/>
  <c r="H5" i="12" s="1"/>
  <c r="I5" i="12" s="1"/>
  <c r="J5" i="12" s="1"/>
  <c r="K5" i="12" s="1"/>
  <c r="L5" i="12" s="1"/>
  <c r="M5" i="12" s="1"/>
  <c r="E7" i="12"/>
  <c r="E12" i="12" s="1"/>
  <c r="C11" i="12"/>
  <c r="D11" i="12"/>
  <c r="D24" i="12" s="1"/>
  <c r="E11" i="12"/>
  <c r="E24" i="12" s="1"/>
  <c r="F11" i="12"/>
  <c r="F24" i="12" s="1"/>
  <c r="C12" i="12"/>
  <c r="D12" i="12"/>
  <c r="F12" i="12"/>
  <c r="F13" i="12" s="1"/>
  <c r="D14" i="12"/>
  <c r="E14" i="12"/>
  <c r="F14" i="12"/>
  <c r="G24" i="12"/>
  <c r="H24" i="12"/>
  <c r="I24" i="12"/>
  <c r="J24" i="12"/>
  <c r="K24" i="12"/>
  <c r="L24" i="12"/>
  <c r="M24" i="12"/>
  <c r="N24" i="12"/>
  <c r="O24" i="12"/>
  <c r="B3" i="15" l="1"/>
  <c r="T28" i="15"/>
  <c r="F28" i="15"/>
  <c r="H28" i="15"/>
  <c r="I28" i="15"/>
  <c r="J28" i="15"/>
  <c r="B28" i="15"/>
  <c r="B29" i="15" s="1"/>
  <c r="K28" i="15"/>
  <c r="C28" i="15"/>
  <c r="L28" i="15"/>
  <c r="J19" i="15"/>
  <c r="R19" i="15"/>
  <c r="Z19" i="15"/>
  <c r="B18" i="14"/>
  <c r="C5" i="17"/>
  <c r="D5" i="17" s="1"/>
  <c r="C6" i="17"/>
  <c r="D6" i="17" s="1"/>
  <c r="C7" i="17"/>
  <c r="D7" i="17" s="1"/>
  <c r="C8" i="17"/>
  <c r="D8" i="17" s="1"/>
  <c r="C9" i="17"/>
  <c r="D9" i="17" s="1"/>
  <c r="C2" i="17"/>
  <c r="C3" i="17"/>
  <c r="D3" i="17" s="1"/>
  <c r="C4" i="17"/>
  <c r="D4" i="17" s="1"/>
  <c r="B19" i="15"/>
  <c r="B20" i="15" s="1"/>
  <c r="D28" i="15"/>
  <c r="B10" i="17"/>
  <c r="C19" i="15"/>
  <c r="K19" i="15"/>
  <c r="S19" i="15"/>
  <c r="AA19" i="15"/>
  <c r="D19" i="15"/>
  <c r="L19" i="15"/>
  <c r="T19" i="15"/>
  <c r="AB19" i="15"/>
  <c r="E19" i="15"/>
  <c r="M19" i="15"/>
  <c r="U19" i="15"/>
  <c r="F19" i="15"/>
  <c r="N19" i="15"/>
  <c r="V19" i="15"/>
  <c r="G19" i="15"/>
  <c r="O19" i="15"/>
  <c r="B4" i="15" s="1"/>
  <c r="B5" i="15" s="1"/>
  <c r="W19" i="15"/>
  <c r="H19" i="15"/>
  <c r="P19" i="15"/>
  <c r="X19" i="15"/>
  <c r="I19" i="15"/>
  <c r="Q19" i="15"/>
  <c r="Y19" i="15"/>
  <c r="D13" i="12"/>
  <c r="D15" i="12" s="1"/>
  <c r="D21" i="12" s="1"/>
  <c r="E13" i="12"/>
  <c r="E15" i="12" s="1"/>
  <c r="E21" i="12" s="1"/>
  <c r="F15" i="12"/>
  <c r="F21" i="12" s="1"/>
  <c r="D18" i="14"/>
  <c r="C18" i="14"/>
  <c r="E17" i="14"/>
  <c r="E9" i="14"/>
  <c r="E16" i="14"/>
  <c r="E8" i="14"/>
  <c r="E15" i="14"/>
  <c r="E7" i="14"/>
  <c r="E14" i="14"/>
  <c r="E6" i="14"/>
  <c r="E13" i="14"/>
  <c r="E5" i="14"/>
  <c r="E12" i="14"/>
  <c r="E4" i="14"/>
  <c r="E11" i="14"/>
  <c r="E3" i="14"/>
  <c r="E10" i="14"/>
  <c r="E2" i="14"/>
  <c r="E6" i="13"/>
  <c r="E5" i="13"/>
  <c r="E4" i="13"/>
  <c r="E3" i="13"/>
  <c r="D7" i="13"/>
  <c r="C7" i="13"/>
  <c r="B10" i="15" l="1"/>
  <c r="C29" i="15"/>
  <c r="D29" i="15" s="1"/>
  <c r="E29" i="15" s="1"/>
  <c r="F29" i="15" s="1"/>
  <c r="G29" i="15" s="1"/>
  <c r="H29" i="15" s="1"/>
  <c r="I29" i="15" s="1"/>
  <c r="J29" i="15" s="1"/>
  <c r="K29" i="15" s="1"/>
  <c r="L29" i="15" s="1"/>
  <c r="M29" i="15" s="1"/>
  <c r="N29" i="15" s="1"/>
  <c r="O29" i="15" s="1"/>
  <c r="P29" i="15" s="1"/>
  <c r="Q29" i="15" s="1"/>
  <c r="R29" i="15" s="1"/>
  <c r="S29" i="15" s="1"/>
  <c r="T29" i="15" s="1"/>
  <c r="U29" i="15" s="1"/>
  <c r="V29" i="15" s="1"/>
  <c r="W29" i="15" s="1"/>
  <c r="X29" i="15" s="1"/>
  <c r="Y29" i="15" s="1"/>
  <c r="Z29" i="15" s="1"/>
  <c r="AA29" i="15" s="1"/>
  <c r="AB29" i="15" s="1"/>
  <c r="E9" i="17"/>
  <c r="B9" i="15"/>
  <c r="C10" i="17"/>
  <c r="D2" i="17"/>
  <c r="D10" i="17" s="1"/>
  <c r="E8" i="17"/>
  <c r="E6" i="17"/>
  <c r="E7" i="17"/>
  <c r="E5" i="17"/>
  <c r="E4" i="17"/>
  <c r="E3" i="17"/>
  <c r="F17" i="12"/>
  <c r="F18" i="12" s="1"/>
  <c r="D17" i="12"/>
  <c r="D18" i="12" s="1"/>
  <c r="E17" i="12"/>
  <c r="E18" i="12" s="1"/>
  <c r="C20" i="15"/>
  <c r="D20" i="15" s="1"/>
  <c r="E20" i="15" s="1"/>
  <c r="F20" i="15" s="1"/>
  <c r="G20" i="15" s="1"/>
  <c r="H20" i="15" s="1"/>
  <c r="I20" i="15" s="1"/>
  <c r="J20" i="15" s="1"/>
  <c r="K20" i="15" s="1"/>
  <c r="L20" i="15" s="1"/>
  <c r="M20" i="15" s="1"/>
  <c r="N20" i="15" s="1"/>
  <c r="O20" i="15" s="1"/>
  <c r="P20" i="15" s="1"/>
  <c r="Q20" i="15" s="1"/>
  <c r="R20" i="15" s="1"/>
  <c r="S20" i="15" s="1"/>
  <c r="T20" i="15" s="1"/>
  <c r="U20" i="15" s="1"/>
  <c r="V20" i="15" s="1"/>
  <c r="W20" i="15" s="1"/>
  <c r="X20" i="15" s="1"/>
  <c r="Y20" i="15" s="1"/>
  <c r="Z20" i="15" s="1"/>
  <c r="AA20" i="15" s="1"/>
  <c r="AB20" i="15" s="1"/>
  <c r="E18" i="14"/>
  <c r="E7" i="13"/>
  <c r="B7" i="13"/>
  <c r="E2" i="17" l="1"/>
  <c r="E10" i="17" s="1"/>
  <c r="B2" i="10"/>
  <c r="B2" i="9"/>
</calcChain>
</file>

<file path=xl/sharedStrings.xml><?xml version="1.0" encoding="utf-8"?>
<sst xmlns="http://schemas.openxmlformats.org/spreadsheetml/2006/main" count="1399" uniqueCount="799">
  <si>
    <t>個人 API Key</t>
    <rPh sb="0" eb="2">
      <t>コジン</t>
    </rPh>
    <phoneticPr fontId="2"/>
  </si>
  <si>
    <t>リンク</t>
    <phoneticPr fontId="2"/>
  </si>
  <si>
    <t>IssueID</t>
    <phoneticPr fontId="2"/>
  </si>
  <si>
    <t>タイトル</t>
    <phoneticPr fontId="2"/>
  </si>
  <si>
    <t>Backlog API URL</t>
    <phoneticPr fontId="2"/>
  </si>
  <si>
    <t>https://sasuke-fl.backlog.com/view/</t>
    <phoneticPr fontId="2"/>
  </si>
  <si>
    <t>Backlog URL</t>
    <phoneticPr fontId="2"/>
  </si>
  <si>
    <t>OPEN</t>
  </si>
  <si>
    <t>親課題</t>
    <rPh sb="0" eb="1">
      <t>オヤ</t>
    </rPh>
    <rPh sb="1" eb="3">
      <t>カダイ</t>
    </rPh>
    <phoneticPr fontId="2"/>
  </si>
  <si>
    <t>バックログID</t>
    <phoneticPr fontId="2"/>
  </si>
  <si>
    <t>https://sasuke-fl.backlog.com/api/v2/issues</t>
    <phoneticPr fontId="2"/>
  </si>
  <si>
    <t>backlog</t>
    <phoneticPr fontId="2"/>
  </si>
  <si>
    <t>現担当者</t>
    <rPh sb="0" eb="4">
      <t>ゲンタントウシャ</t>
    </rPh>
    <phoneticPr fontId="2"/>
  </si>
  <si>
    <t>ステータス</t>
    <phoneticPr fontId="2"/>
  </si>
  <si>
    <t>開始日</t>
    <rPh sb="0" eb="3">
      <t>カイシビ</t>
    </rPh>
    <phoneticPr fontId="2"/>
  </si>
  <si>
    <t>終了日</t>
    <rPh sb="0" eb="3">
      <t>シュウリョウビ</t>
    </rPh>
    <phoneticPr fontId="2"/>
  </si>
  <si>
    <t>事象内容</t>
    <rPh sb="0" eb="2">
      <t>ジショウ</t>
    </rPh>
    <rPh sb="2" eb="4">
      <t>ナイヨウ</t>
    </rPh>
    <phoneticPr fontId="2"/>
  </si>
  <si>
    <t>障害原因</t>
    <rPh sb="0" eb="2">
      <t>ショウガイ</t>
    </rPh>
    <rPh sb="2" eb="4">
      <t>ゲンイン</t>
    </rPh>
    <phoneticPr fontId="2"/>
  </si>
  <si>
    <t>対応内容</t>
    <rPh sb="0" eb="2">
      <t>タイオウ</t>
    </rPh>
    <rPh sb="2" eb="4">
      <t>ナイヨウ</t>
    </rPh>
    <phoneticPr fontId="2"/>
  </si>
  <si>
    <t>障害分類</t>
    <rPh sb="0" eb="2">
      <t>ショウガイ</t>
    </rPh>
    <rPh sb="2" eb="4">
      <t>ブンルイ</t>
    </rPh>
    <phoneticPr fontId="2"/>
  </si>
  <si>
    <t>未対応</t>
  </si>
  <si>
    <t>完了</t>
  </si>
  <si>
    <t>実装不備</t>
  </si>
  <si>
    <t>その他</t>
  </si>
  <si>
    <t xml:space="preserve">kz94UACQFS002bGiYmEjPb3lJHiLHOk1jig9Q1jtvOW2dk5OySaPDkWlOSAqoD9B </t>
    <phoneticPr fontId="2"/>
  </si>
  <si>
    <t>障害対象設計書</t>
    <phoneticPr fontId="2"/>
  </si>
  <si>
    <t>SASUKE_PROJ_H8739-511</t>
    <phoneticPr fontId="2"/>
  </si>
  <si>
    <t>SASUKE_PROJ_H8739-554</t>
  </si>
  <si>
    <t>【単体テスト・不具合】G0106 ご本人さま確認に関して画面 G0107個人情報入力画面からブラウザバックした際に進むボタンが非活性状態</t>
  </si>
  <si>
    <t>家塚晃慈</t>
  </si>
  <si>
    <t>進むボタンが非活性状態</t>
  </si>
  <si>
    <t>詳細設計書_G0106_ご本人さま確認に関して画面.xlsx</t>
  </si>
  <si>
    <t>SASUKE_PROJ_H8739-553</t>
  </si>
  <si>
    <t>【単体テスト・不具合】G0106 ご本人さま確認に関して画面 進むボタンを押下した際に二重押下防止の処理がなく、押下できてしまう</t>
  </si>
  <si>
    <t>二重押下防止の処理がなく、押下できてしまう</t>
  </si>
  <si>
    <t>詳細設計書_G0106_ご本人さま確認に関して画面</t>
  </si>
  <si>
    <t>SASUKE_PROJ_H8739-552</t>
  </si>
  <si>
    <t>【単体テスト・不具合】G0119_受取人・請求人入力画面_氏名に半角文字を入力した後フォーカスアウトで全角に変換されない</t>
  </si>
  <si>
    <t>中道信行</t>
  </si>
  <si>
    <t>・氏名入力欄に半角で文字を入力・フォーカスアウト後、全角に自動変換されない</t>
  </si>
  <si>
    <t>SASUKE_PROJ_H8739-551</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</si>
  <si>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</si>
  <si>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</si>
  <si>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SASUKE_PROJ_H8739-548</t>
  </si>
  <si>
    <t>ー</t>
  </si>
  <si>
    <t>要調査</t>
  </si>
  <si>
    <t>SASUKE_PROJ_H8739-543</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</si>
  <si>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</si>
  <si>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</si>
  <si>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</si>
  <si>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</si>
  <si>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SASUKE_PROJ_H8739-542</t>
  </si>
  <si>
    <t>【単体テスト・不具合】G0105_申込前確認画面_画面URLに差異有</t>
  </si>
  <si>
    <t>tm-s_teramoto</t>
  </si>
  <si>
    <t>SS設計不備</t>
  </si>
  <si>
    <t>詳細設計書_G0105_申込前確認画面.xlsx＞プロセス概要＞URLの表記と、実際のURLに差異が生じている
・詳細設計書→/estimate/before-entry
・実際のURI→/estimate/before-apply</t>
  </si>
  <si>
    <t>SS設計不備のため</t>
  </si>
  <si>
    <t>SS設計を正規のURLに修正</t>
  </si>
  <si>
    <t>SASUKE_PROJ_H8739-541</t>
  </si>
  <si>
    <t>【単体テスト・不具合】G0105_申込前確認画面_ブラウザバックで遷移してきたときの挙動</t>
  </si>
  <si>
    <t>読み込み時に、キャッシュを使用しており、javascriptが再実行されないため
(iOSの仕様という記事を散見)</t>
  </si>
  <si>
    <t>SASUKE_PROJ_H8739-534</t>
  </si>
  <si>
    <t>SASUKE_PROJ_H8739-529</t>
  </si>
  <si>
    <t>【単体テスト・不具合】Karriere\JsonDecoder\ClassBindings参照エラー</t>
  </si>
  <si>
    <t>inouchi</t>
  </si>
  <si>
    <t>use の記述漏れ</t>
  </si>
  <si>
    <t>use Karriere\JsonDecoder\ClassBindings;
を追記する</t>
  </si>
  <si>
    <t>SASUKE_PROJ_H8739-528</t>
  </si>
  <si>
    <t>【単体テスト・不具合】商品情報のドメインバリュークラスで存在しないクラスを継承している</t>
  </si>
  <si>
    <t>t.taguchi</t>
  </si>
  <si>
    <t>SASUKE_PROJ_H8739-527</t>
  </si>
  <si>
    <t>【単体テスト・不具合】告知情報事前確認画面_戻るボタン押下時にエラーが表示される</t>
  </si>
  <si>
    <t>TM森山</t>
  </si>
  <si>
    <t>SASUKE_PROJ_H8739-526</t>
  </si>
  <si>
    <t>SASUKE_PROJ_H8739-525</t>
  </si>
  <si>
    <t>SASUKE_PROJ_H8739-524</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</si>
  <si>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</si>
  <si>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</si>
  <si>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SASUKE_PROJ_H8739-522</t>
  </si>
  <si>
    <t>SASUKE_PROJ_H8739-521</t>
  </si>
  <si>
    <t>SASUKE_PROJ_H8739-711</t>
    <phoneticPr fontId="2"/>
  </si>
  <si>
    <t>SASUKE_PROJ_H8739-756</t>
    <phoneticPr fontId="2"/>
  </si>
  <si>
    <t>【親課題】単体テストで発見された不具合・障害報告(SP1～SP5)</t>
  </si>
  <si>
    <t>【親課題】単体テストで発見された不具合・障害報告(SP1～SP5)</t>
    <phoneticPr fontId="2"/>
  </si>
  <si>
    <t>【親課題】単体テストで発見された不具合・障害報告(SP6)</t>
  </si>
  <si>
    <t>【親課題】単体テストで発見された横断対応(優先度低)</t>
  </si>
  <si>
    <t>【親課題】単体テストで発見された不具合・障害報告(SP6)</t>
    <phoneticPr fontId="2"/>
  </si>
  <si>
    <t>【親課題】単体テストで発見された横断対応(優先度低)</t>
    <phoneticPr fontId="2"/>
  </si>
  <si>
    <t>SP1～SP5</t>
    <phoneticPr fontId="2"/>
  </si>
  <si>
    <t>SASUKE_PROJ_H8739-817</t>
  </si>
  <si>
    <t>川村和英</t>
  </si>
  <si>
    <t>SASUKE_PROJ_H8739-810</t>
  </si>
  <si>
    <t>TBC</t>
  </si>
  <si>
    <t>SASUKE_PROJ_H8739-802</t>
  </si>
  <si>
    <t>SASUKE_PROJ_H8739-787</t>
  </si>
  <si>
    <t>【単体テスト・不具合】G0117_告知情報入力画面(AURA)_フリーワード検索から選択して入力後も必須バリデーションエラーメッセージが消えない</t>
  </si>
  <si>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</si>
  <si>
    <t>SASUKE_PROJ_H8739-784</t>
  </si>
  <si>
    <t>【単体テスト・不具合】G0117_告知情報入力画面(AURA)_子質問で「戻る」を押下すると質問回答済みだが「次へ」が押せない</t>
  </si>
  <si>
    <t>子質問で「戻る」を押下すると質問回答済みだが「次へ」が押せない
![image][スクリーンショット 2021-01-21 12.30.50.png]
　↓
![image][スクリーンショット 2021-01-21 12.31.03.png]
　↓
![image][スクリーンショット 2021-01-21 12.31.12.png]</t>
  </si>
  <si>
    <t>詳細設計書のファイル名を記載する。</t>
  </si>
  <si>
    <t>SASUKE_PROJ_H8739-783</t>
  </si>
  <si>
    <t>SASUKE_PROJ_H8739-781</t>
  </si>
  <si>
    <t>SASUKE_PROJ_H8739-773</t>
  </si>
  <si>
    <t>【単体テスト・不具合】全画面共通_「次へ」系の遷移ボタンの多重押下防止処理の対応</t>
  </si>
  <si>
    <t>TM石川</t>
  </si>
  <si>
    <t>SASUKE_PROJ_H8739-771</t>
  </si>
  <si>
    <t>SASUKE_PROJ_H8739-765</t>
  </si>
  <si>
    <t>PCデザインに変更した際に、正しくバリデーションが効かなくなった。</t>
  </si>
  <si>
    <t>SASUKE_PROJ_H8739-649で行った対応と同様。
次へボタンが有効になる条件を変更。</t>
  </si>
  <si>
    <t>詳細設計書_G0116_ご職業・年収入力画面</t>
  </si>
  <si>
    <t>SASUKE_PROJ_H8739-762</t>
  </si>
  <si>
    <t>★要件不備／SA/UI設計不備／SS設計不備／実装不備／テスト仕様書不備／テスト実施不備／テスト環境不備／その他</t>
  </si>
  <si>
    <t>SASUKE_PROJ_H8739-761</t>
  </si>
  <si>
    <t>SASUKE_PROJ_H8739-758</t>
  </si>
  <si>
    <t>【単体テスト・不具合】G0125_申込完了画面_セッションが削除されていない</t>
  </si>
  <si>
    <t>セッション削除処理が未実装なため、画面描画後、画面リフレッシュすると申込完了画面が再表示される</t>
  </si>
  <si>
    <t>実装不備
（詳細設計書には、セッションより全ての申込情報を破棄する　記載あり）</t>
  </si>
  <si>
    <t>申込完了画面表示処理後に申込セッション情報の初期化をおこなった。</t>
  </si>
  <si>
    <t>詳細設計書_G0125_申込完了画面.xlsx</t>
  </si>
  <si>
    <t>SASUKE_PROJ_H8739-743</t>
  </si>
  <si>
    <t>【単体テスト・不具合】G0125_申込完了画面_本人書類確認提出のコードが格納されているときに完了とならない</t>
  </si>
  <si>
    <t>SA/UI設計不備</t>
  </si>
  <si>
    <t>承諾コードに「16：本人確認書類提出完了」が格納されている際に、判定フラグがtrueにならない</t>
  </si>
  <si>
    <t>SA/UI設計不備、実装不備</t>
  </si>
  <si>
    <t>SA/UI設計書を修正
実装：条件式のコード値を修正</t>
  </si>
  <si>
    <t>画面設計書_G0125_申込完了画面.xlsx</t>
  </si>
  <si>
    <t>SASUKE_PROJ_H8739-729</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</si>
  <si>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</si>
  <si>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</si>
  <si>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SASUKE_PROJ_H8739-728</t>
  </si>
  <si>
    <t>SASUKE_PROJ_H8739-727</t>
  </si>
  <si>
    <t>SASUKE_PROJ_H8739-726</t>
  </si>
  <si>
    <t>親質問更新時にスクロール位置が保持されているため</t>
  </si>
  <si>
    <t>親質問更新時に、最上部へ自動スクロールするように変更</t>
  </si>
  <si>
    <t>SASUKE_PROJ_H8739-725</t>
  </si>
  <si>
    <t>SASUKE_PROJ_H8739-724</t>
  </si>
  <si>
    <t>SASUKE_PROJ_H8739-723</t>
  </si>
  <si>
    <t>SASUKE_PROJ_H8739-722</t>
  </si>
  <si>
    <t>SASUKE_PROJ_H8739-721</t>
  </si>
  <si>
    <t>【単体テスト・不具合】G0117_告知情報入力画面(AURA)_次へで質問を進めていくとシステムエラー</t>
  </si>
  <si>
    <t>次へで質問を進めていくとシステムエラーが発生して先に進めなくなる</t>
  </si>
  <si>
    <t>チェックボックスタイプでエラー</t>
  </si>
  <si>
    <t>実装ロジックのミスを修正</t>
  </si>
  <si>
    <t>SASUKE_PROJ_H8739-720</t>
  </si>
  <si>
    <t>SASUKE_PROJ_H8739-718</t>
  </si>
  <si>
    <t>SASUKE_PROJ_H8739-717</t>
  </si>
  <si>
    <t>詳細設計書_G0107_個人情報入力画面.xlsx</t>
  </si>
  <si>
    <t>SASUKE_PROJ_H8739-716</t>
  </si>
  <si>
    <t>実装修正</t>
  </si>
  <si>
    <t>SASUKE_PROJ_H8739-713</t>
  </si>
  <si>
    <t>SASUKE_PROJ_H8739-712</t>
  </si>
  <si>
    <t>詳細設計書_G0124_申込内容最終確認画面</t>
  </si>
  <si>
    <t>SASUKE_PROJ_H8739-710</t>
  </si>
  <si>
    <t>SASUKE_PROJ_H8739-709</t>
  </si>
  <si>
    <t>未実装</t>
  </si>
  <si>
    <t>SASUKE_PROJ_H8739-708</t>
  </si>
  <si>
    <t>【単体テスト・不具合】G0124_申込内容最終確認画面_請求人・受取人情報の見出しが設計書と異なる</t>
  </si>
  <si>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t>
  </si>
  <si>
    <t>表示条件取得処理実装
表示条件出し分け処理実装</t>
  </si>
  <si>
    <t>SASUKE_PROJ_H8739-707</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</si>
  <si>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</si>
  <si>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</si>
  <si>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</si>
  <si>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</si>
  <si>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SASUKE_PROJ_H8739-705</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</si>
  <si>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</si>
  <si>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SASUKE_PROJ_H8739-704</t>
  </si>
  <si>
    <t>SASUKE_PROJ_H8739-702</t>
  </si>
  <si>
    <t>【単体テスト・不具合】G0121_保険料払込方法選択画面_口座振替モーダルの×ボタンが非表示</t>
  </si>
  <si>
    <t>口座振替を選択した際に表示されるモーダルの×ボタンが非表示になっている。
![image][口座振替モーダルの×ボタンが非表示.png]</t>
  </si>
  <si>
    <t>詳細には確認できていませんが、クレジットカードのモーダルとdiv構造が異なっているように感じました。</t>
  </si>
  <si>
    <t>モーダルの記述が崩れていたため修正しました。</t>
  </si>
  <si>
    <t>【単体テスト・不具合】詳細設計書_G0121_保険料払込方法選択画面.xlsx
https://docs.google.com/spreadsheets/d/1yz8WC-mIkkmnPHbe1dGw_bFlZsuHjbnN/edit#gid=1692270551</t>
  </si>
  <si>
    <t>SASUKE_PROJ_H8739-700</t>
  </si>
  <si>
    <t>【単体テスト・不具合】G0124_申込内容最終確認画面_保険料払込免除特約の給付金額・日額等に「付加する」が表示されない</t>
  </si>
  <si>
    <t>5商品の保険料払込免除特約に付加区分１をセットしても「付加する」と表示されない
（該当約款コード'03A', '31A', '31C', '31D', '31E'）
![image][2021-01-15_15h07_20.png]</t>
  </si>
  <si>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</si>
  <si>
    <t>画面へ表示する値変更</t>
  </si>
  <si>
    <t>SASUKE_PROJ_H8739-698</t>
  </si>
  <si>
    <t>SASUKE_PROJ_H8739-697</t>
  </si>
  <si>
    <t>処理済み</t>
  </si>
  <si>
    <t>SASUKE_PROJ_H8739-694</t>
  </si>
  <si>
    <t>SASUKE_PROJ_H8739-692</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</si>
  <si>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</si>
  <si>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</si>
  <si>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</si>
  <si>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SASUKE_PROJ_H8739-691</t>
  </si>
  <si>
    <t>SASUKE_PROJ_H8739-687</t>
  </si>
  <si>
    <t>SASUKE_PROJ_H8739-682</t>
  </si>
  <si>
    <t>SASUKE_PROJ_H8739-681</t>
  </si>
  <si>
    <t>SASUKE_PROJ_H8739-679</t>
  </si>
  <si>
    <t>【単体テスト・不具合】G0106 ご本人さま確認に関して画面 次へボタンを押下した際に二重押下防止の処理がなく、押下できてしまう</t>
  </si>
  <si>
    <t>SASUKE_PROJ_H8739-678</t>
  </si>
  <si>
    <t>TM_y-ishigaki</t>
  </si>
  <si>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</si>
  <si>
    <t>SS設計を正規のURLに修正
・参照するプロパティの値についてスペルミスを修正「applyDateTime」→「applyDatetime」
・判定をemptyからis_nullへ変更</t>
  </si>
  <si>
    <t>SASUKE_PROJ_H8739-676</t>
  </si>
  <si>
    <t>Koichi Kibe</t>
  </si>
  <si>
    <t>詳細設計書_G0128_Web申込み専用ページログイン画面（仮登録後）.xlsx
https://drive.google.com/file/d/17FsWMQyY9xLFEOz3DQbbqFsJpwIlMciS/view?usp=sharing</t>
  </si>
  <si>
    <t>SASUKE_PROJ_H8739-675</t>
  </si>
  <si>
    <t>SASUKE_PROJ_H8739-674</t>
  </si>
  <si>
    <t>TM薬袋</t>
  </si>
  <si>
    <t>SASUKE_PROJ_H8739-673</t>
  </si>
  <si>
    <t>【単体テスト・不具合】G0128_Web申込み専用ページログイン画面（仮登録後）_helpers.phpでエラーが発生する</t>
  </si>
  <si>
    <t>ハッシュID有効期限切れ確認のため、APIで【HTTPステータスコード401 errorType=401001】を返却した際に
Laravelのエラー画面に遷移し、「$apierrosが定義されていない」という内容が表示される。</t>
  </si>
  <si>
    <t>・helpers.phpで変数$apierrosが定義されていない
　→helpers.phpの93行目に下記を追記
```
if ($statusCode === "401") {  // 認証エラー
    $apiErrors = $e-&gt;getErrorList();     // ←追記
    if ($apiErrors-&gt;errorType === "401001") {
        // Web申込み専用ページ仮登録画面の場合
```</t>
  </si>
  <si>
    <t>SASUKE_PROJ_H8739-672</t>
  </si>
  <si>
    <t>SASUKE_PROJ_H8739-671</t>
  </si>
  <si>
    <t>SASUKE_PROJ_H8739-670</t>
  </si>
  <si>
    <t>SASUKE_PROJ_H8739-669</t>
  </si>
  <si>
    <t>【単体テスト・不具合】G0128_Web申込み専用ページログイン画面（仮登録後）_Figmaのデザインと異なる</t>
  </si>
  <si>
    <t>下記箇所が異なる。
・「認証する」ボタンの形状が異なる
・背景色がついていない
■実装
![image][【現在の画面】218_web申込専用ページログイン画面.png]
■Figma
![image][【Figma】218_web申込専用ページログイン画面.png]</t>
  </si>
  <si>
    <t>対応時の取り込み漏れと思われる。</t>
  </si>
  <si>
    <t>下記をFigmaに合わせて修正しました。
・「認証する」ボタンの形状が異なる
・背景色がついていない</t>
  </si>
  <si>
    <t>SASUKE_PROJ_H8739-668</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</si>
  <si>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</si>
  <si>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t>
  </si>
  <si>
    <t>詳細設計書に、エラーコードが「400」の場合、通知画面を表示というハンドリングがされているため。</t>
  </si>
  <si>
    <t>エラーコードを「440」に変更
※"JSドキュメント(v1-h20).pdf"を参照</t>
  </si>
  <si>
    <t>SASUKE_PROJ_H8739-665</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</si>
  <si>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</si>
  <si>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</si>
  <si>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</si>
  <si>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SASUKE_PROJ_H8739-762
セッション取得処理が不要だったため、処理を削除しました。</t>
  </si>
  <si>
    <t>詳細設計書_G0128_Web申込み専用ページログイン画面（仮登録後）.xlsx
https://drive.google.com/file/d/17FsWMQyY9xLFEOz3DQbbqFsJpwIlMciS/view</t>
  </si>
  <si>
    <t>SASUKE_PROJ_H8739-664</t>
  </si>
  <si>
    <t>【未実装】G0119_受取人・請求人入力画面</t>
  </si>
  <si>
    <t>生年月日周りのJS処理    (計算機から持ってくる)</t>
  </si>
  <si>
    <t>計算機画面をG0119の生年月日と合わせました</t>
  </si>
  <si>
    <t>詳細設計書_G0119_受取人・請求人入力画面</t>
  </si>
  <si>
    <t>SASUKE_PROJ_H8739-659</t>
  </si>
  <si>
    <t>【単体テスト・不具合】G0127_Web申込み専用ページ仮登録完了画面　再読込み時エラー画面に遷移される。</t>
  </si>
  <si>
    <t>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</si>
  <si>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</si>
  <si>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SASUKE_PROJ_H8739-658</t>
  </si>
  <si>
    <t>【単体テスト・不具合】G0107_個人情報入力画面　Web申込み専用ページログインボタンを押下しても遷移できない</t>
  </si>
  <si>
    <t>Web申込み専用ページログインボタンを押下しても遷移できない</t>
  </si>
  <si>
    <t>遷移先であるWeb申込み専用ページログイン画面（G0201）がセットされていなかった。</t>
  </si>
  <si>
    <t>hrefに遷移先を追加　&lt;a href="{{ route('G0201') }}" class="btn small white rounded-login personal-content-item-btn"&gt;</t>
  </si>
  <si>
    <t>SASUKE_PROJ_H8739-657</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</si>
  <si>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</si>
  <si>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</si>
  <si>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</si>
  <si>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</si>
  <si>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</si>
  <si>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SASUKE_PROJ_H8739-656</t>
  </si>
  <si>
    <t>【単体テスト・不具合】G0127_Web申込み専用ページ仮登録完了画面　エラー画面に遷移されてしまう。</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</si>
  <si>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</si>
  <si>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</si>
  <si>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</si>
  <si>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</si>
  <si>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SASUKE_PROJ_H8739-655</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</si>
  <si>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</si>
  <si>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</si>
  <si>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SASUKE_PROJ_H8739-654</t>
  </si>
  <si>
    <t>SASUKE_PROJ_H8739-653</t>
  </si>
  <si>
    <t>【単体テスト・不具合】G0116_ご職業・年収入力画面_「次へ」押下後に二重押下防止のために非活性にならない</t>
  </si>
  <si>
    <t>「次へ」押下後に二重押下防止のために非活性にならない</t>
  </si>
  <si>
    <t>二重押下防止の処理の実装漏れ。</t>
  </si>
  <si>
    <t>二重押下防止の処理の実装を実施。</t>
  </si>
  <si>
    <t>SASUKE_PROJ_H8739-652</t>
  </si>
  <si>
    <t>SASUKE_PROJ_H8739-651</t>
  </si>
  <si>
    <t>SASUKE_PROJ_H8739-650</t>
  </si>
  <si>
    <t>SASUKE_PROJ_H8739-649</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</si>
  <si>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</si>
  <si>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</si>
  <si>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戻るで遷移した際に入力内容が反映される実装が行われていなかったため。</t>
  </si>
  <si>
    <t>セッションに格納されているデータを取得し、設定するように修正。</t>
  </si>
  <si>
    <t>SASUKE_PROJ_H8739-648</t>
  </si>
  <si>
    <t>【単体テスト・不具合】G0116_ご職業・年収入力画面_文言（各職業配下全ての）職種「サービス業」</t>
  </si>
  <si>
    <t>川上祐輝</t>
  </si>
  <si>
    <t>文言（各職業配下全ての）職種「サービス業」
【誤】サービス業
【正】サービス業(他に分類されないもの)
![image][スクリーンショット 2021-01-13 18.42.18.png]</t>
  </si>
  <si>
    <t>SASUKE_PROJ_H8739-647</t>
  </si>
  <si>
    <t>画面設計書_G0116_ご職業・年収入力画面</t>
  </si>
  <si>
    <t>SASUKE_PROJ_H8739-643</t>
  </si>
  <si>
    <t>SASUKE_PROJ_H8739-641</t>
  </si>
  <si>
    <t>詳細設計書_G0123_本人確認書類提出画面</t>
  </si>
  <si>
    <t>SASUKE_PROJ_H8739-640</t>
  </si>
  <si>
    <t>cssの設定値不備</t>
  </si>
  <si>
    <t>PCレイアウト修正時にセレクトボックスのデザイン修正</t>
  </si>
  <si>
    <t>SASUKE_PROJ_H8739-639</t>
  </si>
  <si>
    <t>SASUKE_PROJ_H8739-638</t>
  </si>
  <si>
    <t>【単体テスト・不具合】G127_Web申込み専用ページ仮登録完了画面　閉じるボタンでウィンドウが閉じない。</t>
  </si>
  <si>
    <t>閉じるボタンでウィンドウが閉じない。</t>
  </si>
  <si>
    <t>window.close() は、chromeにおいてセキュリティ的にNGとなっている。</t>
  </si>
  <si>
    <t>「閉じる」ボタンではなく、「TOPに戻る」ボタンに変更いたしました。
（須永さん確認済み　→　Figma変更済み）</t>
  </si>
  <si>
    <t>SASUKE_PROJ_H8739-636</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</si>
  <si>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</si>
  <si>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</si>
  <si>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SASUKE_PROJ_H8739-635</t>
  </si>
  <si>
    <t>【単体テスト・不具合】 バックエンドAPIの共有部分で返却値改修後の対応に漏れがある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</si>
  <si>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</si>
  <si>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</si>
  <si>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</si>
  <si>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SASUKE_PROJ_H8739-633</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</si>
  <si>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</si>
  <si>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</si>
  <si>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画面設計書_共通バリデーションチェック仕様書不備</t>
  </si>
  <si>
    <t>画面設計書_共通バリデーションチェック仕様書の修正</t>
  </si>
  <si>
    <t>https://drive.google.com/drive/u/0/folders/1CbM56AVtzmWiYuitAMop9srEf2sz1X7- 画面設計書_共通バリデーションチェック仕様書</t>
  </si>
  <si>
    <t>SASUKE_PROJ_H8739-632</t>
  </si>
  <si>
    <t>【単体テスト・不具合】G0116_ご職業・年収入力画面_選択項目の文字が長い場合にレイアウト崩れ</t>
  </si>
  <si>
    <t>選択項目の文字が長い場合にレイアウト崩れ
![image][スクリーンショット 2021-01-13 10.20.28.png]</t>
  </si>
  <si>
    <t>SASUKE_PROJ_H8739-628</t>
  </si>
  <si>
    <t>画面設計書_G0119_受取人・請求人入力画面</t>
  </si>
  <si>
    <t>SASUKE_PROJ_H8739-625</t>
  </si>
  <si>
    <t>SASUKE_PROJ_H8739-624</t>
  </si>
  <si>
    <t>SASUKE_PROJ_H8739-623</t>
  </si>
  <si>
    <t>伊東 雅弘</t>
  </si>
  <si>
    <t>SASUKE_PROJ_H8739-622</t>
  </si>
  <si>
    <t>SASUKE_PROJ_H8739-619</t>
  </si>
  <si>
    <t>テスト環境不備</t>
  </si>
  <si>
    <t>SASUKE_PROJ_H8739-618</t>
  </si>
  <si>
    <t>SASUKE_PROJ_H8739-616</t>
  </si>
  <si>
    <t>SASUKE_PROJ_H8739-615</t>
  </si>
  <si>
    <t>SASUKE_PROJ_H8739-613</t>
  </si>
  <si>
    <t>SASUKE_PROJ_H8739-612</t>
  </si>
  <si>
    <t>【詳細設計書不備】G0123_本人確認書類提出画面_書類ドロップダウン変更時にアップロード済ファイル情報がクリアされる仕様は必要ないので削除</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</si>
  <si>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</si>
  <si>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 xml:space="preserve"> 詳細設計書_G0123_本人確認書類提出画面</t>
  </si>
  <si>
    <t>SASUKE_PROJ_H8739-611</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</si>
  <si>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</si>
  <si>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</si>
  <si>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SASUKE_PROJ_H8739-610</t>
  </si>
  <si>
    <t>SASUKE_PROJ_H8739-608</t>
  </si>
  <si>
    <t>SASUKE_PROJ_H8739-607</t>
  </si>
  <si>
    <t>SASUKE_PROJ_H8739-605</t>
  </si>
  <si>
    <t>SASUKE_PROJ_H8739-604</t>
  </si>
  <si>
    <t>SASUKE_PROJ_H8739-601</t>
  </si>
  <si>
    <t>SASUKE_PROJ_H8739-600</t>
  </si>
  <si>
    <t>【単体テスト・不具合】G0121_保険料払込方法選択画面_ボタンの二重押下防止が未実装</t>
  </si>
  <si>
    <t>・ボタン押下後にボタンが非活性化していない</t>
  </si>
  <si>
    <t>実装しました。</t>
  </si>
  <si>
    <t>SASUKE_PROJ_H8739-599</t>
  </si>
  <si>
    <t>【単体テスト・不具合】G0121_保険料払込方法選択画面_支払方法未選択前にボタンが活性化していない</t>
  </si>
  <si>
    <t>・支払方法が未選択状態で活性状態であること</t>
  </si>
  <si>
    <t>SASUKE_PROJ_H8739-596</t>
  </si>
  <si>
    <t>【単体テスト・不具合】商品の表示順が未実装</t>
  </si>
  <si>
    <t>申込内容確認画面などにおいて、商品（主契約特約の約款含む）の表示順が担保されていない。</t>
  </si>
  <si>
    <t>SASUKE_PROJ_H8739-593</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</si>
  <si>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</si>
  <si>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</si>
  <si>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うるう年の判定用の関数に、準備されていないオブジェクトを渡していたため。</t>
  </si>
  <si>
    <t>オブジェクトの有無の判定とデフォルト値の指定。</t>
  </si>
  <si>
    <t>詳細設計書_G0119_受取人・請求人入力画面.xlsx</t>
  </si>
  <si>
    <t>SASUKE_PROJ_H8739-592</t>
  </si>
  <si>
    <t>【単体テスト・不具合】G0120_受取人・請求人確認画面_戻るを押下した際、プリセットで被保険者からみた続柄が選択されない</t>
  </si>
  <si>
    <t>プリセットで被保険者からみた続柄が選択されない
![image][No5.png]</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</si>
  <si>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</si>
  <si>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</si>
  <si>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詳細設計書_G0120_受取人・請求人確認画面.xlsx</t>
  </si>
  <si>
    <t>SASUKE_PROJ_H8739-591</t>
  </si>
  <si>
    <t>松橋佑矢</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</si>
  <si>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</si>
  <si>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</si>
  <si>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SASUKE_PROJ_H8739-587</t>
  </si>
  <si>
    <t>SASUKE_PROJ_H8739-582</t>
  </si>
  <si>
    <t>SASUKE_PROJ_H8739-580</t>
  </si>
  <si>
    <t>【単体テスト・不具合】G0111意向確認画面　戻るボタンで戻ってきた時にチェックがクリアされている</t>
  </si>
  <si>
    <t>チェックがクリアされていて、次へボタンが押せない</t>
  </si>
  <si>
    <t>SASUKE_PROJ_H8739-578</t>
  </si>
  <si>
    <t>【単体テスト・不具合】G0111 意向確認画面「 次へ」ボタンを押下した際に二重押下防止の処理がなく、押下できてしまう</t>
  </si>
  <si>
    <t>SASUKE_PROJ_H8739-575</t>
  </si>
  <si>
    <t>【SS設計不備】G0111_意向確認画面_詳細設計 意向カテゴリ文言誤り</t>
  </si>
  <si>
    <t>【誤】特定の疾病の **補償** （がんなどへの備え）
【正】特定の疾病の **保障** （がんなどへの備え）</t>
  </si>
  <si>
    <t>詳細設計書_G0111_意向確認画面</t>
  </si>
  <si>
    <t>SASUKE_PROJ_H8739-574</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</si>
  <si>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</si>
  <si>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</si>
  <si>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詳細設計書_G0111_意向確認画面.xlsx</t>
  </si>
  <si>
    <t>SASUKE_PROJ_H8739-573</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</si>
  <si>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</si>
  <si>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</si>
  <si>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</si>
  <si>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</si>
  <si>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詳細設計書_G0109_申込内容確認画面.xlsx</t>
  </si>
  <si>
    <t>SASUKE_PROJ_H8739-572</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</si>
  <si>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</si>
  <si>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</si>
  <si>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</si>
  <si>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</si>
  <si>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SASUKE_PROJ_H8739-571</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</si>
  <si>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</si>
  <si>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</si>
  <si>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</si>
  <si>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</si>
  <si>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SASUKE_PROJ_H8739-569</t>
  </si>
  <si>
    <t>【SS設計不備】G0111_意向確認画面_セッションがない場合の遷移先画面がシステムエラー画面になっていない</t>
  </si>
  <si>
    <t>設計書において、セッションがない場合の遷移先画面がシステムエラー画面になっていない</t>
  </si>
  <si>
    <t>SASUKE_PROJ_H8739-568</t>
  </si>
  <si>
    <t>【単体テスト・不具合】G0111意向確認画面 セッションの商品コード、もしくは商品付加バージョン3のデータがない場合に最終意向が空で表示される</t>
  </si>
  <si>
    <t>セッションの商品コード、もしくは商品付加バージョン3のデータがない場合に最終意向が空で表示される
（正しい挙動）
システムエラー画面に遷移するのが正しい挙動</t>
  </si>
  <si>
    <t>SASUKE_PROJ_H8739-567</t>
  </si>
  <si>
    <t>【単体テスト・不具合】G0111意向確認画面 当初意向→最終意向で同じ商品は残ったまま商品追加されている場合に変更確認メッセージが出ない</t>
  </si>
  <si>
    <t>G0111意向確認画面 当初意向→最終意向で同じ商品は残ったまま商品追加されている場合に変更確認メッセージ
「お申込み手続き開始当初よりご意向が変更されました。ご確認ください。」
が表示されない</t>
  </si>
  <si>
    <t>SASUKE_PROJ_H8739-566</t>
  </si>
  <si>
    <t>【単体テスト・不具合】G0119_受取人・請求人入力画面_入力情報の確認へボタンが２重押下できる</t>
  </si>
  <si>
    <t>SASUKE_PROJ_H8739-565</t>
  </si>
  <si>
    <t>SASUKE_PROJ_H8739-558</t>
  </si>
  <si>
    <t>詳細設計書_G0105_申込前確認画面.xlsx＞プロセス概要
　→資料URL：https://docs.google.com/spreadsheets/d/1vfRgJpXYhrNNFllllc5LllSvjJFnepyQ/edit#gid=1646711699</t>
  </si>
  <si>
    <t>Safari(iOS)のみ、次画面の"G0106_重要事項確認画面"からブラウザバックで遷移してきたとき際に、「次へ」ボタンが非活性のまま表示されている</t>
  </si>
  <si>
    <t>【SS設計不備】G0106 ご本人さま確認に関して画面_申込セッションが存在しないときG9991画面にリダイレクトと記載されているがG9990が正</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</si>
  <si>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</si>
  <si>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</si>
  <si>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</si>
  <si>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</si>
  <si>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継承元のクラスが内とエラーが出力される</t>
  </si>
  <si>
    <t>継承元クラスが存在しないProductionInfoとなっている（実際に存在しているのはProductInfo）</t>
  </si>
  <si>
    <t>継承元クラスProductInfoに変更</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</si>
  <si>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</si>
  <si>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</si>
  <si>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</si>
  <si>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</si>
  <si>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</si>
  <si>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</si>
  <si>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</si>
  <si>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SASUKE_PROJ_H8739-776</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</si>
  <si>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 | 
| G0203	Web申込み専用ページメッセージBox画面 | | |
| G0204	Web申込み専用ページメッセージBox詳細画面 | | | 
| G0205	Web申込み専用ページ申込データ確認画面| | | 
| G0206	Web申込み専用ページ本人確認書類提出画面| | | 
| G0208	Web申込み専用ページ特別条件付・承諾対応画面| | | 
| G0209	Web申込み専用ページ意向確認画面（特別条件付承諾後）| | | 
| G0210	Web申込み専用ページ特別条件付・承諾対応確認画面| | | 
| G0211	Web申込み専用ページ引受不可確認画面| | | 
| G0212	Web申込み専用ページパスワード変更画面（未ログイン）| | | 
| G0213	Web申込み専用ページパスワード変更確認画面| | | 
| G0214	Web申込み専用ページメールアドレス変更画面| | | 
| G0215	Web申込み専用ページメールアドレス変更確認画面| | | 
| G0216	Web申込み専用ページパスワード変更画面| | | 
| G0126	システムメンテナンス画面| | | </t>
  </si>
  <si>
    <t>SASUKE_PROJ_H8739-770</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</si>
  <si>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</si>
  <si>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</si>
  <si>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SASUKE_PROJ_H8739-769</t>
  </si>
  <si>
    <t>【SS設計不備】G0213_Web申込み専用ページパスワード変更確認画面_変更するボタン押下時にログインされていたらパスワード変更せずにリダイレクトされるが不要</t>
  </si>
  <si>
    <t>詳細設計書_G0213_Web申込み専用ページパスワード変更確認画面</t>
  </si>
  <si>
    <t>SASUKE_PROJ_H8739-768</t>
  </si>
  <si>
    <t>【単体テスト・不具合】G0212_Web申込み専用ページパスワード変更画面（未ログイン）_メールアドレスの長さのバリデーションが効かない</t>
  </si>
  <si>
    <t>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</si>
  <si>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SASUKE_PROJ_H8739-766</t>
  </si>
  <si>
    <t>【単体テスト・不具合】G0212_Web申込み専用ページパスワード変更画面（未ログイン）_戻るボタン押下のURLがおかしい</t>
  </si>
  <si>
    <t>戻るボタン押下のURLがおかしい
![image][スクリーンショット 2021-01-20 12.40.41.png]
![image][スクリーンショット 2021-01-20 12.41.15.png]
![image][スクリーンショット 2021-01-20 12.41.25.png]
![image][スクリーンショット 2021-01-20 12.41.30.png]</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</si>
  <si>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</si>
  <si>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</si>
  <si>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</si>
  <si>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</si>
  <si>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</si>
  <si>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</si>
  <si>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詳細設計書_G0212_Web申込み専用パスワード変更画面(未ログイン)</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</si>
  <si>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</si>
  <si>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</si>
  <si>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</si>
  <si>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</si>
  <si>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</si>
  <si>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</si>
  <si>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SASUKE_PROJ_H8739-778</t>
  </si>
  <si>
    <t>【その他・単体テストタスク】middleware配下(共通)資源のUnitTest</t>
  </si>
  <si>
    <t>middleware配下(共通)資源のUnitTestの実施する
　(詳細)
　　・Laravel の初期状態との差分確認する
　　・差分(メンテナンス予告など)について、テストコードを作成の上、UnitTestを実施する
　※メンテナンス画面へ遷移部分については、薬袋さんが実施するため、対象からはずす</t>
  </si>
  <si>
    <t>SASUKE_PROJ_H8739-775</t>
  </si>
  <si>
    <t>【単体テスト・不具合】G0213_Web申込み専用ページパスワード変更確認画面_パスワードのエラー文言</t>
  </si>
  <si>
    <t>パスワードには記号も入力できるが、エラーメッセージの内容からだと記号が設定できないように感じられてしまう
![image][スクリーンショット 2021-01-20 19.15.16.png]
エラーメッセージ仕様書を見てもその内容のエラーメッセージはなさそう
https://docs.google.com/spreadsheets/d/1DXzdGjN3XEHY0Y2I5e2XJIunmQT96MJK/edit#gid=1168281187</t>
  </si>
  <si>
    <t>SASUKE_PROJ_H8739-719</t>
  </si>
  <si>
    <t>【その他】G0117_告知情報入力画面(AURA)_告知のポイント、用語解説モーダルのiframe内のHTMLを受領できていない</t>
  </si>
  <si>
    <t>告知のポイント、用語解説モーダルのiframe内のHTMLを受領できていない
そのため、空っぽのモーダルが表示される
いつまでに誰が対応して誰が受領するのか管理する必要がある
![image][スクリーンショット 2021-01-18 16.37.53.png]
![image][スクリーンショット 2021-01-18 16.38.02.png]
![image][スクリーンショット 2021-01-18 16.41.14.png]</t>
  </si>
  <si>
    <t>SASUKE_PROJ_H8739-706</t>
  </si>
  <si>
    <t>【単体テスト・不具合】API呼び出しのリトライ機能追加</t>
  </si>
  <si>
    <t>https://sasuke-fl.backlog.com/view/SASUKE_PROJ_H8739-280#comment-53411708
リトライ0、タイムアウト10秒
※変更されることを考慮し定数化しておくこと</t>
  </si>
  <si>
    <t>SASUKE_PROJ_H8739-693</t>
  </si>
  <si>
    <t>【単体テスト・不具合】G0107_個人情報入力画面_Figma上のデザインと異なる</t>
  </si>
  <si>
    <t>SASUKE_PROJ_H8739-606</t>
  </si>
  <si>
    <t>【SA/UI設計不備】（PEND）G0123_本人確認書類提出画面_リンクの横のアイコンを押しても何も起こらない</t>
  </si>
  <si>
    <t>リンクの横のアイコンを押しても何も起こらない
![image][スクリーンショット 2021-01-12 11.14.16.png]</t>
  </si>
  <si>
    <t>SASUKE_PROJ_H8739-598</t>
  </si>
  <si>
    <t>【単体テスト・不具合】（PEND）G0121_保険料払込方法選択画面_外部サイト(SBPS)へ遷移しない</t>
  </si>
  <si>
    <t>・遷移先が「/xxx」となっている。
　1/11に中道さんに確認したところ、接続先情報について提供されていないため未実装とのことでした。</t>
  </si>
  <si>
    <t>SASUKE_PROJ_H8739-597</t>
  </si>
  <si>
    <t>【単体テスト・不具合】（PEND）G0121_保険料払込方法選択画面_ポップアップのデザイン・文言が異なる</t>
  </si>
  <si>
    <t>・おすすめの支払方法の表示が無い（Figmaはクレジットカード支払いが推されている）
・支払方法の着色が異なる（Figmaは無色）
・次画面へ進むボタンの文言が「支払い入力を行う」）となっている（Figmaでは「次へ（収納代行サービス画面に遷移する」）
　...等
※Figmaは「遷移図(SPレイアウト)と比較」
■画面
G0121_保険料払込方法選択画面</t>
  </si>
  <si>
    <t>SASUKE_PROJ_H8739-594</t>
  </si>
  <si>
    <t>【単体テスト・不具合】キーボードのEnterによる挙動</t>
  </si>
  <si>
    <t>Enterにより次の画面に遷移させるかどうか</t>
  </si>
  <si>
    <t>SASUKE_PROJ_H8739-590</t>
  </si>
  <si>
    <t>【単体テスト・不具合】（PEND）G0120_受取人・請求人確認画面_初期表示がfigmaと異なる</t>
  </si>
  <si>
    <t>1.配偶者が表示されない
![image][No1_2.png]
2.画面上部の文言がfigmaと異なる
![image][figmaと文言が異なる箇所.jpg]</t>
  </si>
  <si>
    <t>SASUKE_PROJ_H8739-586</t>
  </si>
  <si>
    <t>【単体テスト・不具合】（未実装）再開時の承諾対象コード確認</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</si>
  <si>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</si>
  <si>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</si>
  <si>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</si>
  <si>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</si>
  <si>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</si>
  <si>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【単体テスト・不具合】遷移元制御処理</t>
  </si>
  <si>
    <t>直リンクなどによる不正な画面遷移を防具必要がある。</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</si>
  <si>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</si>
  <si>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SASUKE_PROJ_H8739-584</t>
  </si>
  <si>
    <t>【単体テスト・不具合】商品・特約などの並び順がソートされていない</t>
  </si>
  <si>
    <t>商品・特約などの並び順がソートされていない
申込内容確認画面などにおいて、商品（主契約特約の約款含む）の表示順が担保されていない。</t>
  </si>
  <si>
    <t>SASUKE_PROJ_H8739-583</t>
  </si>
  <si>
    <t>【単体テスト・不具合】二重ログイン防止</t>
  </si>
  <si>
    <t>二重ログイン防止対応がされていない</t>
  </si>
  <si>
    <t>SASUKE_PROJ_H8739-581</t>
  </si>
  <si>
    <t>【単体テスト・不具合】二週目の申込情報の配列制御ができていない</t>
  </si>
  <si>
    <t>SASUKE_PROJ_H8739-579</t>
  </si>
  <si>
    <t>【単体テスト・不具合】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</si>
  <si>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</si>
  <si>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SASUKE_PROJ_H8739-577</t>
  </si>
  <si>
    <t>【SA/UI設計不備】（PEND）G0111_意向確認画面_割増しされている　と　割増されていない　の表記揺れ　</t>
  </si>
  <si>
    <t>G0111_意向確認画面_割増しされている　と　割増されていない　の表記揺れ　
添付参照</t>
  </si>
  <si>
    <t>デザイン</t>
  </si>
  <si>
    <t>SASUKE_PROJ_H8739-576</t>
  </si>
  <si>
    <t>【SA/UI設計不備】（PEND）G0111_意向確認画面_冒頭文言とチェックボックスの文言について</t>
  </si>
  <si>
    <t>Figmaのデザインで、冒頭に以下のように「はい」「いいえ」でお答えください
とあるが
各チェックボックスは「確認しました」になっていて違和感がある
↓
お申込みいただく商品がお客様の最終的なご意向に沿ったものであるかご確認のうえ、各質問事項に「はい」「いいえ」でお答えください。</t>
  </si>
  <si>
    <t>SASUKE_PROJ_H8739-570</t>
  </si>
  <si>
    <t>【単体テスト・不具合】（PEND）G0111_意向確認画面 意向変更された際のメッセージの文言に誤りがある</t>
  </si>
  <si>
    <t xml:space="preserve"> 意向変更された際のメッセージの文言に誤りがある
【誤】お申込み手続き開始当初よりご意向の変更しました。確認してください。
【正】お申込み手続き開始当初よりご意向が変更されました。ご確認ください。</t>
  </si>
  <si>
    <t>【単体テスト・不具合】（PEND）G0112_告知情報事前確認画面_表のレイアウトが異なる</t>
  </si>
  <si>
    <t>表のタイトル、本文がFigmaでは横並びだが、実装では縦並びのレイアウトになっている</t>
  </si>
  <si>
    <t>定性コメント：</t>
    <rPh sb="0" eb="2">
      <t>テイセイ</t>
    </rPh>
    <phoneticPr fontId="12"/>
  </si>
  <si>
    <t>一人当たり予定消化件数</t>
    <rPh sb="0" eb="2">
      <t>ヒトリ</t>
    </rPh>
    <rPh sb="2" eb="3">
      <t>ア</t>
    </rPh>
    <rPh sb="5" eb="7">
      <t>ヨテイ</t>
    </rPh>
    <rPh sb="7" eb="9">
      <t>ショウカ</t>
    </rPh>
    <rPh sb="9" eb="11">
      <t>ケンスウ</t>
    </rPh>
    <phoneticPr fontId="12"/>
  </si>
  <si>
    <t>対応メンバ数</t>
    <rPh sb="0" eb="2">
      <t>タイオウ</t>
    </rPh>
    <rPh sb="5" eb="6">
      <t>スウ</t>
    </rPh>
    <phoneticPr fontId="12"/>
  </si>
  <si>
    <t>残日数
(翌日～1月末の営業日数)</t>
    <rPh sb="0" eb="1">
      <t>ザン</t>
    </rPh>
    <rPh sb="1" eb="3">
      <t>ニッスウ</t>
    </rPh>
    <rPh sb="5" eb="7">
      <t>ヨクジツ</t>
    </rPh>
    <rPh sb="9" eb="11">
      <t>ガツマツ</t>
    </rPh>
    <rPh sb="12" eb="14">
      <t>エイギョウ</t>
    </rPh>
    <rPh sb="14" eb="16">
      <t>ニッスウ</t>
    </rPh>
    <phoneticPr fontId="12"/>
  </si>
  <si>
    <t>対応件数予実差分</t>
    <rPh sb="0" eb="4">
      <t xml:space="preserve">タイオウケンスウ </t>
    </rPh>
    <rPh sb="4" eb="6">
      <t xml:space="preserve">ヨジツ </t>
    </rPh>
    <rPh sb="6" eb="8">
      <t xml:space="preserve">サブン </t>
    </rPh>
    <phoneticPr fontId="12"/>
  </si>
  <si>
    <t>参考数値</t>
    <rPh sb="0" eb="4">
      <t xml:space="preserve">サンコウスウチ </t>
    </rPh>
    <phoneticPr fontId="12"/>
  </si>
  <si>
    <t>見込み完了日</t>
    <rPh sb="0" eb="2">
      <t xml:space="preserve">ミコミ </t>
    </rPh>
    <rPh sb="3" eb="6">
      <t xml:space="preserve">カンリョウビ </t>
    </rPh>
    <phoneticPr fontId="12"/>
  </si>
  <si>
    <t>見込み残日数
（未完了/平均減少件数）</t>
    <rPh sb="0" eb="2">
      <t xml:space="preserve">ミコミ </t>
    </rPh>
    <rPh sb="3" eb="4">
      <t xml:space="preserve">ザンケンスウ </t>
    </rPh>
    <rPh sb="4" eb="6">
      <t xml:space="preserve">ニッスウ </t>
    </rPh>
    <phoneticPr fontId="12"/>
  </si>
  <si>
    <t>-</t>
    <phoneticPr fontId="12"/>
  </si>
  <si>
    <t>チケット減少件数</t>
    <rPh sb="4" eb="6">
      <t xml:space="preserve">ゲンショウ </t>
    </rPh>
    <rPh sb="6" eb="8">
      <t xml:space="preserve">ケンスウ </t>
    </rPh>
    <phoneticPr fontId="12"/>
  </si>
  <si>
    <t>完了前日比</t>
    <rPh sb="0" eb="2">
      <t xml:space="preserve">カンリョウ </t>
    </rPh>
    <rPh sb="2" eb="4">
      <t xml:space="preserve">ゼンジツヒ </t>
    </rPh>
    <rPh sb="4" eb="5">
      <t xml:space="preserve">ヒ </t>
    </rPh>
    <phoneticPr fontId="12"/>
  </si>
  <si>
    <t>追加チケット数</t>
    <rPh sb="0" eb="2">
      <t xml:space="preserve">ツイカ </t>
    </rPh>
    <rPh sb="6" eb="7">
      <t xml:space="preserve">スウ </t>
    </rPh>
    <phoneticPr fontId="12"/>
  </si>
  <si>
    <t>チケット</t>
    <phoneticPr fontId="12"/>
  </si>
  <si>
    <t>合計：全件数</t>
    <rPh sb="0" eb="2">
      <t>ゴウケイ</t>
    </rPh>
    <rPh sb="2" eb="3">
      <t>：</t>
    </rPh>
    <rPh sb="3" eb="6">
      <t xml:space="preserve">ゼンケンスウ </t>
    </rPh>
    <phoneticPr fontId="2"/>
  </si>
  <si>
    <t>合計：未完了件数</t>
    <rPh sb="0" eb="2">
      <t>ゴウケイ</t>
    </rPh>
    <rPh sb="3" eb="8">
      <t xml:space="preserve">ミカンリョウケンスウ </t>
    </rPh>
    <phoneticPr fontId="2"/>
  </si>
  <si>
    <t>合計</t>
    <rPh sb="0" eb="2">
      <t>ゴウケイ</t>
    </rPh>
    <phoneticPr fontId="2"/>
  </si>
  <si>
    <t>合計</t>
    <rPh sb="0" eb="2">
      <t>ゴウケイ</t>
    </rPh>
    <phoneticPr fontId="12"/>
  </si>
  <si>
    <t>完了</t>
    <rPh sb="0" eb="2">
      <t>カンリョウ</t>
    </rPh>
    <phoneticPr fontId="2"/>
  </si>
  <si>
    <t>処理中</t>
    <rPh sb="0" eb="3">
      <t>ショリチュウ</t>
    </rPh>
    <phoneticPr fontId="2"/>
  </si>
  <si>
    <t>未対応</t>
    <rPh sb="0" eb="3">
      <t>ミタイオウ</t>
    </rPh>
    <phoneticPr fontId="2"/>
  </si>
  <si>
    <t>ステータス</t>
    <phoneticPr fontId="12"/>
  </si>
  <si>
    <t>未完了件数見込み
（総量は仮置き）</t>
    <rPh sb="0" eb="3">
      <t xml:space="preserve">ミカンリョウ </t>
    </rPh>
    <rPh sb="3" eb="5">
      <t xml:space="preserve">ケンスウ </t>
    </rPh>
    <rPh sb="5" eb="7">
      <t xml:space="preserve">ミコミ </t>
    </rPh>
    <rPh sb="10" eb="12">
      <t xml:space="preserve">ソウリョウ </t>
    </rPh>
    <phoneticPr fontId="12"/>
  </si>
  <si>
    <t>予定対応件数</t>
    <rPh sb="0" eb="2">
      <t xml:space="preserve">ヨテイ </t>
    </rPh>
    <rPh sb="2" eb="4">
      <t xml:space="preserve">タイオウ </t>
    </rPh>
    <rPh sb="4" eb="6">
      <t xml:space="preserve">ケンスウ </t>
    </rPh>
    <phoneticPr fontId="12"/>
  </si>
  <si>
    <t>予定</t>
    <rPh sb="0" eb="1">
      <t xml:space="preserve">ヨテイ </t>
    </rPh>
    <phoneticPr fontId="12"/>
  </si>
  <si>
    <t>日付</t>
    <rPh sb="0" eb="2">
      <t>ヒヅケ</t>
    </rPh>
    <phoneticPr fontId="12"/>
  </si>
  <si>
    <t>＜SP1〜5のPTサマリ＞</t>
    <phoneticPr fontId="12"/>
  </si>
  <si>
    <t>＜計算用＞</t>
    <rPh sb="1" eb="4">
      <t>ケイサンヨウ</t>
    </rPh>
    <phoneticPr fontId="2"/>
  </si>
  <si>
    <t>SP6</t>
    <phoneticPr fontId="2"/>
  </si>
  <si>
    <t>優先度低</t>
  </si>
  <si>
    <t>修正
担当者</t>
    <rPh sb="0" eb="2">
      <t>シュウセイ</t>
    </rPh>
    <rPh sb="3" eb="6">
      <t>タントウシャ</t>
    </rPh>
    <phoneticPr fontId="2"/>
  </si>
  <si>
    <t>森山</t>
  </si>
  <si>
    <t>担当者</t>
    <rPh sb="0" eb="3">
      <t>タントウシャ</t>
    </rPh>
    <phoneticPr fontId="2"/>
  </si>
  <si>
    <t>森山</t>
    <rPh sb="0" eb="2">
      <t>モリヤマ</t>
    </rPh>
    <phoneticPr fontId="2"/>
  </si>
  <si>
    <t>石川</t>
    <rPh sb="0" eb="2">
      <t>イシカワ</t>
    </rPh>
    <phoneticPr fontId="2"/>
  </si>
  <si>
    <t>消化</t>
    <rPh sb="0" eb="2">
      <t>ショウカ</t>
    </rPh>
    <phoneticPr fontId="2"/>
  </si>
  <si>
    <t>空欄</t>
    <rPh sb="0" eb="2">
      <t>クウラン</t>
    </rPh>
    <phoneticPr fontId="2"/>
  </si>
  <si>
    <t>＜発生＞</t>
    <rPh sb="1" eb="3">
      <t>ハッセイ</t>
    </rPh>
    <phoneticPr fontId="2"/>
  </si>
  <si>
    <t>～1/10</t>
    <phoneticPr fontId="2"/>
  </si>
  <si>
    <t>発生</t>
    <rPh sb="0" eb="2">
      <t>ハッセイ</t>
    </rPh>
    <phoneticPr fontId="2"/>
  </si>
  <si>
    <t>要件不備</t>
  </si>
  <si>
    <t>テスト仕様書不備</t>
  </si>
  <si>
    <t>テスト実施不備</t>
  </si>
  <si>
    <t>原因分類</t>
    <rPh sb="0" eb="4">
      <t>ゲンインブンルイ</t>
    </rPh>
    <phoneticPr fontId="2"/>
  </si>
  <si>
    <t>＜日付指定＞</t>
    <rPh sb="1" eb="5">
      <t>ヒヅケシテイ</t>
    </rPh>
    <phoneticPr fontId="2"/>
  </si>
  <si>
    <t>分類</t>
    <rPh sb="0" eb="2">
      <t>ブンルイ</t>
    </rPh>
    <phoneticPr fontId="2"/>
  </si>
  <si>
    <t>＜完了＞</t>
    <rPh sb="1" eb="3">
      <t>カンリョウ</t>
    </rPh>
    <phoneticPr fontId="2"/>
  </si>
  <si>
    <t>増減</t>
    <rPh sb="0" eb="2">
      <t>ゾウゲン</t>
    </rPh>
    <phoneticPr fontId="2"/>
  </si>
  <si>
    <t>＜収束予定日＞</t>
    <rPh sb="1" eb="3">
      <t>シュウソク</t>
    </rPh>
    <rPh sb="3" eb="6">
      <t>ヨテイビ</t>
    </rPh>
    <phoneticPr fontId="2"/>
  </si>
  <si>
    <t>01/18～現在</t>
    <rPh sb="6" eb="8">
      <t>ゲンザイ</t>
    </rPh>
    <phoneticPr fontId="2"/>
  </si>
  <si>
    <t>小川</t>
  </si>
  <si>
    <t>SASUKE_PROJ_H8739-822</t>
  </si>
  <si>
    <t>「なし」の文字を表示するIF文処理のなかに色用のクラス付けのタグを追加しました。</t>
  </si>
  <si>
    <t>【単体テスト・不具合】G0107_個人情報入力画面_外部認証コードの設定値が違う</t>
  </si>
  <si>
    <t>TM有友</t>
  </si>
  <si>
    <t>外部認証の共通ビジネスロジックで設定されている、外部認証コード(extAuthCode)が違う
下記のように設定されている。
Yahoo：1
LINE：2
dアカウント：3</t>
  </si>
  <si>
    <t>【単体テスト・不具合】G0128_Web申込み専用ページログイン画面（仮登録後）外部認証のコールバックURLの不備</t>
  </si>
  <si>
    <t>★SS設計不備／実装不備</t>
  </si>
  <si>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</si>
  <si>
    <t>外部認証する際のURL　`"/webdirect/register-login/callback"`のURLを下記のいずれかの方法で変更する。
+ 定義の順番を変えてみる
+ 正規表現で制約をかける
+ ルート階層を変える</t>
  </si>
  <si>
    <t>G0128_Web申込み専用ページログイン画面（仮登録後）詳細設計書　プロセス概要
https://docs.google.com/spreadsheets/d/17FsWMQyY9xLFEOz3DQbbqFsJpwIlMciS/edit#gid=418015088</t>
  </si>
  <si>
    <t>sunaga-natsuko</t>
  </si>
  <si>
    <t>【SS設計不備】G127_Web申込み専用ページ仮登録完了画面_閉じるボタンが使えない</t>
  </si>
  <si>
    <t>閉じるボタンを実行するための、window.close() がchromeのセキュリティ的に動作しないので変更する必要がある。
→TOPに戻るボタンに変更する。
→実装は対応済みのため、設計書への反映をお願いします。
SASUKE_PROJ_H8739-638</t>
  </si>
  <si>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</si>
  <si>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</si>
  <si>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【SS設計不備】G0124_申込内容最終確認画面_生年月日の月日部分のフォーマットについて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</si>
  <si>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</si>
  <si>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【単体テスト・不具合】G0117_告知情報入力画面(AURA)_３問目の初期表示の際に「次へ」ボタンの色が薄い</t>
  </si>
  <si>
    <t>３問目の初期表示の際に「次へ」ボタンの色が薄い
２問目
![image][スクリーンショット 2021-01-18 17.05.26.png]
↓
３問目
![image][スクリーンショット 2021-01-18 17.05.37.png]</t>
  </si>
  <si>
    <t>CSSの不備に関するもの
`:hover` はスマホではタップ時のみ機能するものではないので、PCと挙動が異なるため発生するもの</t>
  </si>
  <si>
    <t>【サスケ】小川啓太</t>
  </si>
  <si>
    <t>・静的HTMLファイルの連携がされたら呼び出し部分の実装</t>
  </si>
  <si>
    <t>【単体テスト・不具合】G0107_個人情報入力画面_セッションにアカウント情報がセットされていない</t>
  </si>
  <si>
    <t>処理中</t>
  </si>
  <si>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</si>
  <si>
    <t>CSSで横幅720px以上で非表示にする処理が入っているため</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</si>
  <si>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</si>
  <si>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</si>
  <si>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</si>
  <si>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</si>
  <si>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</si>
  <si>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【単体テスト・不具合】G0128_Web申込専用ページログイン画面（仮登録後） 外部認証ログインの設計不備</t>
  </si>
  <si>
    <t>基本設計不備</t>
  </si>
  <si>
    <t>外部認証でログインするとき、初期表示のとき外部認証IDと外部認証コードを保持していない。
そのため、認証するボタンを押下時、アカウント認証APIに外部認証IDと外部認証コードをポストできない。　</t>
  </si>
  <si>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</si>
  <si>
    <t>値によって表示出し分け
項目「仕事の内容」については、
無しの場合はセッション空ではなく、00になる。</t>
  </si>
  <si>
    <t>【単体テスト・不具合】G0107_個人情報入力画面_二重押下出来てしまう</t>
  </si>
  <si>
    <t>次画面へ遷移するために、「次へ」ボタンを二重で押下出来てしまう。</t>
  </si>
  <si>
    <t>詳細設計書_G0107_個人情報入力画面.xlsx
画面設計書_共通バリデーションチェック仕様書.xlsx</t>
  </si>
  <si>
    <t>【単体テスト・不具合】G0107_個人情報入力画面_該当住所取得後のプリセット箇所が違う</t>
  </si>
  <si>
    <t>郵便番号検索し、該当住所を取得してきた際に、下記フォームにプリセットする内容が異なる。
・市区群・町村
・丁目・番地</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</si>
  <si>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</si>
  <si>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</si>
  <si>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
https://drive.google.com/file/d/1vjYYd-hfRQHndNoOJd4-kagjKeZ32vu0/view?usp=sharing</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</si>
  <si>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</si>
  <si>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</si>
  <si>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【単体テスト・不具合】G0128_Web申込み専用ページログイン画面（仮登録後）_認証するボタンの多重押下が可能</t>
  </si>
  <si>
    <t>「認証する」ボタンが複数回クリックできる</t>
  </si>
  <si>
    <t>特にボタン押下時の制御は何も行われていない状態であった。</t>
  </si>
  <si>
    <t>ボタン押下時のチェックをフラグ形式で行うように修正。</t>
  </si>
  <si>
    <t>SS設計不備による、実装不備</t>
  </si>
  <si>
    <t>ZIPSERVERのエラーコードを対応できるようにIF文に追加しました。</t>
  </si>
  <si>
    <t>【未実装】G0128_Web申込み専用ページログイン画面（仮登録後）_外部認証ログイン画面が表示されない</t>
  </si>
  <si>
    <t>下記3種類の外部認証ログイン画面が表示されない
・LINE
・dアカウント
・Yahoo!</t>
  </si>
  <si>
    <t>【未実装】G0107_個人情報入力画面_商品付加バージョン３である際の処理実装</t>
  </si>
  <si>
    <t>G0124_申込内容最終確認画面から遷移してきた際の挙動で、商品付加バージョン３を考慮する必要あり</t>
  </si>
  <si>
    <t>画面設計書_共通メッセージ仕様書.xlsx
画面設計書_G0107_個人情報入力画面.xlsx
詳細設計書_G0107_個人情報入力画面.xlsx</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</si>
  <si>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</si>
  <si>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</si>
  <si>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</si>
  <si>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</si>
  <si>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</si>
  <si>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</si>
  <si>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dアカウントで画像アップロードしたら次へボタンのポップアップを出るようにの処理がありました。</t>
  </si>
  <si>
    <t>dアカウントで画像アップロードしたら次へボタンのポップアップを出るようにの処理を外しました。</t>
  </si>
  <si>
    <t>【単体テスト・不具合】G0107_個人情報入力画面　外部認証ができない。</t>
  </si>
  <si>
    <t>Yahoo,Line,DocomoのClient_idが設定されていないため外部認証ができない。</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</si>
  <si>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</si>
  <si>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</si>
  <si>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PDFのプレビューはブラウザが対応していない</t>
  </si>
  <si>
    <t>PDF.jsを使用してプレビューを実現するようにした
参考：https://qiita.com/kakita-yzrh/items/3761a6599c783284aa60</t>
  </si>
  <si>
    <t>詳細設計書_G0123_本人確認書類提出画面.xlsx
https://drive.google.com/file/d/19eZc78CcA-W0XCM0iUBE6dOCF6Rlb2IZ/view?usp=sharing</t>
  </si>
  <si>
    <t>OK iconのタグをBlade.phpに追加しまして、v-if="removeImg"の処理でフィアルアップロード時に出るようにしました。</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</si>
  <si>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</si>
  <si>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</si>
  <si>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</si>
  <si>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</si>
  <si>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</si>
  <si>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【単体テスト・不具合】G0123_本人確認書類提出画面_dアカウントで確認完了後の画面遷移でエラー</t>
  </si>
  <si>
    <t>dアカウントで確認完了後の画面遷移でエラー
![image][スクリーンショット 2021-01-12 12.38.27.png]</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</si>
  <si>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</si>
  <si>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</si>
  <si>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「次へ」に意事項のチェックに反応できる処理はなかったです。</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</si>
  <si>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</si>
  <si>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「×ボタン」に表示・非表示の処理が含まれていなかったです。</t>
  </si>
  <si>
    <t>「×ボタン」は初期表示時、非表示。
アップロード済みの場合、表示とする。</t>
  </si>
  <si>
    <t>【未実装】G0128_Web申込み専用ページログイン画面（仮登録後）_外部認証ログイン機能</t>
  </si>
  <si>
    <t>外部認証コードがまだ揃っていないため、検証環境にて該当部分が動作しない。
外部認証コードについては以下のチケット参照
https://sasuke-fl.backlog.com/view/SASUKE_PROJ_H8739-557</t>
  </si>
  <si>
    <t>【単体テスト・不具合】最初から始める際セッションに前回の申込情報がいる場合の考慮</t>
  </si>
  <si>
    <t>最初から始める際セッションに前回の申込情報がいる場合の考慮ができていない</t>
  </si>
  <si>
    <t>家塚</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</si>
  <si>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</si>
  <si>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</si>
  <si>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▼vue.jsってそもそも・・・
E11対象外。
フロントエンドのライブラリ選定でそもそもミスっている。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</si>
  <si>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</si>
  <si>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</si>
  <si>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</si>
  <si>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</si>
  <si>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</si>
  <si>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</si>
  <si>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SASUKE_PROJ_H8739-821</t>
  </si>
  <si>
    <t>【内部変更】告知検索APIの実装</t>
  </si>
  <si>
    <t>集計日</t>
    <rPh sb="0" eb="2">
      <t>シュウケイホンブン</t>
    </rPh>
    <phoneticPr fontId="2"/>
  </si>
  <si>
    <t>取得日時：2021/01/25 18:42:51</t>
    <phoneticPr fontId="2"/>
  </si>
  <si>
    <t>【SA/UI設計不備】G0124_申込内容最終確認画面_先進医療特約の表示がfigmaと異なる</t>
  </si>
  <si>
    <t>~~先進医療特約(該当約款コードD1A)の保険料と「付加する」の文言が表示されない~~
先進医療特約(該当約款コードD1A)の保険料が表示されない
![image][2021-01-25_10h30_46.png]</t>
  </si>
  <si>
    <t>【未実装】G0123_本人確認書類提出画面の「この画面でアップロードする」ラジオボタン押下時の機能未実装</t>
  </si>
  <si>
    <t>この画面でアップロードするラジオボタンの押下前から、
アップロードUIが表示されている</t>
  </si>
  <si>
    <t>仕様把握漏れによる未実装</t>
  </si>
  <si>
    <t>【デザイン変更】G0109_申込内容確認画面_特約の文字色出し分け</t>
  </si>
  <si>
    <t>Justin  Brunnette</t>
  </si>
  <si>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</si>
  <si>
    <t>色変更処理はまだ入れてなかったみたいです。</t>
  </si>
  <si>
    <t>【単体テスト・不具合】G0118_告知情報確認画面(AURA)_修正するボタン押下してモーダル開くとコンソールにエラーが出ている</t>
  </si>
  <si>
    <t>修正するボタン押下してモーダル開くとコンソールにエラーが出ている
以下添付参照
![image][スクリーンショット 2021-01-21 11.19.31.png]</t>
  </si>
  <si>
    <t>【単体テスト・不具合】G0117_告知情報入力画面(AURA)_テキストエリア入力のUI</t>
  </si>
  <si>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</si>
  <si>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 |
| ------------- |------------- |------------- |------------- |------------- |
| G0105  申込前確認画面 | | | 対応済 | @click="pushBtn()" |
| G0106  ご本人さま確認に関して画面 |石垣(確認) |済 | | |
| G0107  個人情報入力画面 | | | 未実装 | | 
| G0108  個人情報確認画面 | | | 未実装 | | 
| G0109  申込内容確認画面 | | | 未実装 |bladeなし |
| G0110 重要事項確認画面 | | | 対応済 | v-on:click="checkEnableElements" | 
| G0111  意向確認画面 |  井内(確認)| 済| | |
| G0112	 告知情報事前確認画面 | | | 対応済 | @click="pushBtn()" | 
| G0116	ご職業・年収入力画面   | 井内(確認) | 済| | |
| G0117	告知情報入力画面(AURA)  | | | 未実装 | 実装者に対応して頂いた方が早いと考える|  
| G0118	告知情報確認画面(AURA)  | | | 未実装 | 実装者に対応して頂いた方が早いと考える |  
| G0119	受取人・請求人入力画面 | | | 対応済 | @click="pushBtn()" |
| G0120	受取人・請求人確認画面 | | | 対応済 | @click="pushBtn()" |  
| G0121	保険料払込方法選択画面 | | | 対応済 | | 
| G0123	本人確認書類提出画面 | | | 未実装 | 実装者に対応して頂いた方が早いと考える| 
| G0124	申込内容最終確認画面 | | | 未実装 | 関数はあったが未実装 onNextSubmit() |
| G0125	申込完了画面 | | |  未実装 | | 
| G0127	Web申込み専用ページ仮登録完了画面 | | | 未実装 | システムエラー及びコード未完成 | 
| G0128	Web申込み専用ページログイン画面（仮登録後） | | | 一部未実装 | システムエラー （認証するボタンは（@click="pushBtn()"）、次へボタンがbladeにない）| 
| G0201	Web申込み専用ページログイン画面 | | | 未実装 | | </t>
  </si>
  <si>
    <t>多重押下防止処理が実装されていない画面について対応する。
実装不備</t>
  </si>
  <si>
    <t>【単体テスト・不具合】G0116_ ご職業・年収入力画面_「次へ」ボタンが有効にならない</t>
  </si>
  <si>
    <t>入力項目が全てOKな状態になっても、「次へ」ボタンが有効にならない
![image][スクリーンショット 2021-01-20 12.27.01.png]</t>
  </si>
  <si>
    <t>【SS設計不備】G0128_Web申込み専用ページログイン画面（仮登録後）_単体テスト不具合の確認で修正が必要な箇所がある</t>
  </si>
  <si>
    <t>関連する単体テスト不具合（SASUKE_PROJ_H8739-675）
■初期表示
![image][G0128_1.png]
関連する単体テスト不具合（SASUKE_PROJ_H8739-665）
■メールアドレスパスワードによる認証
![image][G0128_2.png]</t>
  </si>
  <si>
    <t>【単体テスト・不具合】G0118_告知情報確認画面(AURA)_身長を修正後に無関係に思われるモーダルが表示されて閉じると修正が反映されていない</t>
  </si>
  <si>
    <t xml:space="preserve">身長を修正後に無関係に思われるモーダルが表示されて閉じると修正が反映されていない
</t>
  </si>
  <si>
    <t>【単体テスト・不具合】G0117_告知情報入力画面(AURA)_次の質問へ遷移する際に縦スクロール位置が保持されているために、次の質問を読む際に再度上にスクロールしないと読めない</t>
  </si>
  <si>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</si>
  <si>
    <t>【単体テスト・不具合】G0117_告知情報入力画面(AURA)_先の質問から前の質問に戻ると先の質問で入力した値が保持されていない</t>
  </si>
  <si>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</si>
  <si>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</si>
  <si>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</si>
  <si>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</si>
  <si>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</si>
  <si>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【単体テスト・不具合】G0117_告知情報入力画面(AURA)_告知のポイントのリンククリックしたモーダルのタイトルが表示されない</t>
  </si>
  <si>
    <t>- 告知のポイントのリンククリックしたモーダルのタイトルが表示されない
- よくある質問・用語解説についても同様にモーダルのタイトルが表示されない
期待結果としては、Figmaのように正しいタイトルが表示されること
（中のiframeのHTMLは後日対応）
![image][スクリーンショット 2021-01-18 16.37.53.png]
![image][スクリーンショット 2021-01-18 16.38.02.png]
Figma
![image][スクリーンショット 2021-01-18 16.41.14.png]</t>
  </si>
  <si>
    <t>・まだ表示させる静的HTMLファイルの連携がされていないため</t>
  </si>
  <si>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</si>
  <si>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</si>
  <si>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実装時にUI設計書、SS設計書の見落とし</t>
  </si>
  <si>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</si>
  <si>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</si>
  <si>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【単体テスト・不具合】G0116_ご職業・年収入力画面_職業が無職の人が一時金じゃない商品を申し込んだ際のバリデーションが効かない</t>
  </si>
  <si>
    <t>職業が無職の人が一時金じゃない商品を申し込んだ際のバリデーションが効かない</t>
  </si>
  <si>
    <t>【単体テスト・不具合】G0107_個人情報入力画面(G0124から遷移)_Web申込み専用ページログインの場合の文言が表示されない</t>
  </si>
  <si>
    <t>**G0124_申込内容最終確認画面から遷移してきたときの事象**
Web申込み専用ページログインの場合に下記文言が表示されない
・"web専用マイページID"</t>
  </si>
  <si>
    <t>実装不備
フロント側：該当箇所の出し分け処理がない
サーバー側：判別に必要な「外部認証ID」をセッションから取得していない</t>
  </si>
  <si>
    <t>【未実装】G0105_申込前確認画面_商品付加バージョン１の商品を複写する</t>
  </si>
  <si>
    <t>新規追加処理の為、未実装</t>
  </si>
  <si>
    <t>セッションから申込情報を取得し、商品付加バージョンを調べ１しかなかった場合に、複写する処理追加</t>
  </si>
  <si>
    <t>詳細設計書_G0105_申込前確認画面.xlsx
　→https://docs.google.com/spreadsheets/d/1vfRgJpXYhrNNFllllc5LllSvjJFnepyQ/edit#gid=1719533969</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</si>
  <si>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</si>
  <si>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</si>
  <si>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</si>
  <si>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</si>
  <si>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</si>
  <si>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【単体テスト・不具合】G0107_個人情報入力画面_各入力フォームのバリデーションチェック</t>
  </si>
  <si>
    <t>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t>
  </si>
  <si>
    <t>・バリデーションメッセージ追加・修正
・許容文字追加
・電話番号、携帯電話番号の合計桁数に関するバリデーション追加</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</si>
  <si>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</si>
  <si>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t>
  </si>
  <si>
    <t>・表示するプロパティの修正
※郵便番号「4520961」であればtownまで入っているのでスペースが追加されていることを確認できます。</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</si>
  <si>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</si>
  <si>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</si>
  <si>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https://drive.google.com/file/d/1vntEud9OYMEiIKA6Cv1XISIDK1m_zmDS/view?usp=sharing</t>
  </si>
  <si>
    <t>【単体テスト・不具合】G0128_Web申込み専用ページログイン画面（仮登録後）_パスワードのバリデーションが表示されてしまう</t>
  </si>
  <si>
    <t>パスワード入力時にパスワードに関するバリデーションエラーが表示されている</t>
  </si>
  <si>
    <t>バリデーションが設定されている</t>
  </si>
  <si>
    <t>入力文字数によるボタンのON/OFF制御以外のバリエーションを削除しました。</t>
  </si>
  <si>
    <t>【単体テスト・不具合】G0128_Web申込み専用ページログイン画面（仮登録後）_ハッシュが無いURLへアクセスすると991では無く、Laravelのエラー画面に遷移</t>
  </si>
  <si>
    <t>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</si>
  <si>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</si>
  <si>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</si>
  <si>
    <t>【単体テスト・不具合】G0107_個人情報入力画面_ZIPSERVERエラー通知画面が表示されない</t>
  </si>
  <si>
    <t>ZIPSERVERから、レスポンスエラーが返ってきた際に、システムエラー画面に遷移してしまう。</t>
  </si>
  <si>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</si>
  <si>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</si>
  <si>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</si>
  <si>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【単体テスト・不具合】G0116_ご職業・年収入力画面_職業や職種選択の各種モーダルに「×」で閉じる機能がない</t>
  </si>
  <si>
    <t>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</si>
  <si>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</si>
  <si>
    <t>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t>
  </si>
  <si>
    <t>必須入力フォームと"不正な文字種…"について
・実装不備
そのほか
・設計書変更により、別途実装対応の必要あり</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</si>
  <si>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</si>
  <si>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</si>
  <si>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</si>
  <si>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</si>
  <si>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テキストボックスに対してonChange()的なトリガーでチェックをしているため。</t>
  </si>
  <si>
    <t>focusout的なトリガーにチェックタイミングを変更すること。</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</si>
  <si>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</si>
  <si>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</si>
  <si>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【SA/UI設計不備】G0119_受取人・請求人入力画面_JS側のバリデーションエラーのメッセージが設計書と異なる</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</si>
  <si>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</si>
  <si>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</si>
  <si>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【単体テスト・不具合】G0123_本人確認書類提出画面_HEIC画像をアップロードするとプレビューが表示されない</t>
  </si>
  <si>
    <t>HEIC画像をアップロードするとプレビューが表示されない</t>
  </si>
  <si>
    <t>HEIFも同様に対応する。</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</si>
  <si>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</si>
  <si>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</si>
  <si>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</si>
  <si>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</si>
  <si>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【単体テスト・不具合】G0123_本人確認書類提出画面_画像アップロード後にデザインの「OK」が表示されない</t>
  </si>
  <si>
    <t>【単体テスト・不具合】G0123_本人確認書類提出画面_画像アップロード後にデザイン（Figma）の「OK」が表示されない
以下はFigmaのコピー
![image][スクリーンショット 2021-01-12 16.04.57.png]</t>
  </si>
  <si>
    <t>OK iconのコードが追加されていませんでした。</t>
  </si>
  <si>
    <t>【単体テスト・不具合】外部ログインの共有ロジックファイルについて</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</si>
  <si>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</si>
  <si>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</si>
  <si>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</si>
  <si>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</si>
  <si>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</si>
  <si>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</si>
  <si>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</si>
  <si>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</si>
  <si>
    <t>【詳細設計書不備】G0123_本人確認書類提出画面_ファイルアップロードしてるがよろしいですかのメッセージ文言</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</si>
  <si>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</si>
  <si>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</si>
  <si>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</si>
  <si>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【単体テスト・不具合】G0123_本人確認書類提出画面_nginxのX-Frame-Options設定がDENYだと書類をアップロードする際の注意事項が表示されない</t>
  </si>
  <si>
    <t>nginxのX-Frame-Options設定がDENYだと書類をアップロードする際の注意事項が表示されない</t>
  </si>
  <si>
    <t>（１）nginxの設定で、該当機能だけDENYとしないようにするか、できるか決める
（２）全体で許可するならば対応不要、該当機能だけそうするならその対応を入れる</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</si>
  <si>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</si>
  <si>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</si>
  <si>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【単体テスト・不具合】G0102_試算結果画面_申込内容確認画面からプラン修正ボタンを押下して遷移した際エラーになる</t>
  </si>
  <si>
    <t>　試算結果画面が表示されずにシステムエラー画面へ遷移する</t>
  </si>
  <si>
    <t>詳細設計書_G0102_試算結果画面.xlsx</t>
  </si>
  <si>
    <t>【単体テスト・不具合】ヘッダー誤り</t>
  </si>
  <si>
    <t xml:space="preserve">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
| ------------- |------------- |------------- |
| G0105  申込前確認画面 | | | フリーダイヤル| 対応済 |
| G0106  ご本人さま確認に関して画面 | | | フリーダイヤル| 対応済 |
| G0107  個人情報入力画面 | | | フリーダイヤル| 対応済 |
| G0108  個人情報確認画面| | |  フリーダイヤル| 対応済 | 
| G0109  申込内容確認画面 | | |  フリーダイヤル| bladeなし | 
| G0110 重要事項確認画面 | | |  フリーダイヤル| 対応済 | 
| G0111  意向確認画面 |  | | フリーダイヤル| テスト中 |
| G0112	 告知情報事前確認画面| | | フリーダイヤル| 対応済 |
| G0116	ご職業・年収入力画面   | | | フリーダイヤル| 対応済 |
| G0117	告知情報入力画面(AURA) | | | フリーダイヤル| 対応済 |
| G0118	告知情報確認画面(AURA) | | | フリーダイヤル| 対応済 |
| G0119	受取人・請求人入力画面 | | | フリーダイヤル| 対応済 |
| G0120	受取人・請求人確認画面 | | | フリーダイヤル| 対応済 |
| G0121	保険料払込方法選択画面 | | | フリーダイヤル| 対応済 |
| G0123	本人確認書類提出画面 | | | フリーダイヤル| 対応済 |
| G0124	申込内容最終確認画面 | | | フリーダイヤル| 対応済 |
| G0125	申込完了画面 | | | フリーダイヤル| 対応済 | 
| G0127	Web申込み専用ページ仮登録完了画面 | | | フリーダイヤル| 対応済 |
| G0128	Web申込み専用ページログイン画面（仮登録後） | | | フリーダイヤル| 対応済 |
| G0201	Web申込み専用ページログイン画面 | | | フリーダイヤル| 対応済 | </t>
  </si>
  <si>
    <t>【SA/UI設計不備】G0119_受取人・請求人入力画面_氏名欄に合計35文字以上入力した場合のJS側のバリデーションメッセージが表示されない</t>
  </si>
  <si>
    <t>「氏名は姓と名の合計で34文字以内で入力してください」と表示されない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</si>
  <si>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</si>
  <si>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</si>
  <si>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</si>
  <si>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</si>
  <si>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</si>
  <si>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取得日時：2021/01/25 18:43:24</t>
    <phoneticPr fontId="2"/>
  </si>
  <si>
    <t>取得日時：2021/01/25 18:43:29</t>
    <phoneticPr fontId="2"/>
  </si>
  <si>
    <t>今日の修正対応数が全体で1との報告。</t>
    <rPh sb="0" eb="2">
      <t xml:space="preserve">キョウノ </t>
    </rPh>
    <rPh sb="3" eb="5">
      <t xml:space="preserve">シュウセイ </t>
    </rPh>
    <rPh sb="5" eb="7">
      <t xml:space="preserve">タイオウ </t>
    </rPh>
    <rPh sb="7" eb="8">
      <t xml:space="preserve">スウガ </t>
    </rPh>
    <rPh sb="9" eb="11">
      <t xml:space="preserve">ゼンタイ </t>
    </rPh>
    <phoneticPr fontId="2"/>
  </si>
  <si>
    <t>一部メンバーはSP6の実装漏れの対応などに着手中の模様。</t>
    <rPh sb="0" eb="2">
      <t xml:space="preserve">イチブ </t>
    </rPh>
    <rPh sb="11" eb="13">
      <t xml:space="preserve">ジッソウ </t>
    </rPh>
    <rPh sb="13" eb="14">
      <t xml:space="preserve">モレ </t>
    </rPh>
    <rPh sb="16" eb="18">
      <t xml:space="preserve">タイオウ </t>
    </rPh>
    <rPh sb="21" eb="23">
      <t xml:space="preserve">チャクシュ </t>
    </rPh>
    <rPh sb="23" eb="24">
      <t xml:space="preserve">ナカ </t>
    </rPh>
    <phoneticPr fontId="2"/>
  </si>
  <si>
    <t>川村が金曜、月曜休暇、木部も他作業で管理層が手薄のため、メンバー内の作業効率が最適化されていない。</t>
    <rPh sb="0" eb="2">
      <t xml:space="preserve">カワムラ </t>
    </rPh>
    <rPh sb="3" eb="5">
      <t xml:space="preserve">キンヨウ </t>
    </rPh>
    <rPh sb="6" eb="8">
      <t xml:space="preserve">ゲツヨウ </t>
    </rPh>
    <rPh sb="8" eb="10">
      <t xml:space="preserve">キュウカ </t>
    </rPh>
    <rPh sb="11" eb="13">
      <t xml:space="preserve">キベ </t>
    </rPh>
    <rPh sb="14" eb="15">
      <t xml:space="preserve">ホカ </t>
    </rPh>
    <rPh sb="15" eb="17">
      <t xml:space="preserve">サギョウ </t>
    </rPh>
    <rPh sb="18" eb="20">
      <t xml:space="preserve">カンリ </t>
    </rPh>
    <rPh sb="20" eb="21">
      <t xml:space="preserve">ソウガ </t>
    </rPh>
    <rPh sb="22" eb="24">
      <t xml:space="preserve">テウス </t>
    </rPh>
    <rPh sb="32" eb="33">
      <t xml:space="preserve">ナイ </t>
    </rPh>
    <rPh sb="34" eb="36">
      <t xml:space="preserve">サギョウ </t>
    </rPh>
    <rPh sb="36" eb="38">
      <t xml:space="preserve">コウリツ </t>
    </rPh>
    <rPh sb="39" eb="42">
      <t xml:space="preserve">サイテキカ； </t>
    </rPh>
    <phoneticPr fontId="2"/>
  </si>
  <si>
    <t>▼状況</t>
    <rPh sb="1" eb="3">
      <t xml:space="preserve">ジョウキョウ </t>
    </rPh>
    <phoneticPr fontId="2"/>
  </si>
  <si>
    <t>▼リカバリ</t>
    <phoneticPr fontId="2"/>
  </si>
  <si>
    <t>本日集会予定だったが時間取れずのため、明日朝10時に集会予定。</t>
    <rPh sb="0" eb="2">
      <t xml:space="preserve">ホンジツ </t>
    </rPh>
    <rPh sb="2" eb="4">
      <t xml:space="preserve">シュウカイ </t>
    </rPh>
    <rPh sb="4" eb="6">
      <t xml:space="preserve">ヨテイ </t>
    </rPh>
    <rPh sb="10" eb="12">
      <t xml:space="preserve">ジカン </t>
    </rPh>
    <rPh sb="12" eb="13">
      <t xml:space="preserve">トレズ </t>
    </rPh>
    <rPh sb="19" eb="21">
      <t xml:space="preserve">アス </t>
    </rPh>
    <rPh sb="21" eb="22">
      <t xml:space="preserve">アサ </t>
    </rPh>
    <rPh sb="24" eb="25">
      <t xml:space="preserve">ジ </t>
    </rPh>
    <rPh sb="26" eb="28">
      <t xml:space="preserve">シュウカイ </t>
    </rPh>
    <rPh sb="28" eb="30">
      <t xml:space="preserve">ヨテイ </t>
    </rPh>
    <phoneticPr fontId="2"/>
  </si>
  <si>
    <t>各自の状況および今週にやるべきことを再度認識合わせ。</t>
    <rPh sb="0" eb="2">
      <t xml:space="preserve">カクジ </t>
    </rPh>
    <rPh sb="3" eb="5">
      <t xml:space="preserve">ジョウキョウ </t>
    </rPh>
    <rPh sb="8" eb="10">
      <t xml:space="preserve">コンシュウ </t>
    </rPh>
    <rPh sb="18" eb="20">
      <t xml:space="preserve">サイド </t>
    </rPh>
    <rPh sb="20" eb="22">
      <t xml:space="preserve">ニンシキ </t>
    </rPh>
    <rPh sb="22" eb="23">
      <t xml:space="preserve">アワセ </t>
    </rPh>
    <phoneticPr fontId="2"/>
  </si>
  <si>
    <t>今後、管理層がいなくても自走できるチームにする必要あり。</t>
    <rPh sb="0" eb="2">
      <t xml:space="preserve">コンゴ </t>
    </rPh>
    <rPh sb="3" eb="5">
      <t xml:space="preserve">カンリソウ </t>
    </rPh>
    <rPh sb="5" eb="6">
      <t xml:space="preserve">ソウガ </t>
    </rPh>
    <rPh sb="12" eb="14">
      <t xml:space="preserve">ジソウ </t>
    </rPh>
    <rPh sb="23" eb="25">
      <t xml:space="preserve">ヒツヨウ </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</si>
</sst>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25">
    <font>
      <sz val="11"/>
      <color theme="1"/>
      <name val="Yu Gothic"/>
      <family val="2"/>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6" fillId="0" borderId="0" applyNumberFormat="0" applyFill="0" applyBorder="0" applyAlignment="0" applyProtection="0"/>
    <xf numFmtId="0" fontId="1" fillId="0" borderId="0">
      <alignment vertical="center"/>
    </xf>
  </cellStyleXfs>
  <cellXfs count="103">
    <xf numFmtId="0" fontId="0" fillId="0" borderId="0" xfId="0"/>
    <xf numFmtId="0" fontId="3" fillId="0" borderId="0" xfId="0" applyFont="1"/>
    <xf numFmtId="0" fontId="3" fillId="0" borderId="1" xfId="0" applyFont="1" applyBorder="1" applyAlignment="1">
      <alignment horizontal="left"/>
    </xf>
    <xf numFmtId="0" fontId="3" fillId="0" borderId="1" xfId="0" applyFont="1" applyBorder="1"/>
    <xf numFmtId="0" fontId="4" fillId="2" borderId="1" xfId="0" applyFont="1" applyFill="1" applyBorder="1"/>
    <xf numFmtId="0" fontId="5" fillId="0" borderId="0" xfId="0" applyFont="1"/>
    <xf numFmtId="0" fontId="0" fillId="0" borderId="1" xfId="0" applyFill="1" applyBorder="1"/>
    <xf numFmtId="0" fontId="4" fillId="4" borderId="1" xfId="0" applyFont="1" applyFill="1" applyBorder="1" applyAlignment="1"/>
    <xf numFmtId="0" fontId="4" fillId="3" borderId="1" xfId="0" applyFont="1" applyFill="1" applyBorder="1"/>
    <xf numFmtId="0" fontId="6" fillId="0" borderId="1" xfId="1" applyBorder="1"/>
    <xf numFmtId="0" fontId="4"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0" fillId="0" borderId="1" xfId="1" applyFont="1" applyBorder="1"/>
    <xf numFmtId="14" fontId="3" fillId="0" borderId="1" xfId="0" applyNumberFormat="1" applyFont="1" applyBorder="1"/>
    <xf numFmtId="0" fontId="3" fillId="0" borderId="1" xfId="0" applyFont="1" applyBorder="1" applyAlignment="1">
      <alignment wrapText="1"/>
    </xf>
    <xf numFmtId="0" fontId="9" fillId="4" borderId="1" xfId="0" applyFont="1" applyFill="1" applyBorder="1" applyAlignment="1">
      <alignment horizontal="center" vertical="center" wrapText="1"/>
    </xf>
    <xf numFmtId="0" fontId="9" fillId="4" borderId="1" xfId="0" applyFont="1" applyFill="1" applyBorder="1" applyAlignment="1">
      <alignment horizontal="center" vertical="center"/>
    </xf>
    <xf numFmtId="0" fontId="1" fillId="0" borderId="0" xfId="2">
      <alignment vertical="center"/>
    </xf>
    <xf numFmtId="0" fontId="1" fillId="0" borderId="2" xfId="2" applyBorder="1">
      <alignment vertical="center"/>
    </xf>
    <xf numFmtId="0" fontId="1" fillId="0" borderId="3" xfId="2" applyBorder="1">
      <alignment vertical="center"/>
    </xf>
    <xf numFmtId="0" fontId="1" fillId="0" borderId="4" xfId="2" applyBorder="1">
      <alignment vertical="center"/>
    </xf>
    <xf numFmtId="0" fontId="1" fillId="0" borderId="5" xfId="2" applyBorder="1">
      <alignment vertical="center"/>
    </xf>
    <xf numFmtId="0" fontId="1" fillId="0" borderId="6" xfId="2" applyBorder="1">
      <alignment vertical="center"/>
    </xf>
    <xf numFmtId="0" fontId="9" fillId="0" borderId="0" xfId="2" applyFont="1">
      <alignment vertical="center"/>
    </xf>
    <xf numFmtId="0" fontId="1" fillId="0" borderId="7" xfId="2" applyBorder="1">
      <alignment vertical="center"/>
    </xf>
    <xf numFmtId="0" fontId="1" fillId="0" borderId="8" xfId="2" applyBorder="1">
      <alignment vertical="center"/>
    </xf>
    <xf numFmtId="0" fontId="1" fillId="0" borderId="9" xfId="2" applyBorder="1">
      <alignment vertical="center"/>
    </xf>
    <xf numFmtId="0" fontId="11" fillId="0" borderId="10" xfId="2" applyFont="1" applyBorder="1">
      <alignment vertical="center"/>
    </xf>
    <xf numFmtId="0" fontId="1" fillId="0" borderId="10" xfId="2" applyBorder="1">
      <alignment vertical="center"/>
    </xf>
    <xf numFmtId="0" fontId="1" fillId="5" borderId="10" xfId="2" applyFill="1" applyBorder="1" applyAlignment="1">
      <alignment vertical="center" shrinkToFit="1"/>
    </xf>
    <xf numFmtId="0" fontId="1" fillId="0" borderId="1" xfId="2" applyBorder="1">
      <alignment vertical="center"/>
    </xf>
    <xf numFmtId="0" fontId="1" fillId="5" borderId="1" xfId="2" applyFill="1" applyBorder="1">
      <alignment vertical="center"/>
    </xf>
    <xf numFmtId="0" fontId="1" fillId="5" borderId="1" xfId="2" applyFill="1" applyBorder="1" applyAlignment="1">
      <alignment vertical="center" wrapText="1"/>
    </xf>
    <xf numFmtId="0" fontId="13" fillId="5" borderId="1" xfId="2" applyFont="1" applyFill="1" applyBorder="1">
      <alignment vertical="center"/>
    </xf>
    <xf numFmtId="0" fontId="9" fillId="3" borderId="1" xfId="2" applyFont="1" applyFill="1" applyBorder="1">
      <alignment vertical="center"/>
    </xf>
    <xf numFmtId="176" fontId="1" fillId="0" borderId="1" xfId="2" applyNumberFormat="1" applyBorder="1">
      <alignment vertical="center"/>
    </xf>
    <xf numFmtId="0" fontId="9" fillId="3" borderId="1" xfId="2" applyFont="1" applyFill="1" applyBorder="1" applyAlignment="1">
      <alignment vertical="center" wrapText="1"/>
    </xf>
    <xf numFmtId="0" fontId="11" fillId="0" borderId="1" xfId="2" applyFont="1" applyBorder="1">
      <alignment vertical="center"/>
    </xf>
    <xf numFmtId="0" fontId="1" fillId="2" borderId="1" xfId="2" applyFill="1" applyBorder="1">
      <alignment vertical="center"/>
    </xf>
    <xf numFmtId="0" fontId="1" fillId="0" borderId="1" xfId="2" applyBorder="1" applyAlignment="1"/>
    <xf numFmtId="0" fontId="15" fillId="0" borderId="1" xfId="2" applyFont="1" applyBorder="1" applyAlignment="1"/>
    <xf numFmtId="0" fontId="1" fillId="2" borderId="1" xfId="2" applyFill="1" applyBorder="1" applyAlignment="1"/>
    <xf numFmtId="0" fontId="11" fillId="0" borderId="1" xfId="2" applyFont="1" applyBorder="1" applyAlignment="1"/>
    <xf numFmtId="0" fontId="1" fillId="6" borderId="1" xfId="2" applyFill="1" applyBorder="1" applyAlignment="1"/>
    <xf numFmtId="0" fontId="1" fillId="4" borderId="1" xfId="2" applyFill="1" applyBorder="1" applyAlignment="1"/>
    <xf numFmtId="0" fontId="1" fillId="0" borderId="1" xfId="2" applyBorder="1" applyAlignment="1">
      <alignment vertical="center" wrapText="1"/>
    </xf>
    <xf numFmtId="0" fontId="18" fillId="0" borderId="0" xfId="2" applyFont="1">
      <alignment vertical="center"/>
    </xf>
    <xf numFmtId="177" fontId="13" fillId="0" borderId="1" xfId="2" applyNumberFormat="1" applyFont="1" applyBorder="1">
      <alignment vertical="center"/>
    </xf>
    <xf numFmtId="177" fontId="9" fillId="7" borderId="1" xfId="2" applyNumberFormat="1" applyFont="1" applyFill="1" applyBorder="1">
      <alignment vertical="center"/>
    </xf>
    <xf numFmtId="177" fontId="9" fillId="7" borderId="1" xfId="2" applyNumberFormat="1" applyFont="1" applyFill="1" applyBorder="1" applyAlignment="1">
      <alignment horizontal="center" vertical="center"/>
    </xf>
    <xf numFmtId="177" fontId="9" fillId="8" borderId="1" xfId="2" applyNumberFormat="1" applyFont="1" applyFill="1" applyBorder="1" applyAlignment="1">
      <alignment horizontal="center" vertical="center"/>
    </xf>
    <xf numFmtId="0" fontId="7" fillId="0" borderId="0" xfId="0" applyFont="1" applyBorder="1" applyAlignment="1">
      <alignment horizontal="left"/>
    </xf>
    <xf numFmtId="0" fontId="0" fillId="0" borderId="1" xfId="0" applyBorder="1"/>
    <xf numFmtId="177" fontId="9"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19" fillId="2" borderId="1" xfId="2" applyNumberFormat="1" applyFont="1" applyFill="1" applyBorder="1" applyAlignment="1">
      <alignment horizontal="center" vertical="center"/>
    </xf>
    <xf numFmtId="178" fontId="19" fillId="2" borderId="1" xfId="2" applyNumberFormat="1" applyFont="1" applyFill="1" applyBorder="1" applyAlignment="1">
      <alignment horizontal="center" vertical="center"/>
    </xf>
    <xf numFmtId="0" fontId="9" fillId="8" borderId="1" xfId="0" applyFont="1" applyFill="1" applyBorder="1" applyAlignment="1">
      <alignment horizontal="center"/>
    </xf>
    <xf numFmtId="176" fontId="0" fillId="0" borderId="12" xfId="0" applyNumberFormat="1" applyBorder="1"/>
    <xf numFmtId="0" fontId="9" fillId="8" borderId="13" xfId="0" applyFont="1" applyFill="1" applyBorder="1" applyAlignment="1">
      <alignment horizontal="center"/>
    </xf>
    <xf numFmtId="176" fontId="0" fillId="0" borderId="13" xfId="0" applyNumberFormat="1" applyBorder="1"/>
    <xf numFmtId="0" fontId="1" fillId="0" borderId="1" xfId="2" applyFill="1" applyBorder="1" applyAlignment="1"/>
    <xf numFmtId="177" fontId="9" fillId="0" borderId="1" xfId="2" applyNumberFormat="1" applyFont="1" applyFill="1" applyBorder="1" applyAlignment="1">
      <alignment horizontal="center" vertical="center"/>
    </xf>
    <xf numFmtId="177" fontId="9" fillId="0" borderId="12" xfId="2" applyNumberFormat="1" applyFont="1" applyFill="1" applyBorder="1" applyAlignment="1">
      <alignment horizontal="center" vertical="center"/>
    </xf>
    <xf numFmtId="0" fontId="0" fillId="0" borderId="0" xfId="0" applyFill="1" applyBorder="1"/>
    <xf numFmtId="0" fontId="20" fillId="0" borderId="0" xfId="0" applyFont="1" applyFill="1"/>
    <xf numFmtId="0" fontId="21" fillId="0" borderId="0" xfId="0" applyFont="1" applyFill="1"/>
    <xf numFmtId="0" fontId="0" fillId="0" borderId="0" xfId="0" applyFill="1"/>
    <xf numFmtId="0" fontId="1" fillId="0" borderId="9" xfId="2" applyFill="1" applyBorder="1" applyAlignment="1">
      <alignment horizontal="left" vertical="top"/>
    </xf>
    <xf numFmtId="0" fontId="1" fillId="0" borderId="8" xfId="2" applyFill="1" applyBorder="1" applyAlignment="1">
      <alignment horizontal="left" vertical="top"/>
    </xf>
    <xf numFmtId="0" fontId="0" fillId="0" borderId="8" xfId="0" applyFill="1" applyBorder="1"/>
    <xf numFmtId="0" fontId="0" fillId="0" borderId="7" xfId="0" applyFill="1" applyBorder="1"/>
    <xf numFmtId="0" fontId="1" fillId="0" borderId="6" xfId="2" applyFill="1" applyBorder="1" applyAlignment="1">
      <alignment horizontal="left" vertical="top"/>
    </xf>
    <xf numFmtId="0" fontId="1" fillId="0" borderId="0" xfId="2" applyFill="1" applyBorder="1" applyAlignment="1">
      <alignment horizontal="left" vertical="top"/>
    </xf>
    <xf numFmtId="0" fontId="1"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0" fontId="23" fillId="10" borderId="1" xfId="0" applyFont="1" applyFill="1" applyBorder="1" applyAlignment="1">
      <alignment horizontal="center" vertical="center"/>
    </xf>
    <xf numFmtId="0" fontId="22" fillId="10" borderId="1" xfId="0" applyFont="1" applyFill="1" applyBorder="1" applyAlignment="1">
      <alignment horizontal="center" vertical="center"/>
    </xf>
    <xf numFmtId="14" fontId="24" fillId="0" borderId="1" xfId="0" applyNumberFormat="1" applyFont="1" applyFill="1" applyBorder="1" applyAlignment="1">
      <alignment horizontal="center"/>
    </xf>
    <xf numFmtId="177" fontId="9" fillId="2" borderId="14" xfId="0" applyNumberFormat="1" applyFont="1" applyFill="1" applyBorder="1" applyAlignment="1">
      <alignment horizontal="center"/>
    </xf>
    <xf numFmtId="177" fontId="9" fillId="2" borderId="15" xfId="0" applyNumberFormat="1" applyFont="1" applyFill="1" applyBorder="1" applyAlignment="1">
      <alignment horizontal="center"/>
    </xf>
    <xf numFmtId="0" fontId="9" fillId="9" borderId="10" xfId="0" applyFont="1" applyFill="1" applyBorder="1" applyAlignment="1">
      <alignment horizontal="center" vertical="center"/>
    </xf>
    <xf numFmtId="0" fontId="9" fillId="9" borderId="17" xfId="0" applyFont="1" applyFill="1" applyBorder="1" applyAlignment="1">
      <alignment horizontal="center" vertical="center"/>
    </xf>
    <xf numFmtId="177" fontId="9" fillId="2" borderId="1" xfId="0" applyNumberFormat="1" applyFont="1" applyFill="1" applyBorder="1" applyAlignment="1">
      <alignment horizontal="center"/>
    </xf>
    <xf numFmtId="0" fontId="9" fillId="2" borderId="14" xfId="2" applyFont="1" applyFill="1" applyBorder="1" applyAlignment="1">
      <alignment horizontal="center" vertical="center"/>
    </xf>
    <xf numFmtId="0" fontId="9" fillId="2" borderId="16" xfId="2" applyFont="1" applyFill="1" applyBorder="1" applyAlignment="1">
      <alignment horizontal="center" vertical="center"/>
    </xf>
    <xf numFmtId="0" fontId="9" fillId="2" borderId="15" xfId="2" applyFont="1" applyFill="1" applyBorder="1" applyAlignment="1">
      <alignment horizontal="center" vertical="center"/>
    </xf>
    <xf numFmtId="177" fontId="9" fillId="2" borderId="14" xfId="2" applyNumberFormat="1" applyFont="1" applyFill="1" applyBorder="1" applyAlignment="1">
      <alignment horizontal="center" vertical="center"/>
    </xf>
    <xf numFmtId="177" fontId="9" fillId="2" borderId="16" xfId="2" applyNumberFormat="1" applyFont="1" applyFill="1" applyBorder="1" applyAlignment="1">
      <alignment horizontal="center" vertical="center"/>
    </xf>
    <xf numFmtId="177" fontId="9" fillId="2" borderId="15" xfId="2" applyNumberFormat="1" applyFont="1" applyFill="1" applyBorder="1" applyAlignment="1">
      <alignment horizontal="center" vertical="center"/>
    </xf>
    <xf numFmtId="0" fontId="3" fillId="4" borderId="1" xfId="2" applyFont="1" applyFill="1" applyBorder="1" applyAlignment="1">
      <alignment horizontal="center" vertical="center" textRotation="255"/>
    </xf>
    <xf numFmtId="0" fontId="17" fillId="6" borderId="1" xfId="2" applyFont="1" applyFill="1" applyBorder="1" applyAlignment="1">
      <alignment horizontal="center" vertical="center" textRotation="255"/>
    </xf>
    <xf numFmtId="0" fontId="16" fillId="6" borderId="1" xfId="2" applyFont="1" applyFill="1" applyBorder="1" applyAlignment="1">
      <alignment horizontal="center" vertical="center" textRotation="255"/>
    </xf>
    <xf numFmtId="0" fontId="14" fillId="2" borderId="1" xfId="2" applyFont="1" applyFill="1" applyBorder="1" applyAlignment="1">
      <alignment horizontal="center" vertical="center" textRotation="255"/>
    </xf>
    <xf numFmtId="0" fontId="9" fillId="7" borderId="0" xfId="2" applyFont="1" applyFill="1" applyAlignment="1">
      <alignment horizontal="center" vertical="center"/>
    </xf>
    <xf numFmtId="0" fontId="9" fillId="7" borderId="11" xfId="2" applyFont="1" applyFill="1" applyBorder="1" applyAlignment="1">
      <alignment horizontal="center" vertical="center"/>
    </xf>
    <xf numFmtId="0" fontId="7" fillId="0" borderId="1" xfId="0" applyFont="1" applyBorder="1" applyAlignment="1">
      <alignment horizontal="left"/>
    </xf>
  </cellXfs>
  <cellStyles count="3">
    <cellStyle name="ハイパーリンク" xfId="1" builtinId="8"/>
    <cellStyle name="標準" xfId="0" builtinId="0"/>
    <cellStyle name="標準 2" xfId="2" xr:uid="{E7ED17EE-B63A-4973-AA6B-A5CB9893BBE8}"/>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消化日単位</c:v>
          </c:tx>
          <c:spPr>
            <a:solidFill>
              <a:schemeClr val="accent1"/>
            </a:solidFill>
            <a:ln>
              <a:noFill/>
            </a:ln>
            <a:effectLst/>
          </c:spPr>
          <c:invertIfNegative val="0"/>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発生・消化曲線!$D$28:$AB$28</c:f>
              <c:numCache>
                <c:formatCode>0_ </c:formatCode>
                <c:ptCount val="25"/>
                <c:pt idx="0">
                  <c:v>8</c:v>
                </c:pt>
                <c:pt idx="1">
                  <c:v>4</c:v>
                </c:pt>
                <c:pt idx="2">
                  <c:v>8</c:v>
                </c:pt>
                <c:pt idx="3">
                  <c:v>1</c:v>
                </c:pt>
                <c:pt idx="4">
                  <c:v>3</c:v>
                </c:pt>
                <c:pt idx="5">
                  <c:v>0</c:v>
                </c:pt>
                <c:pt idx="6">
                  <c:v>0</c:v>
                </c:pt>
                <c:pt idx="7">
                  <c:v>13</c:v>
                </c:pt>
                <c:pt idx="8">
                  <c:v>6</c:v>
                </c:pt>
                <c:pt idx="9">
                  <c:v>19</c:v>
                </c:pt>
                <c:pt idx="10">
                  <c:v>14</c:v>
                </c:pt>
                <c:pt idx="11">
                  <c:v>6</c:v>
                </c:pt>
                <c:pt idx="12">
                  <c:v>0</c:v>
                </c:pt>
                <c:pt idx="13">
                  <c:v>0</c:v>
                </c:pt>
                <c:pt idx="14">
                  <c:v>3</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5882-4931-8D1F-43D7D7BFF9F8}"/>
            </c:ext>
          </c:extLst>
        </c:ser>
        <c:dLbls>
          <c:showLegendKey val="0"/>
          <c:showVal val="0"/>
          <c:showCatName val="0"/>
          <c:showSerName val="0"/>
          <c:showPercent val="0"/>
          <c:showBubbleSize val="0"/>
        </c:dLbls>
        <c:gapWidth val="219"/>
        <c:overlap val="-27"/>
        <c:axId val="2102627584"/>
        <c:axId val="2102640480"/>
      </c:barChart>
      <c:lineChart>
        <c:grouping val="standard"/>
        <c:varyColors val="0"/>
        <c:ser>
          <c:idx val="1"/>
          <c:order val="1"/>
          <c:tx>
            <c:v>消化合計</c:v>
          </c:tx>
          <c:spPr>
            <a:ln w="28575" cap="rnd">
              <a:solidFill>
                <a:schemeClr val="accent2"/>
              </a:solidFill>
              <a:round/>
            </a:ln>
            <a:effectLst/>
          </c:spPr>
          <c:marker>
            <c:symbol val="none"/>
          </c:marker>
          <c:cat>
            <c:numRef>
              <c:f>発生・消化曲線!$D$23:$AB$23</c:f>
              <c:numCache>
                <c:formatCode>mm/dd</c:formatCode>
                <c:ptCount val="25"/>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numCache>
            </c:numRef>
          </c:cat>
          <c:val>
            <c:numRef>
              <c:f>発生・消化曲線!$D$29:$AB$29</c:f>
              <c:numCache>
                <c:formatCode>0_ </c:formatCode>
                <c:ptCount val="25"/>
                <c:pt idx="0">
                  <c:v>15</c:v>
                </c:pt>
                <c:pt idx="1">
                  <c:v>19</c:v>
                </c:pt>
                <c:pt idx="2">
                  <c:v>27</c:v>
                </c:pt>
                <c:pt idx="3">
                  <c:v>28</c:v>
                </c:pt>
                <c:pt idx="4">
                  <c:v>31</c:v>
                </c:pt>
                <c:pt idx="5">
                  <c:v>31</c:v>
                </c:pt>
                <c:pt idx="6">
                  <c:v>31</c:v>
                </c:pt>
                <c:pt idx="7">
                  <c:v>44</c:v>
                </c:pt>
                <c:pt idx="8">
                  <c:v>50</c:v>
                </c:pt>
                <c:pt idx="9">
                  <c:v>69</c:v>
                </c:pt>
                <c:pt idx="10">
                  <c:v>83</c:v>
                </c:pt>
                <c:pt idx="11">
                  <c:v>89</c:v>
                </c:pt>
                <c:pt idx="12">
                  <c:v>89</c:v>
                </c:pt>
                <c:pt idx="13">
                  <c:v>89</c:v>
                </c:pt>
                <c:pt idx="14">
                  <c:v>92</c:v>
                </c:pt>
                <c:pt idx="15">
                  <c:v>92</c:v>
                </c:pt>
                <c:pt idx="16">
                  <c:v>92</c:v>
                </c:pt>
                <c:pt idx="17">
                  <c:v>92</c:v>
                </c:pt>
                <c:pt idx="18">
                  <c:v>92</c:v>
                </c:pt>
                <c:pt idx="19">
                  <c:v>92</c:v>
                </c:pt>
                <c:pt idx="20">
                  <c:v>92</c:v>
                </c:pt>
                <c:pt idx="21">
                  <c:v>92</c:v>
                </c:pt>
                <c:pt idx="22">
                  <c:v>92</c:v>
                </c:pt>
                <c:pt idx="23">
                  <c:v>92</c:v>
                </c:pt>
                <c:pt idx="24">
                  <c:v>92</c:v>
                </c:pt>
              </c:numCache>
            </c:numRef>
          </c:val>
          <c:smooth val="0"/>
          <c:extLst>
            <c:ext xmlns:c16="http://schemas.microsoft.com/office/drawing/2014/chart" uri="{C3380CC4-5D6E-409C-BE32-E72D297353CC}">
              <c16:uniqueId val="{00000001-5882-4931-8D1F-43D7D7BFF9F8}"/>
            </c:ext>
          </c:extLst>
        </c:ser>
        <c:ser>
          <c:idx val="2"/>
          <c:order val="2"/>
          <c:tx>
            <c:v>発生合計</c:v>
          </c:tx>
          <c:spPr>
            <a:ln w="28575" cap="rnd">
              <a:solidFill>
                <a:schemeClr val="accent3"/>
              </a:solidFill>
              <a:round/>
            </a:ln>
            <a:effectLst/>
          </c:spPr>
          <c:marker>
            <c:symbol val="none"/>
          </c:marker>
          <c:val>
            <c:numRef>
              <c:f>発生・消化曲線!$D$20:$AB$20</c:f>
              <c:numCache>
                <c:formatCode>0_ </c:formatCode>
                <c:ptCount val="25"/>
                <c:pt idx="0">
                  <c:v>53</c:v>
                </c:pt>
                <c:pt idx="1">
                  <c:v>72</c:v>
                </c:pt>
                <c:pt idx="2">
                  <c:v>91</c:v>
                </c:pt>
                <c:pt idx="3">
                  <c:v>105</c:v>
                </c:pt>
                <c:pt idx="4">
                  <c:v>120</c:v>
                </c:pt>
                <c:pt idx="5">
                  <c:v>120</c:v>
                </c:pt>
                <c:pt idx="6">
                  <c:v>120</c:v>
                </c:pt>
                <c:pt idx="7">
                  <c:v>140</c:v>
                </c:pt>
                <c:pt idx="8">
                  <c:v>149</c:v>
                </c:pt>
                <c:pt idx="9">
                  <c:v>156</c:v>
                </c:pt>
                <c:pt idx="10">
                  <c:v>161</c:v>
                </c:pt>
                <c:pt idx="11">
                  <c:v>163</c:v>
                </c:pt>
                <c:pt idx="12">
                  <c:v>163</c:v>
                </c:pt>
                <c:pt idx="13">
                  <c:v>163</c:v>
                </c:pt>
                <c:pt idx="14">
                  <c:v>164</c:v>
                </c:pt>
                <c:pt idx="15">
                  <c:v>164</c:v>
                </c:pt>
                <c:pt idx="16">
                  <c:v>164</c:v>
                </c:pt>
                <c:pt idx="17">
                  <c:v>164</c:v>
                </c:pt>
                <c:pt idx="18">
                  <c:v>164</c:v>
                </c:pt>
                <c:pt idx="19">
                  <c:v>164</c:v>
                </c:pt>
                <c:pt idx="20">
                  <c:v>164</c:v>
                </c:pt>
                <c:pt idx="21">
                  <c:v>165</c:v>
                </c:pt>
                <c:pt idx="22">
                  <c:v>165</c:v>
                </c:pt>
                <c:pt idx="23">
                  <c:v>165</c:v>
                </c:pt>
                <c:pt idx="24">
                  <c:v>165</c:v>
                </c:pt>
              </c:numCache>
            </c:numRef>
          </c:val>
          <c:smooth val="0"/>
          <c:extLst>
            <c:ext xmlns:c16="http://schemas.microsoft.com/office/drawing/2014/chart" uri="{C3380CC4-5D6E-409C-BE32-E72D297353CC}">
              <c16:uniqueId val="{00000002-5882-4931-8D1F-43D7D7BFF9F8}"/>
            </c:ext>
          </c:extLst>
        </c:ser>
        <c:dLbls>
          <c:showLegendKey val="0"/>
          <c:showVal val="0"/>
          <c:showCatName val="0"/>
          <c:showSerName val="0"/>
          <c:showPercent val="0"/>
          <c:showBubbleSize val="0"/>
        </c:dLbls>
        <c:marker val="1"/>
        <c:smooth val="0"/>
        <c:axId val="2102638816"/>
        <c:axId val="2102633408"/>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2102633408"/>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38816"/>
        <c:crosses val="max"/>
        <c:crossBetween val="between"/>
      </c:valAx>
      <c:dateAx>
        <c:axId val="2102638816"/>
        <c:scaling>
          <c:orientation val="minMax"/>
        </c:scaling>
        <c:delete val="1"/>
        <c:axPos val="b"/>
        <c:numFmt formatCode="mm/dd" sourceLinked="1"/>
        <c:majorTickMark val="out"/>
        <c:minorTickMark val="none"/>
        <c:tickLblPos val="nextTo"/>
        <c:crossAx val="2102633408"/>
        <c:crosses val="autoZero"/>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消化原因!$E$1</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消化原因!$E$2:$E$9</c15:sqref>
                  </c15:fullRef>
                </c:ext>
              </c:extLst>
              <c:f>消化原因!$E$2:$E$5</c:f>
              <c:numCache>
                <c:formatCode>0_ </c:formatCode>
                <c:ptCount val="4"/>
                <c:pt idx="0">
                  <c:v>0</c:v>
                </c:pt>
                <c:pt idx="1">
                  <c:v>3</c:v>
                </c:pt>
                <c:pt idx="2">
                  <c:v>17</c:v>
                </c:pt>
                <c:pt idx="3">
                  <c:v>67</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ステータス!$E$2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ステータス!$E$3:$E$6</c:f>
              <c:numCache>
                <c:formatCode>General</c:formatCode>
                <c:ptCount val="4"/>
                <c:pt idx="0">
                  <c:v>53</c:v>
                </c:pt>
                <c:pt idx="1">
                  <c:v>9</c:v>
                </c:pt>
                <c:pt idx="2">
                  <c:v>11</c:v>
                </c:pt>
                <c:pt idx="3">
                  <c:v>92</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9</xdr:col>
      <xdr:colOff>172010</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E$10" spid="_x0000_s27859"/>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E$7" spid="_x0000_s27860"/>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7861"/>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25400</xdr:colOff>
          <xdr:row>0</xdr:row>
          <xdr:rowOff>25400</xdr:rowOff>
        </xdr:from>
        <xdr:to>
          <xdr:col>6</xdr:col>
          <xdr:colOff>647700</xdr:colOff>
          <xdr:row>1</xdr:row>
          <xdr:rowOff>228600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9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101600</xdr:rowOff>
        </xdr:from>
        <xdr:to>
          <xdr:col>2</xdr:col>
          <xdr:colOff>114300</xdr:colOff>
          <xdr:row>1</xdr:row>
          <xdr:rowOff>139700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9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Yu Gothic" charset="-128"/>
                  <a:ea typeface="Yu Gothic" charset="-128"/>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567" TargetMode="External"/><Relationship Id="rId21" Type="http://schemas.openxmlformats.org/officeDocument/2006/relationships/hyperlink" Target="https://sasuke-fl.backlog.com/view/SASUKE_PROJ_H8739-724" TargetMode="External"/><Relationship Id="rId42" Type="http://schemas.openxmlformats.org/officeDocument/2006/relationships/hyperlink" Target="https://sasuke-fl.backlog.com/view/SASUKE_PROJ_H8739-692" TargetMode="External"/><Relationship Id="rId63" Type="http://schemas.openxmlformats.org/officeDocument/2006/relationships/hyperlink" Target="https://sasuke-fl.backlog.com/view/SASUKE_PROJ_H8739-656" TargetMode="External"/><Relationship Id="rId84" Type="http://schemas.openxmlformats.org/officeDocument/2006/relationships/hyperlink" Target="https://sasuke-fl.backlog.com/view/SASUKE_PROJ_H8739-624" TargetMode="External"/><Relationship Id="rId138" Type="http://schemas.openxmlformats.org/officeDocument/2006/relationships/drawing" Target="../drawings/drawing2.xml"/><Relationship Id="rId16" Type="http://schemas.openxmlformats.org/officeDocument/2006/relationships/hyperlink" Target="https://sasuke-fl.backlog.com/view/SASUKE_PROJ_H8739-729" TargetMode="External"/><Relationship Id="rId107" Type="http://schemas.openxmlformats.org/officeDocument/2006/relationships/hyperlink" Target="https://sasuke-fl.backlog.com/view/SASUKE_PROJ_H8739-582" TargetMode="External"/><Relationship Id="rId11" Type="http://schemas.openxmlformats.org/officeDocument/2006/relationships/hyperlink" Target="https://sasuke-fl.backlog.com/view/SASUKE_PROJ_H8739-765" TargetMode="External"/><Relationship Id="rId32" Type="http://schemas.openxmlformats.org/officeDocument/2006/relationships/hyperlink" Target="https://sasuke-fl.backlog.com/view/SASUKE_PROJ_H8739-709" TargetMode="External"/><Relationship Id="rId37" Type="http://schemas.openxmlformats.org/officeDocument/2006/relationships/hyperlink" Target="https://sasuke-fl.backlog.com/view/SASUKE_PROJ_H8739-702" TargetMode="External"/><Relationship Id="rId53" Type="http://schemas.openxmlformats.org/officeDocument/2006/relationships/hyperlink" Target="https://sasuke-fl.backlog.com/view/SASUKE_PROJ_H8739-672" TargetMode="External"/><Relationship Id="rId58" Type="http://schemas.openxmlformats.org/officeDocument/2006/relationships/hyperlink" Target="https://sasuke-fl.backlog.com/view/SASUKE_PROJ_H8739-665" TargetMode="External"/><Relationship Id="rId74" Type="http://schemas.openxmlformats.org/officeDocument/2006/relationships/hyperlink" Target="https://sasuke-fl.backlog.com/view/SASUKE_PROJ_H8739-641" TargetMode="External"/><Relationship Id="rId79" Type="http://schemas.openxmlformats.org/officeDocument/2006/relationships/hyperlink" Target="https://sasuke-fl.backlog.com/view/SASUKE_PROJ_H8739-635" TargetMode="External"/><Relationship Id="rId102" Type="http://schemas.openxmlformats.org/officeDocument/2006/relationships/hyperlink" Target="https://sasuke-fl.backlog.com/view/SASUKE_PROJ_H8739-596" TargetMode="External"/><Relationship Id="rId123" Type="http://schemas.openxmlformats.org/officeDocument/2006/relationships/hyperlink" Target="https://sasuke-fl.backlog.com/view/SASUKE_PROJ_H8739-552" TargetMode="External"/><Relationship Id="rId128" Type="http://schemas.openxmlformats.org/officeDocument/2006/relationships/hyperlink" Target="https://sasuke-fl.backlog.com/view/SASUKE_PROJ_H8739-534" TargetMode="External"/><Relationship Id="rId5" Type="http://schemas.openxmlformats.org/officeDocument/2006/relationships/hyperlink" Target="https://sasuke-fl.backlog.com/view/SASUKE_PROJ_H8739-787" TargetMode="External"/><Relationship Id="rId90" Type="http://schemas.openxmlformats.org/officeDocument/2006/relationships/hyperlink" Target="https://sasuke-fl.backlog.com/view/SASUKE_PROJ_H8739-615" TargetMode="External"/><Relationship Id="rId95" Type="http://schemas.openxmlformats.org/officeDocument/2006/relationships/hyperlink" Target="https://sasuke-fl.backlog.com/view/SASUKE_PROJ_H8739-608" TargetMode="External"/><Relationship Id="rId22" Type="http://schemas.openxmlformats.org/officeDocument/2006/relationships/hyperlink" Target="https://sasuke-fl.backlog.com/view/SASUKE_PROJ_H8739-723" TargetMode="External"/><Relationship Id="rId27" Type="http://schemas.openxmlformats.org/officeDocument/2006/relationships/hyperlink" Target="https://sasuke-fl.backlog.com/view/SASUKE_PROJ_H8739-717" TargetMode="External"/><Relationship Id="rId43" Type="http://schemas.openxmlformats.org/officeDocument/2006/relationships/hyperlink" Target="https://sasuke-fl.backlog.com/view/SASUKE_PROJ_H8739-691" TargetMode="External"/><Relationship Id="rId48" Type="http://schemas.openxmlformats.org/officeDocument/2006/relationships/hyperlink" Target="https://sasuke-fl.backlog.com/view/SASUKE_PROJ_H8739-678" TargetMode="External"/><Relationship Id="rId64" Type="http://schemas.openxmlformats.org/officeDocument/2006/relationships/hyperlink" Target="https://sasuke-fl.backlog.com/view/SASUKE_PROJ_H8739-655" TargetMode="External"/><Relationship Id="rId69" Type="http://schemas.openxmlformats.org/officeDocument/2006/relationships/hyperlink" Target="https://sasuke-fl.backlog.com/view/SASUKE_PROJ_H8739-650" TargetMode="External"/><Relationship Id="rId113" Type="http://schemas.openxmlformats.org/officeDocument/2006/relationships/hyperlink" Target="https://sasuke-fl.backlog.com/view/SASUKE_PROJ_H8739-572" TargetMode="External"/><Relationship Id="rId118" Type="http://schemas.openxmlformats.org/officeDocument/2006/relationships/hyperlink" Target="https://sasuke-fl.backlog.com/view/SASUKE_PROJ_H8739-566" TargetMode="External"/><Relationship Id="rId134" Type="http://schemas.openxmlformats.org/officeDocument/2006/relationships/hyperlink" Target="https://sasuke-fl.backlog.com/view/SASUKE_PROJ_H8739-524" TargetMode="External"/><Relationship Id="rId139" Type="http://schemas.openxmlformats.org/officeDocument/2006/relationships/vmlDrawing" Target="../drawings/vmlDrawing2.vml"/><Relationship Id="rId80" Type="http://schemas.openxmlformats.org/officeDocument/2006/relationships/hyperlink" Target="https://sasuke-fl.backlog.com/view/SASUKE_PROJ_H8739-633" TargetMode="External"/><Relationship Id="rId85" Type="http://schemas.openxmlformats.org/officeDocument/2006/relationships/hyperlink" Target="https://sasuke-fl.backlog.com/view/SASUKE_PROJ_H8739-623" TargetMode="External"/><Relationship Id="rId12" Type="http://schemas.openxmlformats.org/officeDocument/2006/relationships/hyperlink" Target="https://sasuke-fl.backlog.com/view/SASUKE_PROJ_H8739-762" TargetMode="External"/><Relationship Id="rId17" Type="http://schemas.openxmlformats.org/officeDocument/2006/relationships/hyperlink" Target="https://sasuke-fl.backlog.com/view/SASUKE_PROJ_H8739-728" TargetMode="External"/><Relationship Id="rId33" Type="http://schemas.openxmlformats.org/officeDocument/2006/relationships/hyperlink" Target="https://sasuke-fl.backlog.com/view/SASUKE_PROJ_H8739-708" TargetMode="External"/><Relationship Id="rId38" Type="http://schemas.openxmlformats.org/officeDocument/2006/relationships/hyperlink" Target="https://sasuke-fl.backlog.com/view/SASUKE_PROJ_H8739-700" TargetMode="External"/><Relationship Id="rId59" Type="http://schemas.openxmlformats.org/officeDocument/2006/relationships/hyperlink" Target="https://sasuke-fl.backlog.com/view/SASUKE_PROJ_H8739-664" TargetMode="External"/><Relationship Id="rId103" Type="http://schemas.openxmlformats.org/officeDocument/2006/relationships/hyperlink" Target="https://sasuke-fl.backlog.com/view/SASUKE_PROJ_H8739-593" TargetMode="External"/><Relationship Id="rId108" Type="http://schemas.openxmlformats.org/officeDocument/2006/relationships/hyperlink" Target="https://sasuke-fl.backlog.com/view/SASUKE_PROJ_H8739-580" TargetMode="External"/><Relationship Id="rId124" Type="http://schemas.openxmlformats.org/officeDocument/2006/relationships/hyperlink" Target="https://sasuke-fl.backlog.com/view/SASUKE_PROJ_H8739-551" TargetMode="External"/><Relationship Id="rId129" Type="http://schemas.openxmlformats.org/officeDocument/2006/relationships/hyperlink" Target="https://sasuke-fl.backlog.com/view/SASUKE_PROJ_H8739-529" TargetMode="External"/><Relationship Id="rId54" Type="http://schemas.openxmlformats.org/officeDocument/2006/relationships/hyperlink" Target="https://sasuke-fl.backlog.com/view/SASUKE_PROJ_H8739-671" TargetMode="External"/><Relationship Id="rId70" Type="http://schemas.openxmlformats.org/officeDocument/2006/relationships/hyperlink" Target="https://sasuke-fl.backlog.com/view/SASUKE_PROJ_H8739-649" TargetMode="External"/><Relationship Id="rId75" Type="http://schemas.openxmlformats.org/officeDocument/2006/relationships/hyperlink" Target="https://sasuke-fl.backlog.com/view/SASUKE_PROJ_H8739-640" TargetMode="External"/><Relationship Id="rId91" Type="http://schemas.openxmlformats.org/officeDocument/2006/relationships/hyperlink" Target="https://sasuke-fl.backlog.com/view/SASUKE_PROJ_H8739-613" TargetMode="External"/><Relationship Id="rId96" Type="http://schemas.openxmlformats.org/officeDocument/2006/relationships/hyperlink" Target="https://sasuke-fl.backlog.com/view/SASUKE_PROJ_H8739-607" TargetMode="External"/><Relationship Id="rId140" Type="http://schemas.openxmlformats.org/officeDocument/2006/relationships/ctrlProp" Target="../ctrlProps/ctrlProp1.xml"/><Relationship Id="rId1" Type="http://schemas.openxmlformats.org/officeDocument/2006/relationships/hyperlink" Target="https://sasuke-fl.backlog.com/view/SASUKE_PROJ_H8739-822" TargetMode="External"/><Relationship Id="rId6" Type="http://schemas.openxmlformats.org/officeDocument/2006/relationships/hyperlink" Target="https://sasuke-fl.backlog.com/view/SASUKE_PROJ_H8739-784" TargetMode="External"/><Relationship Id="rId23" Type="http://schemas.openxmlformats.org/officeDocument/2006/relationships/hyperlink" Target="https://sasuke-fl.backlog.com/view/SASUKE_PROJ_H8739-722" TargetMode="External"/><Relationship Id="rId28" Type="http://schemas.openxmlformats.org/officeDocument/2006/relationships/hyperlink" Target="https://sasuke-fl.backlog.com/view/SASUKE_PROJ_H8739-716" TargetMode="External"/><Relationship Id="rId49" Type="http://schemas.openxmlformats.org/officeDocument/2006/relationships/hyperlink" Target="https://sasuke-fl.backlog.com/view/SASUKE_PROJ_H8739-676" TargetMode="External"/><Relationship Id="rId114" Type="http://schemas.openxmlformats.org/officeDocument/2006/relationships/hyperlink" Target="https://sasuke-fl.backlog.com/view/SASUKE_PROJ_H8739-571" TargetMode="External"/><Relationship Id="rId119" Type="http://schemas.openxmlformats.org/officeDocument/2006/relationships/hyperlink" Target="https://sasuke-fl.backlog.com/view/SASUKE_PROJ_H8739-565" TargetMode="External"/><Relationship Id="rId44" Type="http://schemas.openxmlformats.org/officeDocument/2006/relationships/hyperlink" Target="https://sasuke-fl.backlog.com/view/SASUKE_PROJ_H8739-687" TargetMode="External"/><Relationship Id="rId60" Type="http://schemas.openxmlformats.org/officeDocument/2006/relationships/hyperlink" Target="https://sasuke-fl.backlog.com/view/SASUKE_PROJ_H8739-659" TargetMode="External"/><Relationship Id="rId65" Type="http://schemas.openxmlformats.org/officeDocument/2006/relationships/hyperlink" Target="https://sasuke-fl.backlog.com/view/SASUKE_PROJ_H8739-654" TargetMode="External"/><Relationship Id="rId81" Type="http://schemas.openxmlformats.org/officeDocument/2006/relationships/hyperlink" Target="https://sasuke-fl.backlog.com/view/SASUKE_PROJ_H8739-632" TargetMode="External"/><Relationship Id="rId86" Type="http://schemas.openxmlformats.org/officeDocument/2006/relationships/hyperlink" Target="https://sasuke-fl.backlog.com/view/SASUKE_PROJ_H8739-622" TargetMode="External"/><Relationship Id="rId130" Type="http://schemas.openxmlformats.org/officeDocument/2006/relationships/hyperlink" Target="https://sasuke-fl.backlog.com/view/SASUKE_PROJ_H8739-528" TargetMode="External"/><Relationship Id="rId135" Type="http://schemas.openxmlformats.org/officeDocument/2006/relationships/hyperlink" Target="https://sasuke-fl.backlog.com/view/SASUKE_PROJ_H8739-522" TargetMode="External"/><Relationship Id="rId13" Type="http://schemas.openxmlformats.org/officeDocument/2006/relationships/hyperlink" Target="https://sasuke-fl.backlog.com/view/SASUKE_PROJ_H8739-761" TargetMode="External"/><Relationship Id="rId18" Type="http://schemas.openxmlformats.org/officeDocument/2006/relationships/hyperlink" Target="https://sasuke-fl.backlog.com/view/SASUKE_PROJ_H8739-727" TargetMode="External"/><Relationship Id="rId39" Type="http://schemas.openxmlformats.org/officeDocument/2006/relationships/hyperlink" Target="https://sasuke-fl.backlog.com/view/SASUKE_PROJ_H8739-698" TargetMode="External"/><Relationship Id="rId109" Type="http://schemas.openxmlformats.org/officeDocument/2006/relationships/hyperlink" Target="https://sasuke-fl.backlog.com/view/SASUKE_PROJ_H8739-578" TargetMode="External"/><Relationship Id="rId34" Type="http://schemas.openxmlformats.org/officeDocument/2006/relationships/hyperlink" Target="https://sasuke-fl.backlog.com/view/SASUKE_PROJ_H8739-707" TargetMode="External"/><Relationship Id="rId50" Type="http://schemas.openxmlformats.org/officeDocument/2006/relationships/hyperlink" Target="https://sasuke-fl.backlog.com/view/SASUKE_PROJ_H8739-675" TargetMode="External"/><Relationship Id="rId55" Type="http://schemas.openxmlformats.org/officeDocument/2006/relationships/hyperlink" Target="https://sasuke-fl.backlog.com/view/SASUKE_PROJ_H8739-670" TargetMode="External"/><Relationship Id="rId76" Type="http://schemas.openxmlformats.org/officeDocument/2006/relationships/hyperlink" Target="https://sasuke-fl.backlog.com/view/SASUKE_PROJ_H8739-639" TargetMode="External"/><Relationship Id="rId97" Type="http://schemas.openxmlformats.org/officeDocument/2006/relationships/hyperlink" Target="https://sasuke-fl.backlog.com/view/SASUKE_PROJ_H8739-605" TargetMode="External"/><Relationship Id="rId104" Type="http://schemas.openxmlformats.org/officeDocument/2006/relationships/hyperlink" Target="https://sasuke-fl.backlog.com/view/SASUKE_PROJ_H8739-592" TargetMode="External"/><Relationship Id="rId120" Type="http://schemas.openxmlformats.org/officeDocument/2006/relationships/hyperlink" Target="https://sasuke-fl.backlog.com/view/SASUKE_PROJ_H8739-558" TargetMode="External"/><Relationship Id="rId125" Type="http://schemas.openxmlformats.org/officeDocument/2006/relationships/hyperlink" Target="https://sasuke-fl.backlog.com/view/SASUKE_PROJ_H8739-543" TargetMode="External"/><Relationship Id="rId7" Type="http://schemas.openxmlformats.org/officeDocument/2006/relationships/hyperlink" Target="https://sasuke-fl.backlog.com/view/SASUKE_PROJ_H8739-783" TargetMode="External"/><Relationship Id="rId71" Type="http://schemas.openxmlformats.org/officeDocument/2006/relationships/hyperlink" Target="https://sasuke-fl.backlog.com/view/SASUKE_PROJ_H8739-648" TargetMode="External"/><Relationship Id="rId92" Type="http://schemas.openxmlformats.org/officeDocument/2006/relationships/hyperlink" Target="https://sasuke-fl.backlog.com/view/SASUKE_PROJ_H8739-612" TargetMode="External"/><Relationship Id="rId2" Type="http://schemas.openxmlformats.org/officeDocument/2006/relationships/hyperlink" Target="https://sasuke-fl.backlog.com/view/SASUKE_PROJ_H8739-817" TargetMode="External"/><Relationship Id="rId29" Type="http://schemas.openxmlformats.org/officeDocument/2006/relationships/hyperlink" Target="https://sasuke-fl.backlog.com/view/SASUKE_PROJ_H8739-713" TargetMode="External"/><Relationship Id="rId24" Type="http://schemas.openxmlformats.org/officeDocument/2006/relationships/hyperlink" Target="https://sasuke-fl.backlog.com/view/SASUKE_PROJ_H8739-721" TargetMode="External"/><Relationship Id="rId40" Type="http://schemas.openxmlformats.org/officeDocument/2006/relationships/hyperlink" Target="https://sasuke-fl.backlog.com/view/SASUKE_PROJ_H8739-697" TargetMode="External"/><Relationship Id="rId45" Type="http://schemas.openxmlformats.org/officeDocument/2006/relationships/hyperlink" Target="https://sasuke-fl.backlog.com/view/SASUKE_PROJ_H8739-682" TargetMode="External"/><Relationship Id="rId66" Type="http://schemas.openxmlformats.org/officeDocument/2006/relationships/hyperlink" Target="https://sasuke-fl.backlog.com/view/SASUKE_PROJ_H8739-653" TargetMode="External"/><Relationship Id="rId87" Type="http://schemas.openxmlformats.org/officeDocument/2006/relationships/hyperlink" Target="https://sasuke-fl.backlog.com/view/SASUKE_PROJ_H8739-619" TargetMode="External"/><Relationship Id="rId110" Type="http://schemas.openxmlformats.org/officeDocument/2006/relationships/hyperlink" Target="https://sasuke-fl.backlog.com/view/SASUKE_PROJ_H8739-575" TargetMode="External"/><Relationship Id="rId115" Type="http://schemas.openxmlformats.org/officeDocument/2006/relationships/hyperlink" Target="https://sasuke-fl.backlog.com/view/SASUKE_PROJ_H8739-569" TargetMode="External"/><Relationship Id="rId131" Type="http://schemas.openxmlformats.org/officeDocument/2006/relationships/hyperlink" Target="https://sasuke-fl.backlog.com/view/SASUKE_PROJ_H8739-527" TargetMode="External"/><Relationship Id="rId136" Type="http://schemas.openxmlformats.org/officeDocument/2006/relationships/hyperlink" Target="https://sasuke-fl.backlog.com/view/SASUKE_PROJ_H8739-521" TargetMode="External"/><Relationship Id="rId61" Type="http://schemas.openxmlformats.org/officeDocument/2006/relationships/hyperlink" Target="https://sasuke-fl.backlog.com/view/SASUKE_PROJ_H8739-658" TargetMode="External"/><Relationship Id="rId82" Type="http://schemas.openxmlformats.org/officeDocument/2006/relationships/hyperlink" Target="https://sasuke-fl.backlog.com/view/SASUKE_PROJ_H8739-628" TargetMode="External"/><Relationship Id="rId19" Type="http://schemas.openxmlformats.org/officeDocument/2006/relationships/hyperlink" Target="https://sasuke-fl.backlog.com/view/SASUKE_PROJ_H8739-726" TargetMode="External"/><Relationship Id="rId14" Type="http://schemas.openxmlformats.org/officeDocument/2006/relationships/hyperlink" Target="https://sasuke-fl.backlog.com/view/SASUKE_PROJ_H8739-758" TargetMode="External"/><Relationship Id="rId30" Type="http://schemas.openxmlformats.org/officeDocument/2006/relationships/hyperlink" Target="https://sasuke-fl.backlog.com/view/SASUKE_PROJ_H8739-712" TargetMode="External"/><Relationship Id="rId35" Type="http://schemas.openxmlformats.org/officeDocument/2006/relationships/hyperlink" Target="https://sasuke-fl.backlog.com/view/SASUKE_PROJ_H8739-705" TargetMode="External"/><Relationship Id="rId56" Type="http://schemas.openxmlformats.org/officeDocument/2006/relationships/hyperlink" Target="https://sasuke-fl.backlog.com/view/SASUKE_PROJ_H8739-669" TargetMode="External"/><Relationship Id="rId77" Type="http://schemas.openxmlformats.org/officeDocument/2006/relationships/hyperlink" Target="https://sasuke-fl.backlog.com/view/SASUKE_PROJ_H8739-638" TargetMode="External"/><Relationship Id="rId100" Type="http://schemas.openxmlformats.org/officeDocument/2006/relationships/hyperlink" Target="https://sasuke-fl.backlog.com/view/SASUKE_PROJ_H8739-600" TargetMode="External"/><Relationship Id="rId105" Type="http://schemas.openxmlformats.org/officeDocument/2006/relationships/hyperlink" Target="https://sasuke-fl.backlog.com/view/SASUKE_PROJ_H8739-591" TargetMode="External"/><Relationship Id="rId126" Type="http://schemas.openxmlformats.org/officeDocument/2006/relationships/hyperlink" Target="https://sasuke-fl.backlog.com/view/SASUKE_PROJ_H8739-542" TargetMode="External"/><Relationship Id="rId8" Type="http://schemas.openxmlformats.org/officeDocument/2006/relationships/hyperlink" Target="https://sasuke-fl.backlog.com/view/SASUKE_PROJ_H8739-781" TargetMode="External"/><Relationship Id="rId51" Type="http://schemas.openxmlformats.org/officeDocument/2006/relationships/hyperlink" Target="https://sasuke-fl.backlog.com/view/SASUKE_PROJ_H8739-674" TargetMode="External"/><Relationship Id="rId72" Type="http://schemas.openxmlformats.org/officeDocument/2006/relationships/hyperlink" Target="https://sasuke-fl.backlog.com/view/SASUKE_PROJ_H8739-647" TargetMode="External"/><Relationship Id="rId93" Type="http://schemas.openxmlformats.org/officeDocument/2006/relationships/hyperlink" Target="https://sasuke-fl.backlog.com/view/SASUKE_PROJ_H8739-611" TargetMode="External"/><Relationship Id="rId98" Type="http://schemas.openxmlformats.org/officeDocument/2006/relationships/hyperlink" Target="https://sasuke-fl.backlog.com/view/SASUKE_PROJ_H8739-604" TargetMode="External"/><Relationship Id="rId121" Type="http://schemas.openxmlformats.org/officeDocument/2006/relationships/hyperlink" Target="https://sasuke-fl.backlog.com/view/SASUKE_PROJ_H8739-554" TargetMode="External"/><Relationship Id="rId3" Type="http://schemas.openxmlformats.org/officeDocument/2006/relationships/hyperlink" Target="https://sasuke-fl.backlog.com/view/SASUKE_PROJ_H8739-810" TargetMode="External"/><Relationship Id="rId25" Type="http://schemas.openxmlformats.org/officeDocument/2006/relationships/hyperlink" Target="https://sasuke-fl.backlog.com/view/SASUKE_PROJ_H8739-720" TargetMode="External"/><Relationship Id="rId46" Type="http://schemas.openxmlformats.org/officeDocument/2006/relationships/hyperlink" Target="https://sasuke-fl.backlog.com/view/SASUKE_PROJ_H8739-681" TargetMode="External"/><Relationship Id="rId67" Type="http://schemas.openxmlformats.org/officeDocument/2006/relationships/hyperlink" Target="https://sasuke-fl.backlog.com/view/SASUKE_PROJ_H8739-652" TargetMode="External"/><Relationship Id="rId116" Type="http://schemas.openxmlformats.org/officeDocument/2006/relationships/hyperlink" Target="https://sasuke-fl.backlog.com/view/SASUKE_PROJ_H8739-568" TargetMode="External"/><Relationship Id="rId137" Type="http://schemas.openxmlformats.org/officeDocument/2006/relationships/printerSettings" Target="../printerSettings/printerSettings5.bin"/><Relationship Id="rId20" Type="http://schemas.openxmlformats.org/officeDocument/2006/relationships/hyperlink" Target="https://sasuke-fl.backlog.com/view/SASUKE_PROJ_H8739-725" TargetMode="External"/><Relationship Id="rId41" Type="http://schemas.openxmlformats.org/officeDocument/2006/relationships/hyperlink" Target="https://sasuke-fl.backlog.com/view/SASUKE_PROJ_H8739-694" TargetMode="External"/><Relationship Id="rId62" Type="http://schemas.openxmlformats.org/officeDocument/2006/relationships/hyperlink" Target="https://sasuke-fl.backlog.com/view/SASUKE_PROJ_H8739-657" TargetMode="External"/><Relationship Id="rId83" Type="http://schemas.openxmlformats.org/officeDocument/2006/relationships/hyperlink" Target="https://sasuke-fl.backlog.com/view/SASUKE_PROJ_H8739-625" TargetMode="External"/><Relationship Id="rId88" Type="http://schemas.openxmlformats.org/officeDocument/2006/relationships/hyperlink" Target="https://sasuke-fl.backlog.com/view/SASUKE_PROJ_H8739-618" TargetMode="External"/><Relationship Id="rId111" Type="http://schemas.openxmlformats.org/officeDocument/2006/relationships/hyperlink" Target="https://sasuke-fl.backlog.com/view/SASUKE_PROJ_H8739-574" TargetMode="External"/><Relationship Id="rId132" Type="http://schemas.openxmlformats.org/officeDocument/2006/relationships/hyperlink" Target="https://sasuke-fl.backlog.com/view/SASUKE_PROJ_H8739-526" TargetMode="External"/><Relationship Id="rId15" Type="http://schemas.openxmlformats.org/officeDocument/2006/relationships/hyperlink" Target="https://sasuke-fl.backlog.com/view/SASUKE_PROJ_H8739-743" TargetMode="External"/><Relationship Id="rId36" Type="http://schemas.openxmlformats.org/officeDocument/2006/relationships/hyperlink" Target="https://sasuke-fl.backlog.com/view/SASUKE_PROJ_H8739-704" TargetMode="External"/><Relationship Id="rId57" Type="http://schemas.openxmlformats.org/officeDocument/2006/relationships/hyperlink" Target="https://sasuke-fl.backlog.com/view/SASUKE_PROJ_H8739-668" TargetMode="External"/><Relationship Id="rId106" Type="http://schemas.openxmlformats.org/officeDocument/2006/relationships/hyperlink" Target="https://sasuke-fl.backlog.com/view/SASUKE_PROJ_H8739-587" TargetMode="External"/><Relationship Id="rId127" Type="http://schemas.openxmlformats.org/officeDocument/2006/relationships/hyperlink" Target="https://sasuke-fl.backlog.com/view/SASUKE_PROJ_H8739-541" TargetMode="External"/><Relationship Id="rId10" Type="http://schemas.openxmlformats.org/officeDocument/2006/relationships/hyperlink" Target="https://sasuke-fl.backlog.com/view/SASUKE_PROJ_H8739-771" TargetMode="External"/><Relationship Id="rId31" Type="http://schemas.openxmlformats.org/officeDocument/2006/relationships/hyperlink" Target="https://sasuke-fl.backlog.com/view/SASUKE_PROJ_H8739-710" TargetMode="External"/><Relationship Id="rId52" Type="http://schemas.openxmlformats.org/officeDocument/2006/relationships/hyperlink" Target="https://sasuke-fl.backlog.com/view/SASUKE_PROJ_H8739-673" TargetMode="External"/><Relationship Id="rId73" Type="http://schemas.openxmlformats.org/officeDocument/2006/relationships/hyperlink" Target="https://sasuke-fl.backlog.com/view/SASUKE_PROJ_H8739-643" TargetMode="External"/><Relationship Id="rId78" Type="http://schemas.openxmlformats.org/officeDocument/2006/relationships/hyperlink" Target="https://sasuke-fl.backlog.com/view/SASUKE_PROJ_H8739-636" TargetMode="External"/><Relationship Id="rId94" Type="http://schemas.openxmlformats.org/officeDocument/2006/relationships/hyperlink" Target="https://sasuke-fl.backlog.com/view/SASUKE_PROJ_H8739-610" TargetMode="External"/><Relationship Id="rId99" Type="http://schemas.openxmlformats.org/officeDocument/2006/relationships/hyperlink" Target="https://sasuke-fl.backlog.com/view/SASUKE_PROJ_H8739-601" TargetMode="External"/><Relationship Id="rId101" Type="http://schemas.openxmlformats.org/officeDocument/2006/relationships/hyperlink" Target="https://sasuke-fl.backlog.com/view/SASUKE_PROJ_H8739-599" TargetMode="External"/><Relationship Id="rId122" Type="http://schemas.openxmlformats.org/officeDocument/2006/relationships/hyperlink" Target="https://sasuke-fl.backlog.com/view/SASUKE_PROJ_H8739-553" TargetMode="External"/><Relationship Id="rId4" Type="http://schemas.openxmlformats.org/officeDocument/2006/relationships/hyperlink" Target="https://sasuke-fl.backlog.com/view/SASUKE_PROJ_H8739-802" TargetMode="External"/><Relationship Id="rId9" Type="http://schemas.openxmlformats.org/officeDocument/2006/relationships/hyperlink" Target="https://sasuke-fl.backlog.com/view/SASUKE_PROJ_H8739-773" TargetMode="External"/><Relationship Id="rId26" Type="http://schemas.openxmlformats.org/officeDocument/2006/relationships/hyperlink" Target="https://sasuke-fl.backlog.com/view/SASUKE_PROJ_H8739-718" TargetMode="External"/><Relationship Id="rId47" Type="http://schemas.openxmlformats.org/officeDocument/2006/relationships/hyperlink" Target="https://sasuke-fl.backlog.com/view/SASUKE_PROJ_H8739-679" TargetMode="External"/><Relationship Id="rId68" Type="http://schemas.openxmlformats.org/officeDocument/2006/relationships/hyperlink" Target="https://sasuke-fl.backlog.com/view/SASUKE_PROJ_H8739-651" TargetMode="External"/><Relationship Id="rId89" Type="http://schemas.openxmlformats.org/officeDocument/2006/relationships/hyperlink" Target="https://sasuke-fl.backlog.com/view/SASUKE_PROJ_H8739-616" TargetMode="External"/><Relationship Id="rId112" Type="http://schemas.openxmlformats.org/officeDocument/2006/relationships/hyperlink" Target="https://sasuke-fl.backlog.com/view/SASUKE_PROJ_H8739-573" TargetMode="External"/><Relationship Id="rId133" Type="http://schemas.openxmlformats.org/officeDocument/2006/relationships/hyperlink" Target="https://sasuke-fl.backlog.com/view/SASUKE_PROJ_H8739-525"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sasuke-fl.backlog.com/view/SASUKE_PROJ_H8739-737" TargetMode="External"/><Relationship Id="rId3" Type="http://schemas.openxmlformats.org/officeDocument/2006/relationships/hyperlink" Target="https://sasuke-fl.backlog.com/view/SASUKE_PROJ_H8739-769" TargetMode="External"/><Relationship Id="rId7" Type="http://schemas.openxmlformats.org/officeDocument/2006/relationships/hyperlink" Target="https://sasuke-fl.backlog.com/view/SASUKE_PROJ_H8739-738" TargetMode="External"/><Relationship Id="rId12" Type="http://schemas.openxmlformats.org/officeDocument/2006/relationships/ctrlProp" Target="../ctrlProps/ctrlProp2.xml"/><Relationship Id="rId2" Type="http://schemas.openxmlformats.org/officeDocument/2006/relationships/hyperlink" Target="https://sasuke-fl.backlog.com/view/SASUKE_PROJ_H8739-770" TargetMode="External"/><Relationship Id="rId1" Type="http://schemas.openxmlformats.org/officeDocument/2006/relationships/hyperlink" Target="https://sasuke-fl.backlog.com/view/SASUKE_PROJ_H8739-776" TargetMode="External"/><Relationship Id="rId6" Type="http://schemas.openxmlformats.org/officeDocument/2006/relationships/hyperlink" Target="https://sasuke-fl.backlog.com/view/SASUKE_PROJ_H8739-739" TargetMode="External"/><Relationship Id="rId11" Type="http://schemas.openxmlformats.org/officeDocument/2006/relationships/vmlDrawing" Target="../drawings/vmlDrawing3.vml"/><Relationship Id="rId5" Type="http://schemas.openxmlformats.org/officeDocument/2006/relationships/hyperlink" Target="https://sasuke-fl.backlog.com/view/SASUKE_PROJ_H8739-766" TargetMode="External"/><Relationship Id="rId10" Type="http://schemas.openxmlformats.org/officeDocument/2006/relationships/drawing" Target="../drawings/drawing3.xml"/><Relationship Id="rId4" Type="http://schemas.openxmlformats.org/officeDocument/2006/relationships/hyperlink" Target="https://sasuke-fl.backlog.com/view/SASUKE_PROJ_H8739-768" TargetMode="External"/><Relationship Id="rId9"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sasuke-fl.backlog.com/view/SASUKE_PROJ_H8739-598" TargetMode="External"/><Relationship Id="rId13" Type="http://schemas.openxmlformats.org/officeDocument/2006/relationships/hyperlink" Target="https://sasuke-fl.backlog.com/view/SASUKE_PROJ_H8739-585" TargetMode="External"/><Relationship Id="rId18" Type="http://schemas.openxmlformats.org/officeDocument/2006/relationships/hyperlink" Target="https://sasuke-fl.backlog.com/view/SASUKE_PROJ_H8739-577" TargetMode="External"/><Relationship Id="rId3" Type="http://schemas.openxmlformats.org/officeDocument/2006/relationships/hyperlink" Target="https://sasuke-fl.backlog.com/view/SASUKE_PROJ_H8739-775" TargetMode="External"/><Relationship Id="rId21" Type="http://schemas.openxmlformats.org/officeDocument/2006/relationships/hyperlink" Target="https://sasuke-fl.backlog.com/view/SASUKE_PROJ_H8739-548" TargetMode="External"/><Relationship Id="rId7" Type="http://schemas.openxmlformats.org/officeDocument/2006/relationships/hyperlink" Target="https://sasuke-fl.backlog.com/view/SASUKE_PROJ_H8739-606" TargetMode="External"/><Relationship Id="rId12" Type="http://schemas.openxmlformats.org/officeDocument/2006/relationships/hyperlink" Target="https://sasuke-fl.backlog.com/view/SASUKE_PROJ_H8739-586" TargetMode="External"/><Relationship Id="rId17" Type="http://schemas.openxmlformats.org/officeDocument/2006/relationships/hyperlink" Target="https://sasuke-fl.backlog.com/view/SASUKE_PROJ_H8739-579" TargetMode="External"/><Relationship Id="rId25" Type="http://schemas.openxmlformats.org/officeDocument/2006/relationships/ctrlProp" Target="../ctrlProps/ctrlProp3.xml"/><Relationship Id="rId2" Type="http://schemas.openxmlformats.org/officeDocument/2006/relationships/hyperlink" Target="https://sasuke-fl.backlog.com/view/SASUKE_PROJ_H8739-778" TargetMode="External"/><Relationship Id="rId16" Type="http://schemas.openxmlformats.org/officeDocument/2006/relationships/hyperlink" Target="https://sasuke-fl.backlog.com/view/SASUKE_PROJ_H8739-581" TargetMode="External"/><Relationship Id="rId20" Type="http://schemas.openxmlformats.org/officeDocument/2006/relationships/hyperlink" Target="https://sasuke-fl.backlog.com/view/SASUKE_PROJ_H8739-570" TargetMode="External"/><Relationship Id="rId1" Type="http://schemas.openxmlformats.org/officeDocument/2006/relationships/hyperlink" Target="https://sasuke-fl.backlog.com/view/SASUKE_PROJ_H8739-821" TargetMode="External"/><Relationship Id="rId6" Type="http://schemas.openxmlformats.org/officeDocument/2006/relationships/hyperlink" Target="https://sasuke-fl.backlog.com/view/SASUKE_PROJ_H8739-693" TargetMode="External"/><Relationship Id="rId11" Type="http://schemas.openxmlformats.org/officeDocument/2006/relationships/hyperlink" Target="https://sasuke-fl.backlog.com/view/SASUKE_PROJ_H8739-590" TargetMode="External"/><Relationship Id="rId24" Type="http://schemas.openxmlformats.org/officeDocument/2006/relationships/vmlDrawing" Target="../drawings/vmlDrawing4.vml"/><Relationship Id="rId5" Type="http://schemas.openxmlformats.org/officeDocument/2006/relationships/hyperlink" Target="https://sasuke-fl.backlog.com/view/SASUKE_PROJ_H8739-706" TargetMode="External"/><Relationship Id="rId15" Type="http://schemas.openxmlformats.org/officeDocument/2006/relationships/hyperlink" Target="https://sasuke-fl.backlog.com/view/SASUKE_PROJ_H8739-583" TargetMode="External"/><Relationship Id="rId23" Type="http://schemas.openxmlformats.org/officeDocument/2006/relationships/drawing" Target="../drawings/drawing4.xml"/><Relationship Id="rId10" Type="http://schemas.openxmlformats.org/officeDocument/2006/relationships/hyperlink" Target="https://sasuke-fl.backlog.com/view/SASUKE_PROJ_H8739-594" TargetMode="External"/><Relationship Id="rId19" Type="http://schemas.openxmlformats.org/officeDocument/2006/relationships/hyperlink" Target="https://sasuke-fl.backlog.com/view/SASUKE_PROJ_H8739-576" TargetMode="External"/><Relationship Id="rId4" Type="http://schemas.openxmlformats.org/officeDocument/2006/relationships/hyperlink" Target="https://sasuke-fl.backlog.com/view/SASUKE_PROJ_H8739-719" TargetMode="External"/><Relationship Id="rId9" Type="http://schemas.openxmlformats.org/officeDocument/2006/relationships/hyperlink" Target="https://sasuke-fl.backlog.com/view/SASUKE_PROJ_H8739-597" TargetMode="External"/><Relationship Id="rId14" Type="http://schemas.openxmlformats.org/officeDocument/2006/relationships/hyperlink" Target="https://sasuke-fl.backlog.com/view/SASUKE_PROJ_H8739-584" TargetMode="External"/><Relationship Id="rId22"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s://sasuke-fl.backlog.com/view/SASUKE_PROJ_H8739-756"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Normal="100" zoomScaleSheetLayoutView="100" workbookViewId="0">
      <selection activeCell="BO42" sqref="BO42"/>
    </sheetView>
  </sheetViews>
  <sheetFormatPr baseColWidth="10" defaultColWidth="3.1640625" defaultRowHeight="18"/>
  <cols>
    <col min="1" max="1" width="1.5" style="69" customWidth="1"/>
    <col min="2" max="43" width="3.1640625" style="69"/>
    <col min="44" max="44" width="6.6640625" style="69" customWidth="1"/>
    <col min="45" max="53" width="3.1640625" style="69"/>
    <col min="54" max="54" width="3.1640625" style="69" customWidth="1"/>
    <col min="55" max="72" width="3.1640625" style="69"/>
    <col min="73" max="77" width="3.1640625" style="67"/>
    <col min="78" max="16384" width="3.1640625" style="68"/>
  </cols>
  <sheetData>
    <row r="1" spans="52:71" ht="9" customHeight="1"/>
    <row r="2" spans="52:71" ht="24" customHeight="1">
      <c r="BK2" s="82" t="s">
        <v>658</v>
      </c>
      <c r="BL2" s="83"/>
      <c r="BM2" s="83"/>
      <c r="BN2" s="83"/>
      <c r="BO2" s="84">
        <v>44221</v>
      </c>
      <c r="BP2" s="84"/>
      <c r="BQ2" s="84"/>
      <c r="BR2" s="84"/>
      <c r="BS2" s="84"/>
    </row>
    <row r="3" spans="52:71" ht="6" customHeight="1" thickBot="1"/>
    <row r="4" spans="52:71">
      <c r="AZ4" s="70" t="s">
        <v>506</v>
      </c>
      <c r="BA4" s="71"/>
      <c r="BB4" s="71"/>
      <c r="BC4" s="71"/>
      <c r="BD4" s="71"/>
      <c r="BE4" s="71"/>
      <c r="BF4" s="71"/>
      <c r="BG4" s="71"/>
      <c r="BH4" s="71"/>
      <c r="BI4" s="71"/>
      <c r="BJ4" s="71"/>
      <c r="BK4" s="71"/>
      <c r="BL4" s="72"/>
      <c r="BM4" s="72"/>
      <c r="BN4" s="72"/>
      <c r="BO4" s="72"/>
      <c r="BP4" s="72"/>
      <c r="BQ4" s="72"/>
      <c r="BR4" s="72"/>
      <c r="BS4" s="73"/>
    </row>
    <row r="5" spans="52:71">
      <c r="AZ5" s="74" t="s">
        <v>794</v>
      </c>
      <c r="BA5" s="75"/>
      <c r="BB5" s="75"/>
      <c r="BC5" s="75"/>
      <c r="BD5" s="75"/>
      <c r="BE5" s="76"/>
      <c r="BF5" s="75"/>
      <c r="BG5" s="75"/>
      <c r="BH5" s="75"/>
      <c r="BI5" s="75"/>
      <c r="BJ5" s="75"/>
      <c r="BK5" s="75"/>
      <c r="BL5" s="66"/>
      <c r="BM5" s="66"/>
      <c r="BN5" s="66"/>
      <c r="BO5" s="66"/>
      <c r="BP5" s="66"/>
      <c r="BQ5" s="66"/>
      <c r="BR5" s="66"/>
      <c r="BS5" s="77"/>
    </row>
    <row r="6" spans="52:71">
      <c r="AZ6" s="74" t="s">
        <v>791</v>
      </c>
      <c r="BA6" s="75"/>
      <c r="BB6" s="75"/>
      <c r="BC6" s="75"/>
      <c r="BD6" s="75"/>
      <c r="BE6" s="75"/>
      <c r="BF6" s="75"/>
      <c r="BG6" s="75"/>
      <c r="BH6" s="75"/>
      <c r="BI6" s="75"/>
      <c r="BJ6" s="75"/>
      <c r="BK6" s="75"/>
      <c r="BL6" s="66"/>
      <c r="BM6" s="66"/>
      <c r="BN6" s="66"/>
      <c r="BO6" s="66"/>
      <c r="BP6" s="66"/>
      <c r="BQ6" s="66"/>
      <c r="BR6" s="66"/>
      <c r="BS6" s="77"/>
    </row>
    <row r="7" spans="52:71">
      <c r="AZ7" s="74" t="s">
        <v>792</v>
      </c>
      <c r="BA7" s="75"/>
      <c r="BB7" s="75"/>
      <c r="BC7" s="75"/>
      <c r="BD7" s="75"/>
      <c r="BE7" s="75"/>
      <c r="BF7" s="75"/>
      <c r="BG7" s="75"/>
      <c r="BH7" s="75"/>
      <c r="BI7" s="75"/>
      <c r="BJ7" s="75"/>
      <c r="BK7" s="75"/>
      <c r="BL7" s="66"/>
      <c r="BM7" s="66"/>
      <c r="BN7" s="66"/>
      <c r="BO7" s="66"/>
      <c r="BP7" s="66"/>
      <c r="BQ7" s="66"/>
      <c r="BR7" s="66"/>
      <c r="BS7" s="77"/>
    </row>
    <row r="8" spans="52:71">
      <c r="AZ8" s="74" t="s">
        <v>793</v>
      </c>
      <c r="BA8" s="75"/>
      <c r="BB8" s="75"/>
      <c r="BC8" s="75"/>
      <c r="BD8" s="75"/>
      <c r="BE8" s="75"/>
      <c r="BF8" s="75"/>
      <c r="BG8" s="75"/>
      <c r="BH8" s="75"/>
      <c r="BI8" s="75"/>
      <c r="BJ8" s="75"/>
      <c r="BK8" s="75"/>
      <c r="BL8" s="66"/>
      <c r="BM8" s="66"/>
      <c r="BN8" s="66"/>
      <c r="BO8" s="66"/>
      <c r="BP8" s="66"/>
      <c r="BQ8" s="66"/>
      <c r="BR8" s="66"/>
      <c r="BS8" s="77"/>
    </row>
    <row r="9" spans="52:71">
      <c r="AZ9" s="74"/>
      <c r="BA9" s="75"/>
      <c r="BB9" s="75"/>
      <c r="BC9" s="75"/>
      <c r="BD9" s="75"/>
      <c r="BE9" s="75"/>
      <c r="BF9" s="75"/>
      <c r="BG9" s="75"/>
      <c r="BH9" s="75"/>
      <c r="BI9" s="75"/>
      <c r="BJ9" s="75"/>
      <c r="BK9" s="75"/>
      <c r="BL9" s="66"/>
      <c r="BM9" s="66"/>
      <c r="BN9" s="66"/>
      <c r="BO9" s="66"/>
      <c r="BP9" s="66"/>
      <c r="BQ9" s="66"/>
      <c r="BR9" s="66"/>
      <c r="BS9" s="77"/>
    </row>
    <row r="10" spans="52:71">
      <c r="AZ10" s="74" t="s">
        <v>795</v>
      </c>
      <c r="BA10" s="75"/>
      <c r="BB10" s="75"/>
      <c r="BC10" s="75"/>
      <c r="BD10" s="75"/>
      <c r="BE10" s="75"/>
      <c r="BF10" s="75"/>
      <c r="BG10" s="75"/>
      <c r="BH10" s="75"/>
      <c r="BI10" s="75"/>
      <c r="BJ10" s="75"/>
      <c r="BK10" s="75"/>
      <c r="BL10" s="66"/>
      <c r="BM10" s="66"/>
      <c r="BN10" s="66"/>
      <c r="BO10" s="66"/>
      <c r="BP10" s="66"/>
      <c r="BQ10" s="66"/>
      <c r="BR10" s="66"/>
      <c r="BS10" s="77"/>
    </row>
    <row r="11" spans="52:71">
      <c r="AZ11" s="74" t="s">
        <v>796</v>
      </c>
      <c r="BA11" s="75"/>
      <c r="BB11" s="75"/>
      <c r="BC11" s="75"/>
      <c r="BD11" s="75"/>
      <c r="BE11" s="75"/>
      <c r="BF11" s="75"/>
      <c r="BG11" s="75"/>
      <c r="BH11" s="75"/>
      <c r="BI11" s="75"/>
      <c r="BJ11" s="75"/>
      <c r="BK11" s="75"/>
      <c r="BL11" s="66"/>
      <c r="BM11" s="66"/>
      <c r="BN11" s="66"/>
      <c r="BO11" s="66"/>
      <c r="BP11" s="66"/>
      <c r="BQ11" s="66"/>
      <c r="BR11" s="66"/>
      <c r="BS11" s="77"/>
    </row>
    <row r="12" spans="52:71">
      <c r="AZ12" s="74" t="s">
        <v>797</v>
      </c>
      <c r="BA12" s="75"/>
      <c r="BB12" s="75"/>
      <c r="BC12" s="75"/>
      <c r="BD12" s="75"/>
      <c r="BE12" s="75"/>
      <c r="BF12" s="75"/>
      <c r="BG12" s="75"/>
      <c r="BH12" s="75"/>
      <c r="BI12" s="75"/>
      <c r="BJ12" s="75"/>
      <c r="BK12" s="75"/>
      <c r="BL12" s="66"/>
      <c r="BM12" s="66"/>
      <c r="BN12" s="66"/>
      <c r="BO12" s="66"/>
      <c r="BP12" s="66"/>
      <c r="BQ12" s="66"/>
      <c r="BR12" s="66"/>
      <c r="BS12" s="77"/>
    </row>
    <row r="13" spans="52:71">
      <c r="AZ13" s="74" t="s">
        <v>798</v>
      </c>
      <c r="BA13" s="75"/>
      <c r="BB13" s="75"/>
      <c r="BC13" s="75"/>
      <c r="BD13" s="75"/>
      <c r="BE13" s="75"/>
      <c r="BF13" s="75"/>
      <c r="BG13" s="75"/>
      <c r="BH13" s="75"/>
      <c r="BI13" s="75"/>
      <c r="BJ13" s="75"/>
      <c r="BK13" s="75"/>
      <c r="BL13" s="66"/>
      <c r="BM13" s="66"/>
      <c r="BN13" s="66"/>
      <c r="BO13" s="66"/>
      <c r="BP13" s="66"/>
      <c r="BQ13" s="66"/>
      <c r="BR13" s="66"/>
      <c r="BS13" s="77"/>
    </row>
    <row r="14" spans="52:71">
      <c r="AZ14" s="74"/>
      <c r="BA14" s="75"/>
      <c r="BB14" s="75"/>
      <c r="BC14" s="75"/>
      <c r="BD14" s="75"/>
      <c r="BE14" s="75"/>
      <c r="BF14" s="75"/>
      <c r="BG14" s="75"/>
      <c r="BH14" s="75"/>
      <c r="BI14" s="75"/>
      <c r="BJ14" s="75"/>
      <c r="BK14" s="75"/>
      <c r="BL14" s="66"/>
      <c r="BM14" s="66"/>
      <c r="BN14" s="66"/>
      <c r="BO14" s="66"/>
      <c r="BP14" s="66"/>
      <c r="BQ14" s="66"/>
      <c r="BR14" s="66"/>
      <c r="BS14" s="77"/>
    </row>
    <row r="15" spans="52:71">
      <c r="AZ15" s="74"/>
      <c r="BA15" s="75"/>
      <c r="BB15" s="75"/>
      <c r="BC15" s="75"/>
      <c r="BD15" s="75"/>
      <c r="BE15" s="75"/>
      <c r="BF15" s="75"/>
      <c r="BG15" s="75"/>
      <c r="BH15" s="75"/>
      <c r="BI15" s="75"/>
      <c r="BJ15" s="75"/>
      <c r="BK15" s="75"/>
      <c r="BL15" s="66"/>
      <c r="BM15" s="66"/>
      <c r="BN15" s="66"/>
      <c r="BO15" s="66"/>
      <c r="BP15" s="66"/>
      <c r="BQ15" s="66"/>
      <c r="BR15" s="66"/>
      <c r="BS15" s="77"/>
    </row>
    <row r="16" spans="52:71">
      <c r="AZ16" s="78"/>
      <c r="BA16" s="66"/>
      <c r="BB16" s="66"/>
      <c r="BC16" s="66"/>
      <c r="BD16" s="66"/>
      <c r="BE16" s="66"/>
      <c r="BF16" s="66"/>
      <c r="BG16" s="66"/>
      <c r="BH16" s="66"/>
      <c r="BI16" s="66"/>
      <c r="BJ16" s="66"/>
      <c r="BK16" s="66"/>
      <c r="BL16" s="66"/>
      <c r="BM16" s="66"/>
      <c r="BN16" s="66"/>
      <c r="BO16" s="66"/>
      <c r="BP16" s="66"/>
      <c r="BQ16" s="66"/>
      <c r="BR16" s="66"/>
      <c r="BS16" s="77"/>
    </row>
    <row r="17" spans="52:72">
      <c r="AZ17" s="78"/>
      <c r="BA17" s="66"/>
      <c r="BB17" s="66"/>
      <c r="BC17" s="66"/>
      <c r="BD17" s="66"/>
      <c r="BE17" s="66"/>
      <c r="BF17" s="66"/>
      <c r="BG17" s="66"/>
      <c r="BH17" s="66"/>
      <c r="BI17" s="66"/>
      <c r="BJ17" s="66"/>
      <c r="BK17" s="66"/>
      <c r="BL17" s="66"/>
      <c r="BM17" s="66"/>
      <c r="BN17" s="66"/>
      <c r="BO17" s="66"/>
      <c r="BP17" s="66"/>
      <c r="BQ17" s="66"/>
      <c r="BR17" s="66"/>
      <c r="BS17" s="77"/>
      <c r="BT17" s="66"/>
    </row>
    <row r="18" spans="52:72">
      <c r="AZ18" s="78"/>
      <c r="BA18" s="66"/>
      <c r="BB18" s="66"/>
      <c r="BC18" s="66"/>
      <c r="BD18" s="66"/>
      <c r="BE18" s="66"/>
      <c r="BF18" s="66"/>
      <c r="BG18" s="66"/>
      <c r="BH18" s="66"/>
      <c r="BI18" s="66"/>
      <c r="BJ18" s="66"/>
      <c r="BK18" s="66"/>
      <c r="BL18" s="66"/>
      <c r="BM18" s="66"/>
      <c r="BN18" s="66"/>
      <c r="BO18" s="66"/>
      <c r="BP18" s="66"/>
      <c r="BQ18" s="66"/>
      <c r="BS18" s="77"/>
    </row>
    <row r="19" spans="52:72">
      <c r="AZ19" s="78"/>
      <c r="BA19" s="66"/>
      <c r="BB19" s="66"/>
      <c r="BC19" s="66"/>
      <c r="BD19" s="66"/>
      <c r="BE19" s="66"/>
      <c r="BF19" s="66"/>
      <c r="BG19" s="66"/>
      <c r="BH19" s="66"/>
      <c r="BI19" s="66"/>
      <c r="BJ19" s="66"/>
      <c r="BK19" s="66"/>
      <c r="BL19" s="66"/>
      <c r="BM19" s="66"/>
      <c r="BN19" s="66"/>
      <c r="BO19" s="66"/>
      <c r="BP19" s="66"/>
      <c r="BQ19" s="66"/>
      <c r="BR19" s="66"/>
      <c r="BS19" s="77"/>
    </row>
    <row r="20" spans="52:72">
      <c r="AZ20" s="78"/>
      <c r="BA20" s="66"/>
      <c r="BB20" s="66"/>
      <c r="BC20" s="66"/>
      <c r="BD20" s="66"/>
      <c r="BE20" s="66"/>
      <c r="BF20" s="66"/>
      <c r="BG20" s="66"/>
      <c r="BH20" s="66"/>
      <c r="BI20" s="66"/>
      <c r="BJ20" s="66"/>
      <c r="BK20" s="66"/>
      <c r="BL20" s="66"/>
      <c r="BM20" s="66"/>
      <c r="BN20" s="66"/>
      <c r="BO20" s="66"/>
      <c r="BP20" s="66"/>
      <c r="BQ20" s="66"/>
      <c r="BR20" s="66"/>
      <c r="BS20" s="77"/>
    </row>
    <row r="21" spans="52:72">
      <c r="AZ21" s="78"/>
      <c r="BA21" s="66"/>
      <c r="BB21" s="66"/>
      <c r="BC21" s="66"/>
      <c r="BD21" s="66"/>
      <c r="BE21" s="66"/>
      <c r="BF21" s="66"/>
      <c r="BG21" s="66"/>
      <c r="BH21" s="66"/>
      <c r="BI21" s="66"/>
      <c r="BJ21" s="66"/>
      <c r="BK21" s="66"/>
      <c r="BL21" s="66"/>
      <c r="BM21" s="66"/>
      <c r="BN21" s="66"/>
      <c r="BO21" s="66"/>
      <c r="BP21" s="66"/>
      <c r="BQ21" s="66"/>
      <c r="BR21" s="66"/>
      <c r="BS21" s="77"/>
    </row>
    <row r="22" spans="52:72">
      <c r="AZ22" s="78"/>
      <c r="BA22" s="66"/>
      <c r="BB22" s="66"/>
      <c r="BC22" s="66"/>
      <c r="BD22" s="66"/>
      <c r="BE22" s="66"/>
      <c r="BF22" s="66"/>
      <c r="BG22" s="66"/>
      <c r="BH22" s="66"/>
      <c r="BI22" s="66"/>
      <c r="BJ22" s="66"/>
      <c r="BK22" s="66"/>
      <c r="BL22" s="66"/>
      <c r="BM22" s="66"/>
      <c r="BN22" s="66"/>
      <c r="BO22" s="66"/>
      <c r="BP22" s="66"/>
      <c r="BQ22" s="66"/>
      <c r="BR22" s="66"/>
      <c r="BS22" s="77"/>
    </row>
    <row r="23" spans="52:72">
      <c r="AZ23" s="78"/>
      <c r="BA23" s="66"/>
      <c r="BB23" s="66"/>
      <c r="BC23" s="66"/>
      <c r="BD23" s="66"/>
      <c r="BE23" s="66"/>
      <c r="BF23" s="66"/>
      <c r="BG23" s="66"/>
      <c r="BH23" s="66"/>
      <c r="BI23" s="66"/>
      <c r="BJ23" s="66"/>
      <c r="BK23" s="66"/>
      <c r="BL23" s="66"/>
      <c r="BM23" s="66"/>
      <c r="BN23" s="66"/>
      <c r="BO23" s="66"/>
      <c r="BP23" s="66"/>
      <c r="BQ23" s="66"/>
      <c r="BR23" s="66"/>
      <c r="BS23" s="77"/>
    </row>
    <row r="24" spans="52:72">
      <c r="AZ24" s="78"/>
      <c r="BA24" s="66"/>
      <c r="BB24" s="66"/>
      <c r="BC24" s="66"/>
      <c r="BD24" s="66"/>
      <c r="BE24" s="66"/>
      <c r="BF24" s="66"/>
      <c r="BG24" s="66"/>
      <c r="BH24" s="66"/>
      <c r="BI24" s="66"/>
      <c r="BJ24" s="66"/>
      <c r="BK24" s="66"/>
      <c r="BL24" s="66"/>
      <c r="BM24" s="66"/>
      <c r="BN24" s="66"/>
      <c r="BO24" s="66"/>
      <c r="BP24" s="66"/>
      <c r="BQ24" s="66"/>
      <c r="BR24" s="66"/>
      <c r="BS24" s="77"/>
    </row>
    <row r="25" spans="52:72">
      <c r="AZ25" s="78"/>
      <c r="BA25" s="66"/>
      <c r="BB25" s="66"/>
      <c r="BC25" s="66"/>
      <c r="BD25" s="66"/>
      <c r="BE25" s="66"/>
      <c r="BF25" s="66"/>
      <c r="BG25" s="66"/>
      <c r="BH25" s="66"/>
      <c r="BI25" s="66"/>
      <c r="BJ25" s="66"/>
      <c r="BK25" s="66"/>
      <c r="BL25" s="66"/>
      <c r="BM25" s="66"/>
      <c r="BN25" s="66"/>
      <c r="BO25" s="66"/>
      <c r="BP25" s="66"/>
      <c r="BQ25" s="66"/>
      <c r="BR25" s="66"/>
      <c r="BS25" s="77"/>
    </row>
    <row r="26" spans="52:72">
      <c r="AZ26" s="78"/>
      <c r="BA26" s="66"/>
      <c r="BB26" s="66"/>
      <c r="BC26" s="66"/>
      <c r="BD26" s="66"/>
      <c r="BE26" s="66"/>
      <c r="BF26" s="66"/>
      <c r="BG26" s="66"/>
      <c r="BH26" s="66"/>
      <c r="BI26" s="66"/>
      <c r="BJ26" s="66"/>
      <c r="BK26" s="66"/>
      <c r="BL26" s="66"/>
      <c r="BM26" s="66"/>
      <c r="BN26" s="66"/>
      <c r="BO26" s="66"/>
      <c r="BP26" s="66"/>
      <c r="BQ26" s="66"/>
      <c r="BR26" s="66"/>
      <c r="BS26" s="77"/>
    </row>
    <row r="27" spans="52:72">
      <c r="AZ27" s="78"/>
      <c r="BA27" s="66"/>
      <c r="BB27" s="66"/>
      <c r="BC27" s="66"/>
      <c r="BD27" s="66"/>
      <c r="BE27" s="66"/>
      <c r="BF27" s="66"/>
      <c r="BG27" s="66"/>
      <c r="BH27" s="66"/>
      <c r="BI27" s="66"/>
      <c r="BJ27" s="66"/>
      <c r="BK27" s="66"/>
      <c r="BL27" s="66"/>
      <c r="BM27" s="66"/>
      <c r="BN27" s="66"/>
      <c r="BO27" s="66"/>
      <c r="BP27" s="66"/>
      <c r="BQ27" s="66"/>
      <c r="BR27" s="66"/>
      <c r="BS27" s="77"/>
    </row>
    <row r="28" spans="52:72">
      <c r="AZ28" s="78"/>
      <c r="BA28" s="66"/>
      <c r="BB28" s="66"/>
      <c r="BC28" s="66"/>
      <c r="BD28" s="66"/>
      <c r="BE28" s="66"/>
      <c r="BF28" s="66"/>
      <c r="BG28" s="66"/>
      <c r="BH28" s="66"/>
      <c r="BI28" s="66"/>
      <c r="BJ28" s="66"/>
      <c r="BK28" s="66"/>
      <c r="BL28" s="66"/>
      <c r="BM28" s="66"/>
      <c r="BN28" s="66"/>
      <c r="BO28" s="66"/>
      <c r="BP28" s="66"/>
      <c r="BQ28" s="66"/>
      <c r="BR28" s="66"/>
      <c r="BS28" s="77"/>
    </row>
    <row r="29" spans="52:72">
      <c r="AZ29" s="78"/>
      <c r="BA29" s="66"/>
      <c r="BB29" s="66"/>
      <c r="BC29" s="66"/>
      <c r="BD29" s="66"/>
      <c r="BE29" s="66"/>
      <c r="BF29" s="66"/>
      <c r="BG29" s="66"/>
      <c r="BH29" s="66"/>
      <c r="BI29" s="66"/>
      <c r="BJ29" s="66"/>
      <c r="BK29" s="66"/>
      <c r="BL29" s="66"/>
      <c r="BM29" s="66"/>
      <c r="BN29" s="66"/>
      <c r="BO29" s="66"/>
      <c r="BP29" s="66"/>
      <c r="BQ29" s="66"/>
      <c r="BR29" s="66"/>
      <c r="BS29" s="77"/>
    </row>
    <row r="30" spans="52:72">
      <c r="AZ30" s="78"/>
      <c r="BA30" s="66"/>
      <c r="BB30" s="66"/>
      <c r="BC30" s="66"/>
      <c r="BD30" s="66"/>
      <c r="BE30" s="66"/>
      <c r="BF30" s="66"/>
      <c r="BG30" s="66"/>
      <c r="BH30" s="66"/>
      <c r="BI30" s="66"/>
      <c r="BJ30" s="66"/>
      <c r="BK30" s="66"/>
      <c r="BL30" s="66"/>
      <c r="BM30" s="66"/>
      <c r="BN30" s="66"/>
      <c r="BO30" s="66"/>
      <c r="BP30" s="66"/>
      <c r="BQ30" s="66"/>
      <c r="BR30" s="66"/>
      <c r="BS30" s="77"/>
    </row>
    <row r="31" spans="52:72">
      <c r="AZ31" s="78"/>
      <c r="BA31" s="66"/>
      <c r="BB31" s="66"/>
      <c r="BC31" s="66"/>
      <c r="BD31" s="66"/>
      <c r="BE31" s="66"/>
      <c r="BF31" s="66"/>
      <c r="BG31" s="66"/>
      <c r="BH31" s="66"/>
      <c r="BI31" s="66"/>
      <c r="BJ31" s="66"/>
      <c r="BK31" s="66"/>
      <c r="BL31" s="66"/>
      <c r="BM31" s="66"/>
      <c r="BN31" s="66"/>
      <c r="BO31" s="66"/>
      <c r="BP31" s="66"/>
      <c r="BQ31" s="66"/>
      <c r="BR31" s="66"/>
      <c r="BS31" s="77"/>
    </row>
    <row r="32" spans="52:72">
      <c r="AZ32" s="78"/>
      <c r="BA32" s="66"/>
      <c r="BB32" s="66"/>
      <c r="BC32" s="66"/>
      <c r="BD32" s="66"/>
      <c r="BE32" s="66"/>
      <c r="BF32" s="66"/>
      <c r="BG32" s="66"/>
      <c r="BH32" s="66"/>
      <c r="BI32" s="66"/>
      <c r="BJ32" s="66"/>
      <c r="BK32" s="66"/>
      <c r="BL32" s="66"/>
      <c r="BM32" s="66"/>
      <c r="BN32" s="66"/>
      <c r="BO32" s="66"/>
      <c r="BP32" s="66"/>
      <c r="BQ32" s="66"/>
      <c r="BR32" s="66"/>
      <c r="BS32" s="77"/>
    </row>
    <row r="33" spans="52:71" ht="19" thickBot="1">
      <c r="AZ33" s="79"/>
      <c r="BA33" s="80"/>
      <c r="BB33" s="80"/>
      <c r="BC33" s="80"/>
      <c r="BD33" s="80"/>
      <c r="BE33" s="80"/>
      <c r="BF33" s="80"/>
      <c r="BG33" s="80"/>
      <c r="BH33" s="80"/>
      <c r="BI33" s="80"/>
      <c r="BJ33" s="80"/>
      <c r="BK33" s="80"/>
      <c r="BL33" s="80"/>
      <c r="BM33" s="80"/>
      <c r="BN33" s="80"/>
      <c r="BO33" s="80"/>
      <c r="BP33" s="80"/>
      <c r="BQ33" s="80"/>
      <c r="BR33" s="80"/>
      <c r="BS33" s="81"/>
    </row>
    <row r="50" spans="2:16">
      <c r="B50" s="75"/>
      <c r="C50" s="75"/>
      <c r="D50" s="75"/>
      <c r="E50" s="75"/>
      <c r="F50" s="75"/>
      <c r="G50" s="75"/>
      <c r="H50" s="75"/>
      <c r="I50" s="75"/>
      <c r="J50" s="75"/>
      <c r="K50" s="75"/>
      <c r="L50" s="75"/>
      <c r="M50" s="75"/>
      <c r="N50" s="75"/>
      <c r="O50" s="75"/>
      <c r="P50" s="75"/>
    </row>
    <row r="51" spans="2:16">
      <c r="B51" s="75"/>
      <c r="C51" s="75"/>
      <c r="D51" s="75"/>
      <c r="E51" s="75"/>
      <c r="F51" s="75"/>
      <c r="G51" s="75"/>
      <c r="H51" s="75"/>
      <c r="I51" s="75"/>
      <c r="J51" s="75"/>
      <c r="K51" s="75"/>
      <c r="L51" s="75"/>
      <c r="M51" s="75"/>
      <c r="N51" s="75"/>
      <c r="O51" s="75"/>
      <c r="P51" s="75"/>
    </row>
    <row r="52" spans="2:16">
      <c r="B52" s="75"/>
      <c r="C52" s="75"/>
      <c r="D52" s="75"/>
      <c r="E52" s="75"/>
      <c r="F52" s="75"/>
      <c r="G52" s="75"/>
      <c r="H52" s="75"/>
      <c r="I52" s="75"/>
      <c r="J52" s="75"/>
      <c r="K52" s="75"/>
      <c r="L52" s="75"/>
      <c r="M52" s="75"/>
      <c r="N52" s="75"/>
      <c r="O52" s="75"/>
      <c r="P52" s="75"/>
    </row>
    <row r="53" spans="2:16">
      <c r="B53" s="75"/>
      <c r="C53" s="75"/>
      <c r="D53" s="75"/>
      <c r="E53" s="75"/>
      <c r="F53" s="75"/>
      <c r="G53" s="75"/>
      <c r="H53" s="75"/>
      <c r="I53" s="75"/>
      <c r="J53" s="75"/>
      <c r="K53" s="75"/>
      <c r="L53" s="75"/>
      <c r="M53" s="75"/>
      <c r="N53" s="75"/>
      <c r="O53" s="75"/>
      <c r="P53" s="75"/>
    </row>
    <row r="54" spans="2:16">
      <c r="B54" s="75"/>
      <c r="C54" s="75"/>
      <c r="D54" s="75"/>
      <c r="E54" s="75"/>
      <c r="F54" s="75"/>
      <c r="G54" s="75"/>
      <c r="H54" s="75"/>
      <c r="I54" s="75"/>
      <c r="J54" s="75"/>
      <c r="K54" s="75"/>
      <c r="L54" s="75"/>
      <c r="M54" s="75"/>
      <c r="N54" s="75"/>
      <c r="O54" s="75"/>
      <c r="P54" s="75"/>
    </row>
    <row r="55" spans="2:16">
      <c r="B55" s="75"/>
      <c r="C55" s="75"/>
      <c r="D55" s="75"/>
      <c r="E55" s="75"/>
      <c r="F55" s="75"/>
      <c r="G55" s="75"/>
      <c r="H55" s="75"/>
      <c r="I55" s="75"/>
      <c r="J55" s="75"/>
      <c r="K55" s="75"/>
      <c r="L55" s="75"/>
      <c r="M55" s="75"/>
      <c r="N55" s="75"/>
      <c r="O55" s="75"/>
      <c r="P55" s="75"/>
    </row>
    <row r="56" spans="2:16">
      <c r="B56" s="75"/>
      <c r="C56" s="75"/>
      <c r="D56" s="75"/>
      <c r="E56" s="75"/>
      <c r="F56" s="75"/>
      <c r="G56" s="75"/>
      <c r="H56" s="75"/>
      <c r="I56" s="75"/>
      <c r="J56" s="75"/>
      <c r="K56" s="75"/>
      <c r="L56" s="75"/>
      <c r="M56" s="75"/>
      <c r="N56" s="75"/>
      <c r="O56" s="75"/>
      <c r="P56" s="75"/>
    </row>
    <row r="57" spans="2:16">
      <c r="B57" s="75"/>
      <c r="C57" s="75"/>
      <c r="D57" s="75"/>
      <c r="E57" s="75"/>
      <c r="F57" s="75"/>
      <c r="G57" s="75"/>
      <c r="H57" s="75"/>
      <c r="I57" s="75"/>
      <c r="J57" s="75"/>
      <c r="K57" s="75"/>
      <c r="L57" s="75"/>
      <c r="M57" s="75"/>
      <c r="N57" s="75"/>
      <c r="O57" s="75"/>
      <c r="P57" s="75"/>
    </row>
    <row r="58" spans="2:16">
      <c r="B58" s="75"/>
      <c r="C58" s="75"/>
      <c r="D58" s="75"/>
      <c r="E58" s="75"/>
      <c r="F58" s="75"/>
      <c r="G58" s="75"/>
      <c r="H58" s="75"/>
      <c r="I58" s="75"/>
      <c r="J58" s="75"/>
      <c r="K58" s="75"/>
      <c r="L58" s="75"/>
      <c r="M58" s="75"/>
      <c r="N58" s="75"/>
      <c r="O58" s="75"/>
      <c r="P58" s="75"/>
    </row>
  </sheetData>
  <mergeCells count="2">
    <mergeCell ref="BK2:BN2"/>
    <mergeCell ref="BO2:BS2"/>
  </mergeCells>
  <phoneticPr fontId="2"/>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AB29"/>
  <sheetViews>
    <sheetView workbookViewId="0">
      <selection activeCell="R1" sqref="R1:R1048576"/>
    </sheetView>
  </sheetViews>
  <sheetFormatPr baseColWidth="10" defaultColWidth="8.83203125" defaultRowHeight="18"/>
  <cols>
    <col min="1" max="1" width="11.1640625" customWidth="1"/>
    <col min="2" max="2" width="6.6640625" customWidth="1"/>
    <col min="3" max="3" width="7.6640625" customWidth="1"/>
    <col min="4" max="28" width="6.1640625" customWidth="1"/>
  </cols>
  <sheetData>
    <row r="1" spans="1:28">
      <c r="A1" t="s">
        <v>549</v>
      </c>
    </row>
    <row r="2" spans="1:28">
      <c r="A2" s="85">
        <f>報告用!BO2</f>
        <v>44221</v>
      </c>
      <c r="B2" s="86"/>
    </row>
    <row r="3" spans="1:28">
      <c r="A3" s="53" t="s">
        <v>544</v>
      </c>
      <c r="B3" s="53">
        <f>HLOOKUP(発生・消化曲線!A2,発生・消化曲線!$D$23:$AB$28,6)</f>
        <v>3</v>
      </c>
    </row>
    <row r="4" spans="1:28">
      <c r="A4" s="53" t="s">
        <v>523</v>
      </c>
      <c r="B4" s="53">
        <f>HLOOKUP(A2,発生・消化曲線!$D$14:$AB$19,6)</f>
        <v>1</v>
      </c>
    </row>
    <row r="5" spans="1:28">
      <c r="A5" s="55" t="s">
        <v>552</v>
      </c>
      <c r="B5" s="53">
        <f>(B3-B4)</f>
        <v>2</v>
      </c>
    </row>
    <row r="7" spans="1:28">
      <c r="A7" t="s">
        <v>553</v>
      </c>
    </row>
    <row r="8" spans="1:28">
      <c r="A8" s="89" t="s">
        <v>554</v>
      </c>
      <c r="B8" s="89"/>
    </row>
    <row r="9" spans="1:28">
      <c r="A9" s="53" t="s">
        <v>544</v>
      </c>
      <c r="B9" s="56">
        <f>SUM(K19:AB19)</f>
        <v>45</v>
      </c>
    </row>
    <row r="10" spans="1:28">
      <c r="A10" s="53" t="s">
        <v>523</v>
      </c>
      <c r="B10" s="56">
        <f>SUM(K28:AB28)</f>
        <v>61</v>
      </c>
    </row>
    <row r="13" spans="1:28">
      <c r="A13" t="s">
        <v>542</v>
      </c>
    </row>
    <row r="14" spans="1:28">
      <c r="A14" s="87" t="s">
        <v>550</v>
      </c>
      <c r="B14" s="54" t="s">
        <v>541</v>
      </c>
      <c r="C14" s="54" t="s">
        <v>543</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row>
    <row r="15" spans="1:28">
      <c r="A15" s="88"/>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row>
    <row r="16" spans="1:28">
      <c r="A16" s="64" t="s">
        <v>88</v>
      </c>
      <c r="B16" s="56">
        <f>COUNTIFS('SP1～SP5'!A9:A1048576,"&lt;&gt;",'SP1～SP5'!F9:F1048576,"")</f>
        <v>2</v>
      </c>
      <c r="C16" s="56">
        <f>COUNTIF('SP1～SP5'!$F:$F,"&lt;2021/01/11")</f>
        <v>28</v>
      </c>
      <c r="D16" s="56">
        <f>COUNTIFS('SP1～SP5'!$F:$F,発生・消化曲線!D$23)</f>
        <v>9</v>
      </c>
      <c r="E16" s="56">
        <f>COUNTIFS('SP1～SP5'!$F:$F,発生・消化曲線!E$23)</f>
        <v>18</v>
      </c>
      <c r="F16" s="56">
        <f>COUNTIFS('SP1～SP5'!$F:$F,発生・消化曲線!F$23)</f>
        <v>19</v>
      </c>
      <c r="G16" s="56">
        <f>COUNTIFS('SP1～SP5'!$F:$F,発生・消化曲線!G$23)</f>
        <v>14</v>
      </c>
      <c r="H16" s="56">
        <f>COUNTIFS('SP1～SP5'!$F:$F,発生・消化曲線!H$23)</f>
        <v>13</v>
      </c>
      <c r="I16" s="56">
        <f>COUNTIFS('SP1～SP5'!$F:$F,発生・消化曲線!I$23)</f>
        <v>0</v>
      </c>
      <c r="J16" s="56">
        <f>COUNTIFS('SP1～SP5'!$F:$F,発生・消化曲線!J$23)</f>
        <v>0</v>
      </c>
      <c r="K16" s="56">
        <f>COUNTIFS('SP1～SP5'!$F:$F,発生・消化曲線!K$23)</f>
        <v>18</v>
      </c>
      <c r="L16" s="56">
        <f>COUNTIFS('SP1～SP5'!$F:$F,発生・消化曲線!L$23)</f>
        <v>4</v>
      </c>
      <c r="M16" s="56">
        <f>COUNTIFS('SP1～SP5'!$F:$F,発生・消化曲線!M$23)</f>
        <v>3</v>
      </c>
      <c r="N16" s="56">
        <f>COUNTIFS('SP1～SP5'!$F:$F,発生・消化曲線!N$23)</f>
        <v>5</v>
      </c>
      <c r="O16" s="56">
        <f>COUNTIFS('SP1～SP5'!$F:$F,発生・消化曲線!O$23)</f>
        <v>2</v>
      </c>
      <c r="P16" s="56">
        <f>COUNTIFS('SP1～SP5'!$F:$F,発生・消化曲線!P$23)</f>
        <v>0</v>
      </c>
      <c r="Q16" s="56">
        <f>COUNTIFS('SP1～SP5'!$F:$F,発生・消化曲線!Q$23)</f>
        <v>0</v>
      </c>
      <c r="R16" s="56">
        <f>COUNTIFS('SP1～SP5'!$F:$F,発生・消化曲線!R$23)</f>
        <v>1</v>
      </c>
      <c r="S16" s="56">
        <f>COUNTIFS('SP1～SP5'!$F:$F,発生・消化曲線!S$23)</f>
        <v>0</v>
      </c>
      <c r="T16" s="56">
        <f>COUNTIFS('SP1～SP5'!$F:$F,発生・消化曲線!T$23)</f>
        <v>0</v>
      </c>
      <c r="U16" s="56">
        <f>COUNTIFS('SP1～SP5'!$F:$F,発生・消化曲線!U$23)</f>
        <v>0</v>
      </c>
      <c r="V16" s="56">
        <f>COUNTIFS('SP1～SP5'!$F:$F,発生・消化曲線!V$23)</f>
        <v>0</v>
      </c>
      <c r="W16" s="56">
        <f>COUNTIFS('SP1～SP5'!$F:$F,発生・消化曲線!W$23)</f>
        <v>0</v>
      </c>
      <c r="X16" s="56">
        <f>COUNTIFS('SP1～SP5'!$F:$F,発生・消化曲線!X$23)</f>
        <v>0</v>
      </c>
      <c r="Y16" s="56">
        <f>COUNTIFS('SP1～SP5'!$F:$F,発生・消化曲線!Y$23)</f>
        <v>0</v>
      </c>
      <c r="Z16" s="56">
        <f>COUNTIFS('SP1～SP5'!$F:$F,発生・消化曲線!Z$23)</f>
        <v>0</v>
      </c>
      <c r="AA16" s="56">
        <f>COUNTIFS('SP1～SP5'!$F:$F,発生・消化曲線!AA$23)</f>
        <v>0</v>
      </c>
      <c r="AB16" s="56">
        <f>COUNTIFS('SP1～SP5'!$F:$F,発生・消化曲線!AB$23)</f>
        <v>0</v>
      </c>
    </row>
    <row r="17" spans="1:28">
      <c r="A17" s="64" t="s">
        <v>533</v>
      </c>
      <c r="B17" s="56">
        <f>COUNTIFS('SP6'!A9:A1048576,"&lt;&gt;",'SP6'!F9:F1048576,"")</f>
        <v>0</v>
      </c>
      <c r="C17" s="56">
        <f>COUNTIF('SP6'!$F:$F,"&lt;2021/01/11")</f>
        <v>0</v>
      </c>
      <c r="D17" s="56">
        <f>COUNTIFS('SP6'!$F:$F,発生・消化曲線!D$23)</f>
        <v>0</v>
      </c>
      <c r="E17" s="56">
        <f>COUNTIFS('SP6'!$F:$F,発生・消化曲線!E$23)</f>
        <v>0</v>
      </c>
      <c r="F17" s="56">
        <f>COUNTIFS('SP6'!$F:$F,発生・消化曲線!F$23)</f>
        <v>0</v>
      </c>
      <c r="G17" s="56">
        <f>COUNTIFS('SP6'!$F:$F,発生・消化曲線!G$23)</f>
        <v>0</v>
      </c>
      <c r="H17" s="56">
        <f>COUNTIFS('SP6'!$F:$F,発生・消化曲線!H$23)</f>
        <v>0</v>
      </c>
      <c r="I17" s="56">
        <f>COUNTIFS('SP6'!$F:$F,発生・消化曲線!I$23)</f>
        <v>0</v>
      </c>
      <c r="J17" s="56">
        <f>COUNTIFS('SP6'!$F:$F,発生・消化曲線!J$23)</f>
        <v>0</v>
      </c>
      <c r="K17" s="56">
        <f>COUNTIFS('SP6'!$F:$F,発生・消化曲線!K$23)</f>
        <v>0</v>
      </c>
      <c r="L17" s="56">
        <f>COUNTIFS('SP6'!$F:$F,発生・消化曲線!L$23)</f>
        <v>5</v>
      </c>
      <c r="M17" s="56">
        <f>COUNTIFS('SP6'!$F:$F,発生・消化曲線!M$23)</f>
        <v>3</v>
      </c>
      <c r="N17" s="56">
        <f>COUNTIFS('SP6'!$F:$F,発生・消化曲線!N$23)</f>
        <v>0</v>
      </c>
      <c r="O17" s="56">
        <f>COUNTIFS('SP6'!$F:$F,発生・消化曲線!O$23)</f>
        <v>0</v>
      </c>
      <c r="P17" s="56">
        <f>COUNTIFS('SP6'!$F:$F,発生・消化曲線!P$23)</f>
        <v>0</v>
      </c>
      <c r="Q17" s="56">
        <f>COUNTIFS('SP6'!$F:$F,発生・消化曲線!Q$23)</f>
        <v>0</v>
      </c>
      <c r="R17" s="56">
        <f>COUNTIFS('SP6'!$F:$F,発生・消化曲線!R$23)</f>
        <v>0</v>
      </c>
      <c r="S17" s="56">
        <f>COUNTIFS('SP6'!$F:$F,発生・消化曲線!S$23)</f>
        <v>0</v>
      </c>
      <c r="T17" s="56">
        <f>COUNTIFS('SP6'!$F:$F,発生・消化曲線!T$23)</f>
        <v>0</v>
      </c>
      <c r="U17" s="56">
        <f>COUNTIFS('SP6'!$F:$F,発生・消化曲線!U$23)</f>
        <v>0</v>
      </c>
      <c r="V17" s="56">
        <f>COUNTIFS('SP6'!$F:$F,発生・消化曲線!V$23)</f>
        <v>0</v>
      </c>
      <c r="W17" s="56">
        <f>COUNTIFS('SP6'!$F:$F,発生・消化曲線!W$23)</f>
        <v>0</v>
      </c>
      <c r="X17" s="56">
        <f>COUNTIFS('SP6'!$F:$F,発生・消化曲線!X$23)</f>
        <v>0</v>
      </c>
      <c r="Y17" s="56">
        <f>COUNTIFS('SP6'!$F:$F,発生・消化曲線!Y$23)</f>
        <v>0</v>
      </c>
      <c r="Z17" s="56">
        <f>COUNTIFS('SP6'!$F:$F,発生・消化曲線!Z$23)</f>
        <v>0</v>
      </c>
      <c r="AA17" s="56">
        <f>COUNTIFS('SP6'!$F:$F,発生・消化曲線!AA$23)</f>
        <v>0</v>
      </c>
      <c r="AB17" s="56">
        <f>COUNTIFS('SP6'!$F:$F,発生・消化曲線!AB$23)</f>
        <v>0</v>
      </c>
    </row>
    <row r="18" spans="1:28" ht="19" thickBot="1">
      <c r="A18" s="65" t="s">
        <v>534</v>
      </c>
      <c r="B18" s="56">
        <f>COUNTIFS(優先度低!A9:A1048576,"&lt;&gt;",優先度低!F9:F1048576,"")</f>
        <v>0</v>
      </c>
      <c r="C18" s="56">
        <f>COUNTIF(優先度低!$F:$F,"&lt;2021/01/11")</f>
        <v>10</v>
      </c>
      <c r="D18" s="56">
        <f>COUNTIFS(優先度低!$F:$F,発生・消化曲線!D$23)</f>
        <v>4</v>
      </c>
      <c r="E18" s="56">
        <f>COUNTIFS(優先度低!$F:$F,発生・消化曲線!E$23)</f>
        <v>1</v>
      </c>
      <c r="F18" s="56">
        <f>COUNTIFS(優先度低!$F:$F,発生・消化曲線!F$23)</f>
        <v>0</v>
      </c>
      <c r="G18" s="56">
        <f>COUNTIFS(優先度低!$F:$F,発生・消化曲線!G$23)</f>
        <v>0</v>
      </c>
      <c r="H18" s="56">
        <f>COUNTIFS(優先度低!$F:$F,発生・消化曲線!H$23)</f>
        <v>2</v>
      </c>
      <c r="I18" s="56">
        <f>COUNTIFS(優先度低!$F:$F,発生・消化曲線!I$23)</f>
        <v>0</v>
      </c>
      <c r="J18" s="56">
        <f>COUNTIFS(優先度低!$F:$F,発生・消化曲線!J$23)</f>
        <v>0</v>
      </c>
      <c r="K18" s="56">
        <f>COUNTIFS(優先度低!$F:$F,発生・消化曲線!K$23)</f>
        <v>2</v>
      </c>
      <c r="L18" s="56">
        <f>COUNTIFS(優先度低!$F:$F,発生・消化曲線!L$23)</f>
        <v>0</v>
      </c>
      <c r="M18" s="56">
        <f>COUNTIFS(優先度低!$F:$F,発生・消化曲線!M$23)</f>
        <v>1</v>
      </c>
      <c r="N18" s="56">
        <f>COUNTIFS(優先度低!$F:$F,発生・消化曲線!N$23)</f>
        <v>0</v>
      </c>
      <c r="O18" s="56">
        <f>COUNTIFS(優先度低!$F:$F,発生・消化曲線!O$23)</f>
        <v>0</v>
      </c>
      <c r="P18" s="56">
        <f>COUNTIFS(優先度低!$F:$F,発生・消化曲線!P$23)</f>
        <v>0</v>
      </c>
      <c r="Q18" s="56">
        <f>COUNTIFS(優先度低!$F:$F,発生・消化曲線!Q$23)</f>
        <v>0</v>
      </c>
      <c r="R18" s="56">
        <f>COUNTIFS(優先度低!$F:$F,発生・消化曲線!R$23)</f>
        <v>0</v>
      </c>
      <c r="S18" s="56">
        <f>COUNTIFS(優先度低!$F:$F,発生・消化曲線!S$23)</f>
        <v>0</v>
      </c>
      <c r="T18" s="56">
        <f>COUNTIFS(優先度低!$F:$F,発生・消化曲線!T$23)</f>
        <v>0</v>
      </c>
      <c r="U18" s="56">
        <f>COUNTIFS(優先度低!$F:$F,発生・消化曲線!U$23)</f>
        <v>0</v>
      </c>
      <c r="V18" s="56">
        <f>COUNTIFS(優先度低!$F:$F,発生・消化曲線!V$23)</f>
        <v>0</v>
      </c>
      <c r="W18" s="56">
        <f>COUNTIFS(優先度低!$F:$F,発生・消化曲線!W$23)</f>
        <v>0</v>
      </c>
      <c r="X18" s="56">
        <f>COUNTIFS(優先度低!$F:$F,発生・消化曲線!X$23)</f>
        <v>0</v>
      </c>
      <c r="Y18" s="56">
        <f>COUNTIFS(優先度低!$F:$F,発生・消化曲線!Y$23)</f>
        <v>1</v>
      </c>
      <c r="Z18" s="56">
        <f>COUNTIFS(優先度低!$F:$F,発生・消化曲線!Z$23)</f>
        <v>0</v>
      </c>
      <c r="AA18" s="56">
        <f>COUNTIFS(優先度低!$F:$F,発生・消化曲線!AA$23)</f>
        <v>0</v>
      </c>
      <c r="AB18" s="56">
        <f>COUNTIFS(優先度低!$F:$F,発生・消化曲線!AB$23)</f>
        <v>0</v>
      </c>
    </row>
    <row r="19" spans="1:28" ht="19" thickTop="1">
      <c r="A19" s="61" t="s">
        <v>544</v>
      </c>
      <c r="B19" s="62">
        <f t="shared" ref="B19:AB19" si="1">SUM(B16:B18)</f>
        <v>2</v>
      </c>
      <c r="C19" s="62">
        <f t="shared" si="1"/>
        <v>38</v>
      </c>
      <c r="D19" s="62">
        <f t="shared" si="1"/>
        <v>13</v>
      </c>
      <c r="E19" s="62">
        <f t="shared" si="1"/>
        <v>19</v>
      </c>
      <c r="F19" s="62">
        <f t="shared" si="1"/>
        <v>19</v>
      </c>
      <c r="G19" s="62">
        <f t="shared" si="1"/>
        <v>14</v>
      </c>
      <c r="H19" s="62">
        <f t="shared" si="1"/>
        <v>15</v>
      </c>
      <c r="I19" s="62">
        <f t="shared" si="1"/>
        <v>0</v>
      </c>
      <c r="J19" s="62">
        <f t="shared" si="1"/>
        <v>0</v>
      </c>
      <c r="K19" s="62">
        <f t="shared" si="1"/>
        <v>20</v>
      </c>
      <c r="L19" s="62">
        <f t="shared" si="1"/>
        <v>9</v>
      </c>
      <c r="M19" s="62">
        <f t="shared" si="1"/>
        <v>7</v>
      </c>
      <c r="N19" s="62">
        <f t="shared" si="1"/>
        <v>5</v>
      </c>
      <c r="O19" s="62">
        <f t="shared" si="1"/>
        <v>2</v>
      </c>
      <c r="P19" s="62">
        <f t="shared" si="1"/>
        <v>0</v>
      </c>
      <c r="Q19" s="62">
        <f t="shared" si="1"/>
        <v>0</v>
      </c>
      <c r="R19" s="62">
        <f t="shared" si="1"/>
        <v>1</v>
      </c>
      <c r="S19" s="62">
        <f t="shared" si="1"/>
        <v>0</v>
      </c>
      <c r="T19" s="62">
        <f t="shared" si="1"/>
        <v>0</v>
      </c>
      <c r="U19" s="62">
        <f t="shared" si="1"/>
        <v>0</v>
      </c>
      <c r="V19" s="62">
        <f t="shared" si="1"/>
        <v>0</v>
      </c>
      <c r="W19" s="62">
        <f t="shared" si="1"/>
        <v>0</v>
      </c>
      <c r="X19" s="62">
        <f t="shared" si="1"/>
        <v>0</v>
      </c>
      <c r="Y19" s="62">
        <f t="shared" si="1"/>
        <v>1</v>
      </c>
      <c r="Z19" s="62">
        <f t="shared" si="1"/>
        <v>0</v>
      </c>
      <c r="AA19" s="62">
        <f t="shared" si="1"/>
        <v>0</v>
      </c>
      <c r="AB19" s="62">
        <f t="shared" si="1"/>
        <v>0</v>
      </c>
    </row>
    <row r="20" spans="1:28">
      <c r="A20" s="59" t="s">
        <v>521</v>
      </c>
      <c r="B20" s="56">
        <f>B19</f>
        <v>2</v>
      </c>
      <c r="C20" s="56">
        <f t="shared" ref="C20:AB20" si="2">B20+C19</f>
        <v>40</v>
      </c>
      <c r="D20" s="56">
        <f t="shared" si="2"/>
        <v>53</v>
      </c>
      <c r="E20" s="56">
        <f t="shared" si="2"/>
        <v>72</v>
      </c>
      <c r="F20" s="56">
        <f t="shared" si="2"/>
        <v>91</v>
      </c>
      <c r="G20" s="56">
        <f t="shared" si="2"/>
        <v>105</v>
      </c>
      <c r="H20" s="56">
        <f t="shared" si="2"/>
        <v>120</v>
      </c>
      <c r="I20" s="56">
        <f t="shared" si="2"/>
        <v>120</v>
      </c>
      <c r="J20" s="56">
        <f t="shared" si="2"/>
        <v>120</v>
      </c>
      <c r="K20" s="56">
        <f t="shared" si="2"/>
        <v>140</v>
      </c>
      <c r="L20" s="56">
        <f t="shared" si="2"/>
        <v>149</v>
      </c>
      <c r="M20" s="56">
        <f t="shared" si="2"/>
        <v>156</v>
      </c>
      <c r="N20" s="56">
        <f t="shared" si="2"/>
        <v>161</v>
      </c>
      <c r="O20" s="56">
        <f t="shared" si="2"/>
        <v>163</v>
      </c>
      <c r="P20" s="56">
        <f t="shared" si="2"/>
        <v>163</v>
      </c>
      <c r="Q20" s="56">
        <f t="shared" si="2"/>
        <v>163</v>
      </c>
      <c r="R20" s="56">
        <f t="shared" si="2"/>
        <v>164</v>
      </c>
      <c r="S20" s="56">
        <f t="shared" si="2"/>
        <v>164</v>
      </c>
      <c r="T20" s="56">
        <f t="shared" si="2"/>
        <v>164</v>
      </c>
      <c r="U20" s="56">
        <f t="shared" si="2"/>
        <v>164</v>
      </c>
      <c r="V20" s="56">
        <f t="shared" si="2"/>
        <v>164</v>
      </c>
      <c r="W20" s="56">
        <f t="shared" si="2"/>
        <v>164</v>
      </c>
      <c r="X20" s="56">
        <f t="shared" si="2"/>
        <v>164</v>
      </c>
      <c r="Y20" s="56">
        <f t="shared" si="2"/>
        <v>165</v>
      </c>
      <c r="Z20" s="56">
        <f t="shared" si="2"/>
        <v>165</v>
      </c>
      <c r="AA20" s="56">
        <f t="shared" si="2"/>
        <v>165</v>
      </c>
      <c r="AB20" s="56">
        <f t="shared" si="2"/>
        <v>165</v>
      </c>
    </row>
    <row r="22" spans="1:28">
      <c r="A22" t="s">
        <v>551</v>
      </c>
    </row>
    <row r="23" spans="1:28">
      <c r="A23" s="87" t="s">
        <v>550</v>
      </c>
      <c r="B23" s="54" t="s">
        <v>541</v>
      </c>
      <c r="C23" s="54" t="s">
        <v>543</v>
      </c>
      <c r="D23" s="57">
        <v>44207</v>
      </c>
      <c r="E23" s="57">
        <v>44208</v>
      </c>
      <c r="F23" s="57">
        <v>44209</v>
      </c>
      <c r="G23" s="57">
        <v>44210</v>
      </c>
      <c r="H23" s="57">
        <v>44211</v>
      </c>
      <c r="I23" s="57">
        <v>44212</v>
      </c>
      <c r="J23" s="57">
        <v>44213</v>
      </c>
      <c r="K23" s="57">
        <v>44214</v>
      </c>
      <c r="L23" s="57">
        <v>44215</v>
      </c>
      <c r="M23" s="57">
        <v>44216</v>
      </c>
      <c r="N23" s="57">
        <v>44217</v>
      </c>
      <c r="O23" s="57">
        <v>44218</v>
      </c>
      <c r="P23" s="57">
        <v>44219</v>
      </c>
      <c r="Q23" s="57">
        <v>44220</v>
      </c>
      <c r="R23" s="57">
        <v>44221</v>
      </c>
      <c r="S23" s="57">
        <v>44222</v>
      </c>
      <c r="T23" s="57">
        <v>44223</v>
      </c>
      <c r="U23" s="57">
        <v>44224</v>
      </c>
      <c r="V23" s="57">
        <v>44225</v>
      </c>
      <c r="W23" s="57">
        <v>44226</v>
      </c>
      <c r="X23" s="57">
        <v>44227</v>
      </c>
      <c r="Y23" s="57">
        <v>44228</v>
      </c>
      <c r="Z23" s="57">
        <v>44229</v>
      </c>
      <c r="AA23" s="57">
        <v>44230</v>
      </c>
      <c r="AB23" s="57">
        <v>44231</v>
      </c>
    </row>
    <row r="24" spans="1:28">
      <c r="A24" s="88"/>
      <c r="B24" s="54"/>
      <c r="C24" s="54"/>
      <c r="D24" s="58">
        <f t="shared" ref="D24:AB24" si="3">D23</f>
        <v>44207</v>
      </c>
      <c r="E24" s="58">
        <f t="shared" si="3"/>
        <v>44208</v>
      </c>
      <c r="F24" s="58">
        <f t="shared" si="3"/>
        <v>44209</v>
      </c>
      <c r="G24" s="58">
        <f t="shared" si="3"/>
        <v>44210</v>
      </c>
      <c r="H24" s="58">
        <f t="shared" si="3"/>
        <v>44211</v>
      </c>
      <c r="I24" s="58">
        <f t="shared" si="3"/>
        <v>44212</v>
      </c>
      <c r="J24" s="58">
        <f t="shared" si="3"/>
        <v>44213</v>
      </c>
      <c r="K24" s="58">
        <f t="shared" si="3"/>
        <v>44214</v>
      </c>
      <c r="L24" s="58">
        <f t="shared" si="3"/>
        <v>44215</v>
      </c>
      <c r="M24" s="58">
        <f t="shared" si="3"/>
        <v>44216</v>
      </c>
      <c r="N24" s="58">
        <f t="shared" si="3"/>
        <v>44217</v>
      </c>
      <c r="O24" s="58">
        <f t="shared" si="3"/>
        <v>44218</v>
      </c>
      <c r="P24" s="58">
        <f t="shared" si="3"/>
        <v>44219</v>
      </c>
      <c r="Q24" s="58">
        <f t="shared" si="3"/>
        <v>44220</v>
      </c>
      <c r="R24" s="58">
        <f t="shared" si="3"/>
        <v>44221</v>
      </c>
      <c r="S24" s="58">
        <f t="shared" si="3"/>
        <v>44222</v>
      </c>
      <c r="T24" s="58">
        <f t="shared" si="3"/>
        <v>44223</v>
      </c>
      <c r="U24" s="58">
        <f t="shared" si="3"/>
        <v>44224</v>
      </c>
      <c r="V24" s="58">
        <f t="shared" si="3"/>
        <v>44225</v>
      </c>
      <c r="W24" s="58">
        <f t="shared" si="3"/>
        <v>44226</v>
      </c>
      <c r="X24" s="58">
        <f t="shared" si="3"/>
        <v>44227</v>
      </c>
      <c r="Y24" s="58">
        <f t="shared" si="3"/>
        <v>44228</v>
      </c>
      <c r="Z24" s="58">
        <f t="shared" si="3"/>
        <v>44229</v>
      </c>
      <c r="AA24" s="58">
        <f t="shared" si="3"/>
        <v>44230</v>
      </c>
      <c r="AB24" s="58">
        <f t="shared" si="3"/>
        <v>44231</v>
      </c>
    </row>
    <row r="25" spans="1:28">
      <c r="A25" s="64" t="s">
        <v>88</v>
      </c>
      <c r="B25" s="56">
        <f>COUNTIFS('SP1～SP5'!$E:$E,"完了",'SP1～SP5'!$G:$G,"")</f>
        <v>0</v>
      </c>
      <c r="C25" s="56">
        <f>COUNTIFS('SP1～SP5'!$E:$E,"完了",'SP1～SP5'!$G:$G,"&lt;2021/01/11")</f>
        <v>7</v>
      </c>
      <c r="D25" s="56">
        <f>COUNTIFS('SP1～SP5'!$E:$E,"完了",'SP1～SP5'!$G:$G,発生・消化曲線!D$23)</f>
        <v>8</v>
      </c>
      <c r="E25" s="56">
        <f>COUNTIFS('SP1～SP5'!$E:$E,"完了",'SP1～SP5'!$G:$G,発生・消化曲線!E$23)</f>
        <v>4</v>
      </c>
      <c r="F25" s="56">
        <f>COUNTIFS('SP1～SP5'!$E:$E,"完了",'SP1～SP5'!$G:$G,発生・消化曲線!F$23)</f>
        <v>8</v>
      </c>
      <c r="G25" s="56">
        <f>COUNTIFS('SP1～SP5'!$E:$E,"完了",'SP1～SP5'!$G:$G,発生・消化曲線!G$23)</f>
        <v>1</v>
      </c>
      <c r="H25" s="56">
        <f>COUNTIFS('SP1～SP5'!$E:$E,"完了",'SP1～SP5'!$G:$G,発生・消化曲線!H$23)</f>
        <v>3</v>
      </c>
      <c r="I25" s="56">
        <f>COUNTIFS('SP1～SP5'!$E:$E,"完了",'SP1～SP5'!$G:$G,発生・消化曲線!I$23)</f>
        <v>0</v>
      </c>
      <c r="J25" s="56">
        <f>COUNTIFS('SP1～SP5'!$E:$E,"完了",'SP1～SP5'!$G:$G,発生・消化曲線!J$23)</f>
        <v>0</v>
      </c>
      <c r="K25" s="56">
        <f>COUNTIFS('SP1～SP5'!$E:$E,"完了",'SP1～SP5'!$G:$G,発生・消化曲線!K$23)</f>
        <v>13</v>
      </c>
      <c r="L25" s="56">
        <f>COUNTIFS('SP1～SP5'!$E:$E,"完了",'SP1～SP5'!$G:$G,発生・消化曲線!L$23)</f>
        <v>6</v>
      </c>
      <c r="M25" s="56">
        <f>COUNTIFS('SP1～SP5'!$E:$E,"完了",'SP1～SP5'!$G:$G,発生・消化曲線!M$23)</f>
        <v>18</v>
      </c>
      <c r="N25" s="56">
        <f>COUNTIFS('SP1～SP5'!$E:$E,"完了",'SP1～SP5'!$G:$G,発生・消化曲線!N$23)</f>
        <v>12</v>
      </c>
      <c r="O25" s="56">
        <f>COUNTIFS('SP1～SP5'!$E:$E,"完了",'SP1～SP5'!$G:$G,発生・消化曲線!O$23)</f>
        <v>6</v>
      </c>
      <c r="P25" s="56">
        <f>COUNTIFS('SP1～SP5'!$E:$E,"完了",'SP1～SP5'!$G:$G,発生・消化曲線!P$23)</f>
        <v>0</v>
      </c>
      <c r="Q25" s="56">
        <f>COUNTIFS('SP1～SP5'!$E:$E,"完了",'SP1～SP5'!$G:$G,発生・消化曲線!Q$23)</f>
        <v>0</v>
      </c>
      <c r="R25" s="56">
        <f>COUNTIFS('SP1～SP5'!$E:$E,"完了",'SP1～SP5'!$G:$G,発生・消化曲線!R$23)</f>
        <v>3</v>
      </c>
      <c r="S25" s="56">
        <f>COUNTIFS('SP1～SP5'!$E:$E,"完了",'SP1～SP5'!$G:$G,発生・消化曲線!S$23)</f>
        <v>0</v>
      </c>
      <c r="T25" s="56">
        <f>COUNTIFS('SP1～SP5'!$E:$E,"完了",'SP1～SP5'!$G:$G,発生・消化曲線!T$23)</f>
        <v>0</v>
      </c>
      <c r="U25" s="56">
        <f>COUNTIFS('SP1～SP5'!$E:$E,"完了",'SP1～SP5'!$G:$G,発生・消化曲線!U$23)</f>
        <v>0</v>
      </c>
      <c r="V25" s="56">
        <f>COUNTIFS('SP1～SP5'!$E:$E,"完了",'SP1～SP5'!$G:$G,発生・消化曲線!V$23)</f>
        <v>0</v>
      </c>
      <c r="W25" s="56">
        <f>COUNTIFS('SP1～SP5'!$E:$E,"完了",'SP1～SP5'!$G:$G,発生・消化曲線!W$23)</f>
        <v>0</v>
      </c>
      <c r="X25" s="56">
        <f>COUNTIFS('SP1～SP5'!$E:$E,"完了",'SP1～SP5'!$G:$G,発生・消化曲線!X$23)</f>
        <v>0</v>
      </c>
      <c r="Y25" s="56">
        <f>COUNTIFS('SP1～SP5'!$E:$E,"完了",'SP1～SP5'!$G:$G,発生・消化曲線!Y$23)</f>
        <v>0</v>
      </c>
      <c r="Z25" s="56">
        <f>COUNTIFS('SP1～SP5'!$E:$E,"完了",'SP1～SP5'!$G:$G,発生・消化曲線!Z$23)</f>
        <v>0</v>
      </c>
      <c r="AA25" s="56">
        <f>COUNTIFS('SP1～SP5'!$E:$E,"完了",'SP1～SP5'!$G:$G,発生・消化曲線!AA$23)</f>
        <v>0</v>
      </c>
      <c r="AB25" s="56">
        <f>COUNTIFS('SP1～SP5'!$E:$E,"完了",'SP1～SP5'!$G:$G,発生・消化曲線!AB$23)</f>
        <v>0</v>
      </c>
    </row>
    <row r="26" spans="1:28">
      <c r="A26" s="64" t="s">
        <v>533</v>
      </c>
      <c r="B26" s="56">
        <f>COUNTIFS('SP6'!$E:$E,"完了",'SP6'!$G:$G,"")</f>
        <v>0</v>
      </c>
      <c r="C26" s="56">
        <f>COUNTIFS('SP6'!$E:$E,"完了",'SP6'!$G:$G,"&lt;2021/01/11")</f>
        <v>0</v>
      </c>
      <c r="D26" s="56">
        <f>COUNTIFS('SP6'!$E:$E,"完了",'SP6'!$G:$G,発生・消化曲線!D$23)</f>
        <v>0</v>
      </c>
      <c r="E26" s="56">
        <f>COUNTIFS('SP6'!$E:$E,"完了",'SP6'!$G:$G,発生・消化曲線!E$23)</f>
        <v>0</v>
      </c>
      <c r="F26" s="56">
        <f>COUNTIFS('SP6'!$E:$E,"完了",'SP6'!$G:$G,発生・消化曲線!F$23)</f>
        <v>0</v>
      </c>
      <c r="G26" s="56">
        <f>COUNTIFS('SP6'!$E:$E,"完了",'SP6'!$G:$G,発生・消化曲線!G$23)</f>
        <v>0</v>
      </c>
      <c r="H26" s="56">
        <f>COUNTIFS('SP6'!$E:$E,"完了",'SP6'!$G:$G,発生・消化曲線!H$23)</f>
        <v>0</v>
      </c>
      <c r="I26" s="56">
        <f>COUNTIFS('SP6'!$E:$E,"完了",'SP6'!$G:$G,発生・消化曲線!I$23)</f>
        <v>0</v>
      </c>
      <c r="J26" s="56">
        <f>COUNTIFS('SP6'!$E:$E,"完了",'SP6'!$G:$G,発生・消化曲線!J$23)</f>
        <v>0</v>
      </c>
      <c r="K26" s="56">
        <f>COUNTIFS('SP6'!$E:$E,"完了",'SP6'!$G:$G,発生・消化曲線!K$23)</f>
        <v>0</v>
      </c>
      <c r="L26" s="56">
        <f>COUNTIFS('SP6'!$E:$E,"完了",'SP6'!$G:$G,発生・消化曲線!L$23)</f>
        <v>0</v>
      </c>
      <c r="M26" s="56">
        <f>COUNTIFS('SP6'!$E:$E,"完了",'SP6'!$G:$G,発生・消化曲線!M$23)</f>
        <v>1</v>
      </c>
      <c r="N26" s="56">
        <f>COUNTIFS('SP6'!$E:$E,"完了",'SP6'!$G:$G,発生・消化曲線!N$23)</f>
        <v>2</v>
      </c>
      <c r="O26" s="56">
        <f>COUNTIFS('SP6'!$E:$E,"完了",'SP6'!$G:$G,発生・消化曲線!O$23)</f>
        <v>0</v>
      </c>
      <c r="P26" s="56">
        <f>COUNTIFS('SP6'!$E:$E,"完了",'SP6'!$G:$G,発生・消化曲線!P$23)</f>
        <v>0</v>
      </c>
      <c r="Q26" s="56">
        <f>COUNTIFS('SP6'!$E:$E,"完了",'SP6'!$G:$G,発生・消化曲線!Q$23)</f>
        <v>0</v>
      </c>
      <c r="R26" s="56">
        <f>COUNTIFS('SP6'!$E:$E,"完了",'SP6'!$G:$G,発生・消化曲線!R$23)</f>
        <v>0</v>
      </c>
      <c r="S26" s="56">
        <f>COUNTIFS('SP6'!$E:$E,"完了",'SP6'!$G:$G,発生・消化曲線!S$23)</f>
        <v>0</v>
      </c>
      <c r="T26" s="56">
        <f>COUNTIFS('SP6'!$E:$E,"完了",'SP6'!$G:$G,発生・消化曲線!T$23)</f>
        <v>0</v>
      </c>
      <c r="U26" s="56">
        <f>COUNTIFS('SP6'!$E:$E,"完了",'SP6'!$G:$G,発生・消化曲線!U$23)</f>
        <v>0</v>
      </c>
      <c r="V26" s="56">
        <f>COUNTIFS('SP6'!$E:$E,"完了",'SP6'!$G:$G,発生・消化曲線!V$23)</f>
        <v>0</v>
      </c>
      <c r="W26" s="56">
        <f>COUNTIFS('SP6'!$E:$E,"完了",'SP6'!$G:$G,発生・消化曲線!W$23)</f>
        <v>0</v>
      </c>
      <c r="X26" s="56">
        <f>COUNTIFS('SP6'!$E:$E,"完了",'SP6'!$G:$G,発生・消化曲線!X$23)</f>
        <v>0</v>
      </c>
      <c r="Y26" s="56">
        <f>COUNTIFS('SP6'!$E:$E,"完了",'SP6'!$G:$G,発生・消化曲線!Y$23)</f>
        <v>0</v>
      </c>
      <c r="Z26" s="56">
        <f>COUNTIFS('SP6'!$E:$E,"完了",'SP6'!$G:$G,発生・消化曲線!Z$23)</f>
        <v>0</v>
      </c>
      <c r="AA26" s="56">
        <f>COUNTIFS('SP6'!$E:$E,"完了",'SP6'!$G:$G,発生・消化曲線!AA$23)</f>
        <v>0</v>
      </c>
      <c r="AB26" s="56">
        <f>COUNTIFS('SP6'!$E:$E,"完了",'SP6'!$G:$G,発生・消化曲線!AB$23)</f>
        <v>0</v>
      </c>
    </row>
    <row r="27" spans="1:28" ht="19" thickBot="1">
      <c r="A27" s="65" t="s">
        <v>534</v>
      </c>
      <c r="B27" s="60">
        <f>COUNTIFS(優先度低!$E:$E,"完了",優先度低!$G:$G,"")</f>
        <v>0</v>
      </c>
      <c r="C27" s="60">
        <f>COUNTIFS(優先度低!$E:$E,"完了",優先度低!$G:$G,"&lt;2021/01/11")</f>
        <v>0</v>
      </c>
      <c r="D27" s="60">
        <f>COUNTIFS(優先度低!$E:$E,"完了",優先度低!$G:$G,発生・消化曲線!D$23)</f>
        <v>0</v>
      </c>
      <c r="E27" s="60">
        <f>COUNTIFS(優先度低!$E:$E,"完了",優先度低!$G:$G,発生・消化曲線!E$23)</f>
        <v>0</v>
      </c>
      <c r="F27" s="60">
        <f>COUNTIFS(優先度低!$E:$E,"完了",優先度低!$G:$G,発生・消化曲線!F$23)</f>
        <v>0</v>
      </c>
      <c r="G27" s="60">
        <f>COUNTIFS(優先度低!$E:$E,"完了",優先度低!$G:$G,発生・消化曲線!G$23)</f>
        <v>0</v>
      </c>
      <c r="H27" s="60">
        <f>COUNTIFS(優先度低!$E:$E,"完了",優先度低!$G:$G,発生・消化曲線!H$23)</f>
        <v>0</v>
      </c>
      <c r="I27" s="60">
        <f>COUNTIFS(優先度低!$E:$E,"完了",優先度低!$G:$G,発生・消化曲線!I$23)</f>
        <v>0</v>
      </c>
      <c r="J27" s="60">
        <f>COUNTIFS(優先度低!$E:$E,"完了",優先度低!$G:$G,発生・消化曲線!J$23)</f>
        <v>0</v>
      </c>
      <c r="K27" s="60">
        <f>COUNTIFS(優先度低!$E:$E,"完了",優先度低!$G:$G,発生・消化曲線!K$23)</f>
        <v>0</v>
      </c>
      <c r="L27" s="60">
        <f>COUNTIFS(優先度低!$E:$E,"完了",優先度低!$G:$G,発生・消化曲線!L$23)</f>
        <v>0</v>
      </c>
      <c r="M27" s="60">
        <f>COUNTIFS(優先度低!$E:$E,"完了",優先度低!$G:$G,発生・消化曲線!M$23)</f>
        <v>0</v>
      </c>
      <c r="N27" s="60">
        <f>COUNTIFS(優先度低!$E:$E,"完了",優先度低!$G:$G,発生・消化曲線!N$23)</f>
        <v>0</v>
      </c>
      <c r="O27" s="60">
        <f>COUNTIFS(優先度低!$E:$E,"完了",優先度低!$G:$G,発生・消化曲線!O$23)</f>
        <v>0</v>
      </c>
      <c r="P27" s="60">
        <f>COUNTIFS(優先度低!$E:$E,"完了",優先度低!$G:$G,発生・消化曲線!P$23)</f>
        <v>0</v>
      </c>
      <c r="Q27" s="60">
        <f>COUNTIFS(優先度低!$E:$E,"完了",優先度低!$G:$G,発生・消化曲線!Q$23)</f>
        <v>0</v>
      </c>
      <c r="R27" s="60">
        <f>COUNTIFS(優先度低!$E:$E,"完了",優先度低!$G:$G,発生・消化曲線!R$23)</f>
        <v>0</v>
      </c>
      <c r="S27" s="60">
        <f>COUNTIFS(優先度低!$E:$E,"完了",優先度低!$G:$G,発生・消化曲線!S$23)</f>
        <v>0</v>
      </c>
      <c r="T27" s="60">
        <f>COUNTIFS(優先度低!$E:$E,"完了",優先度低!$G:$G,発生・消化曲線!T$23)</f>
        <v>0</v>
      </c>
      <c r="U27" s="60">
        <f>COUNTIFS(優先度低!$E:$E,"完了",優先度低!$G:$G,発生・消化曲線!U$23)</f>
        <v>0</v>
      </c>
      <c r="V27" s="60">
        <f>COUNTIFS(優先度低!$E:$E,"完了",優先度低!$G:$G,発生・消化曲線!V$23)</f>
        <v>0</v>
      </c>
      <c r="W27" s="60">
        <f>COUNTIFS(優先度低!$E:$E,"完了",優先度低!$G:$G,発生・消化曲線!W$23)</f>
        <v>0</v>
      </c>
      <c r="X27" s="60">
        <f>COUNTIFS(優先度低!$E:$E,"完了",優先度低!$G:$G,発生・消化曲線!X$23)</f>
        <v>0</v>
      </c>
      <c r="Y27" s="60">
        <f>COUNTIFS(優先度低!$E:$E,"完了",優先度低!$G:$G,発生・消化曲線!Y$23)</f>
        <v>0</v>
      </c>
      <c r="Z27" s="60">
        <f>COUNTIFS(優先度低!$E:$E,"完了",優先度低!$G:$G,発生・消化曲線!Z$23)</f>
        <v>0</v>
      </c>
      <c r="AA27" s="60">
        <f>COUNTIFS(優先度低!$E:$E,"完了",優先度低!$G:$G,発生・消化曲線!AA$23)</f>
        <v>0</v>
      </c>
      <c r="AB27" s="60">
        <f>COUNTIFS(優先度低!$E:$E,"完了",優先度低!$G:$G,発生・消化曲線!AB$23)</f>
        <v>0</v>
      </c>
    </row>
    <row r="28" spans="1:28" ht="19" thickTop="1">
      <c r="A28" s="61" t="s">
        <v>540</v>
      </c>
      <c r="B28" s="62">
        <f t="shared" ref="B28:AB28" si="4">SUM(B25:B27)</f>
        <v>0</v>
      </c>
      <c r="C28" s="62">
        <f t="shared" si="4"/>
        <v>7</v>
      </c>
      <c r="D28" s="62">
        <f t="shared" si="4"/>
        <v>8</v>
      </c>
      <c r="E28" s="62">
        <f t="shared" si="4"/>
        <v>4</v>
      </c>
      <c r="F28" s="62">
        <f t="shared" si="4"/>
        <v>8</v>
      </c>
      <c r="G28" s="62">
        <f t="shared" si="4"/>
        <v>1</v>
      </c>
      <c r="H28" s="62">
        <f t="shared" si="4"/>
        <v>3</v>
      </c>
      <c r="I28" s="62">
        <f t="shared" si="4"/>
        <v>0</v>
      </c>
      <c r="J28" s="62">
        <f t="shared" si="4"/>
        <v>0</v>
      </c>
      <c r="K28" s="62">
        <f t="shared" si="4"/>
        <v>13</v>
      </c>
      <c r="L28" s="62">
        <f t="shared" si="4"/>
        <v>6</v>
      </c>
      <c r="M28" s="62">
        <f t="shared" si="4"/>
        <v>19</v>
      </c>
      <c r="N28" s="62">
        <f t="shared" si="4"/>
        <v>14</v>
      </c>
      <c r="O28" s="62">
        <f t="shared" si="4"/>
        <v>6</v>
      </c>
      <c r="P28" s="62">
        <f t="shared" si="4"/>
        <v>0</v>
      </c>
      <c r="Q28" s="62">
        <f t="shared" si="4"/>
        <v>0</v>
      </c>
      <c r="R28" s="62">
        <f t="shared" si="4"/>
        <v>3</v>
      </c>
      <c r="S28" s="62">
        <f t="shared" si="4"/>
        <v>0</v>
      </c>
      <c r="T28" s="62">
        <f t="shared" si="4"/>
        <v>0</v>
      </c>
      <c r="U28" s="62">
        <f t="shared" si="4"/>
        <v>0</v>
      </c>
      <c r="V28" s="62">
        <f t="shared" si="4"/>
        <v>0</v>
      </c>
      <c r="W28" s="62">
        <f t="shared" si="4"/>
        <v>0</v>
      </c>
      <c r="X28" s="62">
        <f t="shared" si="4"/>
        <v>0</v>
      </c>
      <c r="Y28" s="62">
        <f t="shared" si="4"/>
        <v>0</v>
      </c>
      <c r="Z28" s="62">
        <f t="shared" si="4"/>
        <v>0</v>
      </c>
      <c r="AA28" s="62">
        <f t="shared" si="4"/>
        <v>0</v>
      </c>
      <c r="AB28" s="62">
        <f t="shared" si="4"/>
        <v>0</v>
      </c>
    </row>
    <row r="29" spans="1:28">
      <c r="A29" s="59" t="s">
        <v>521</v>
      </c>
      <c r="B29" s="56">
        <f>B28</f>
        <v>0</v>
      </c>
      <c r="C29" s="56">
        <f t="shared" ref="C29:AB29" si="5">B29+C28</f>
        <v>7</v>
      </c>
      <c r="D29" s="56">
        <f t="shared" si="5"/>
        <v>15</v>
      </c>
      <c r="E29" s="56">
        <f t="shared" si="5"/>
        <v>19</v>
      </c>
      <c r="F29" s="56">
        <f t="shared" si="5"/>
        <v>27</v>
      </c>
      <c r="G29" s="56">
        <f t="shared" si="5"/>
        <v>28</v>
      </c>
      <c r="H29" s="56">
        <f t="shared" si="5"/>
        <v>31</v>
      </c>
      <c r="I29" s="56">
        <f t="shared" si="5"/>
        <v>31</v>
      </c>
      <c r="J29" s="56">
        <f t="shared" si="5"/>
        <v>31</v>
      </c>
      <c r="K29" s="56">
        <f t="shared" si="5"/>
        <v>44</v>
      </c>
      <c r="L29" s="56">
        <f t="shared" si="5"/>
        <v>50</v>
      </c>
      <c r="M29" s="56">
        <f t="shared" si="5"/>
        <v>69</v>
      </c>
      <c r="N29" s="56">
        <f t="shared" si="5"/>
        <v>83</v>
      </c>
      <c r="O29" s="56">
        <f t="shared" si="5"/>
        <v>89</v>
      </c>
      <c r="P29" s="56">
        <f t="shared" si="5"/>
        <v>89</v>
      </c>
      <c r="Q29" s="56">
        <f t="shared" si="5"/>
        <v>89</v>
      </c>
      <c r="R29" s="56">
        <f t="shared" si="5"/>
        <v>92</v>
      </c>
      <c r="S29" s="56">
        <f t="shared" si="5"/>
        <v>92</v>
      </c>
      <c r="T29" s="56">
        <f t="shared" si="5"/>
        <v>92</v>
      </c>
      <c r="U29" s="56">
        <f t="shared" si="5"/>
        <v>92</v>
      </c>
      <c r="V29" s="56">
        <f t="shared" si="5"/>
        <v>92</v>
      </c>
      <c r="W29" s="56">
        <f t="shared" si="5"/>
        <v>92</v>
      </c>
      <c r="X29" s="56">
        <f t="shared" si="5"/>
        <v>92</v>
      </c>
      <c r="Y29" s="56">
        <f t="shared" si="5"/>
        <v>92</v>
      </c>
      <c r="Z29" s="56">
        <f t="shared" si="5"/>
        <v>92</v>
      </c>
      <c r="AA29" s="56">
        <f t="shared" si="5"/>
        <v>92</v>
      </c>
      <c r="AB29" s="56">
        <f t="shared" si="5"/>
        <v>92</v>
      </c>
    </row>
  </sheetData>
  <mergeCells count="4">
    <mergeCell ref="A2:B2"/>
    <mergeCell ref="A14:A15"/>
    <mergeCell ref="A23:A24"/>
    <mergeCell ref="A8:B8"/>
  </mergeCells>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E7"/>
  <sheetViews>
    <sheetView workbookViewId="0">
      <selection activeCell="F30" sqref="F30"/>
    </sheetView>
  </sheetViews>
  <sheetFormatPr baseColWidth="10" defaultColWidth="8.83203125" defaultRowHeight="18"/>
  <cols>
    <col min="1" max="1" width="17.1640625" bestFit="1" customWidth="1"/>
    <col min="2" max="3" width="10.83203125" hidden="1" customWidth="1"/>
    <col min="4" max="4" width="13.83203125" hidden="1" customWidth="1"/>
  </cols>
  <sheetData>
    <row r="1" spans="1:5">
      <c r="A1" s="18" t="s">
        <v>532</v>
      </c>
      <c r="B1" s="18"/>
    </row>
    <row r="2" spans="1:5">
      <c r="A2" s="90" t="s">
        <v>526</v>
      </c>
      <c r="B2" s="91"/>
      <c r="C2" s="91"/>
      <c r="D2" s="91"/>
      <c r="E2" s="92"/>
    </row>
    <row r="3" spans="1:5" ht="18.75" customHeight="1">
      <c r="A3" s="63" t="s">
        <v>525</v>
      </c>
      <c r="B3" s="40">
        <f>COUNTIF('SP1～SP5'!$E:$E,ステータス!$A3)</f>
        <v>27</v>
      </c>
      <c r="C3" s="40">
        <f>COUNTIF('SP6'!$E:$E,ステータス!$A3)</f>
        <v>5</v>
      </c>
      <c r="D3" s="40">
        <f>COUNTIF(優先度低!$E:$E,ステータス!$A3)</f>
        <v>21</v>
      </c>
      <c r="E3" s="40">
        <f>SUM(B3:D3)</f>
        <v>53</v>
      </c>
    </row>
    <row r="4" spans="1:5">
      <c r="A4" s="63" t="s">
        <v>524</v>
      </c>
      <c r="B4" s="40">
        <f>COUNTIF('SP1～SP5'!E:E,ステータス!A4)</f>
        <v>9</v>
      </c>
      <c r="C4" s="40">
        <f>COUNTIF('SP6'!$E:$E,ステータス!$A4)</f>
        <v>0</v>
      </c>
      <c r="D4" s="40">
        <f>COUNTIF(優先度低!$E:$E,ステータス!$A4)</f>
        <v>0</v>
      </c>
      <c r="E4" s="40">
        <f t="shared" ref="E4:E6" si="0">SUM(B4:D4)</f>
        <v>9</v>
      </c>
    </row>
    <row r="5" spans="1:5">
      <c r="A5" s="63" t="s">
        <v>181</v>
      </c>
      <c r="B5" s="40">
        <f>COUNTIF('SP1～SP5'!E:E,ステータス!A5)</f>
        <v>11</v>
      </c>
      <c r="C5" s="40">
        <f>COUNTIF('SP6'!$E:$E,ステータス!$A5)</f>
        <v>0</v>
      </c>
      <c r="D5" s="40">
        <f>COUNTIF(優先度低!$E:$E,ステータス!$A5)</f>
        <v>0</v>
      </c>
      <c r="E5" s="40">
        <f t="shared" si="0"/>
        <v>11</v>
      </c>
    </row>
    <row r="6" spans="1:5">
      <c r="A6" s="63" t="s">
        <v>523</v>
      </c>
      <c r="B6" s="40">
        <f>COUNTIF('SP1～SP5'!E:E,ステータス!A6)</f>
        <v>89</v>
      </c>
      <c r="C6" s="40">
        <f>COUNTIF('SP6'!$E:$E,ステータス!$A6)</f>
        <v>3</v>
      </c>
      <c r="D6" s="40">
        <f>COUNTIF(優先度低!$E:$E,ステータス!$A6)</f>
        <v>0</v>
      </c>
      <c r="E6" s="40">
        <f t="shared" si="0"/>
        <v>92</v>
      </c>
    </row>
    <row r="7" spans="1:5">
      <c r="A7" s="51" t="s">
        <v>521</v>
      </c>
      <c r="B7" s="40">
        <f>SUM(B3:B6)</f>
        <v>136</v>
      </c>
      <c r="C7" s="40">
        <f>SUM(C3:C6)</f>
        <v>8</v>
      </c>
      <c r="D7" s="40">
        <f>SUM(D3:D6)</f>
        <v>21</v>
      </c>
      <c r="E7" s="40">
        <f>SUM(E3:E6)</f>
        <v>165</v>
      </c>
    </row>
  </sheetData>
  <mergeCells count="1">
    <mergeCell ref="A2:E2"/>
  </mergeCells>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E10"/>
  <sheetViews>
    <sheetView workbookViewId="0">
      <selection activeCell="F30" sqref="F30"/>
    </sheetView>
  </sheetViews>
  <sheetFormatPr baseColWidth="10" defaultColWidth="8.83203125" defaultRowHeight="18"/>
  <cols>
    <col min="1" max="1" width="17.1640625" bestFit="1" customWidth="1"/>
    <col min="2" max="4" width="11.1640625" hidden="1" customWidth="1"/>
  </cols>
  <sheetData>
    <row r="1" spans="1:5">
      <c r="A1" s="93" t="s">
        <v>548</v>
      </c>
      <c r="B1" s="94"/>
      <c r="C1" s="94"/>
      <c r="D1" s="94"/>
      <c r="E1" s="95"/>
    </row>
    <row r="2" spans="1:5">
      <c r="A2" s="6" t="s">
        <v>545</v>
      </c>
      <c r="B2" s="53">
        <f>COUNTIFS('SP1～SP5'!$E:$E,"完了",'SP1～SP5'!$H:$H,A2)</f>
        <v>0</v>
      </c>
      <c r="C2" s="53">
        <f>COUNTIFS('SP1～SP5'!$E:$E,"完了",'SP1～SP5'!$H:$H,B2)</f>
        <v>0</v>
      </c>
      <c r="D2" s="53">
        <f>COUNTIFS(優先度低!$E:$E,"完了",優先度低!$H:$H,C2)</f>
        <v>0</v>
      </c>
      <c r="E2" s="56">
        <f>SUM(B2:D2)</f>
        <v>0</v>
      </c>
    </row>
    <row r="3" spans="1:5">
      <c r="A3" s="6" t="s">
        <v>122</v>
      </c>
      <c r="B3" s="53">
        <f>COUNTIFS('SP1～SP5'!$E:$E,"完了",'SP1～SP5'!$H:$H,A3)</f>
        <v>3</v>
      </c>
      <c r="C3" s="53">
        <f>COUNTIFS('SP1～SP5'!$E:$E,"完了",'SP1～SP5'!$H:$H,B3)</f>
        <v>0</v>
      </c>
      <c r="D3" s="53">
        <f>COUNTIFS(優先度低!$E:$E,"完了",優先度低!$H:$H,C3)</f>
        <v>0</v>
      </c>
      <c r="E3" s="56">
        <f t="shared" ref="E3:E8" si="0">SUM(B3:D3)</f>
        <v>3</v>
      </c>
    </row>
    <row r="4" spans="1:5">
      <c r="A4" s="6" t="s">
        <v>54</v>
      </c>
      <c r="B4" s="53">
        <f>COUNTIFS('SP1～SP5'!$E:$E,"完了",'SP1～SP5'!$H:$H,A4)</f>
        <v>17</v>
      </c>
      <c r="C4" s="53">
        <f>COUNTIFS('SP1～SP5'!$E:$E,"完了",'SP1～SP5'!$H:$H,B4)</f>
        <v>0</v>
      </c>
      <c r="D4" s="53">
        <f>COUNTIFS(優先度低!$E:$E,"完了",優先度低!$H:$H,C4)</f>
        <v>0</v>
      </c>
      <c r="E4" s="56">
        <f t="shared" si="0"/>
        <v>17</v>
      </c>
    </row>
    <row r="5" spans="1:5">
      <c r="A5" s="6" t="s">
        <v>22</v>
      </c>
      <c r="B5" s="53">
        <f>COUNTIFS('SP1～SP5'!$E:$E,"完了",'SP1～SP5'!$H:$H,A5)</f>
        <v>67</v>
      </c>
      <c r="C5" s="53">
        <f>COUNTIFS('SP1～SP5'!$E:$E,"完了",'SP1～SP5'!$H:$H,B5)</f>
        <v>0</v>
      </c>
      <c r="D5" s="53">
        <f>COUNTIFS(優先度低!$E:$E,"完了",優先度低!$H:$H,C5)</f>
        <v>0</v>
      </c>
      <c r="E5" s="56">
        <f t="shared" si="0"/>
        <v>67</v>
      </c>
    </row>
    <row r="6" spans="1:5">
      <c r="A6" s="6" t="s">
        <v>546</v>
      </c>
      <c r="B6" s="53">
        <f>COUNTIFS('SP1～SP5'!$E:$E,"完了",'SP1～SP5'!$H:$H,A6)</f>
        <v>0</v>
      </c>
      <c r="C6" s="53">
        <f>COUNTIFS('SP1～SP5'!$E:$E,"完了",'SP1～SP5'!$H:$H,B6)</f>
        <v>0</v>
      </c>
      <c r="D6" s="53">
        <f>COUNTIFS(優先度低!$E:$E,"完了",優先度低!$H:$H,C6)</f>
        <v>0</v>
      </c>
      <c r="E6" s="56">
        <f t="shared" si="0"/>
        <v>0</v>
      </c>
    </row>
    <row r="7" spans="1:5">
      <c r="A7" s="6" t="s">
        <v>547</v>
      </c>
      <c r="B7" s="53">
        <f>COUNTIFS('SP1～SP5'!$E:$E,"完了",'SP1～SP5'!$H:$H,A7)</f>
        <v>0</v>
      </c>
      <c r="C7" s="53">
        <f>COUNTIFS('SP1～SP5'!$E:$E,"完了",'SP1～SP5'!$H:$H,B7)</f>
        <v>0</v>
      </c>
      <c r="D7" s="53">
        <f>COUNTIFS(優先度低!$E:$E,"完了",優先度低!$H:$H,C7)</f>
        <v>0</v>
      </c>
      <c r="E7" s="56">
        <f t="shared" si="0"/>
        <v>0</v>
      </c>
    </row>
    <row r="8" spans="1:5">
      <c r="A8" s="6" t="s">
        <v>312</v>
      </c>
      <c r="B8" s="53">
        <f>COUNTIFS('SP1～SP5'!$E:$E,"完了",'SP1～SP5'!$H:$H,A8)</f>
        <v>0</v>
      </c>
      <c r="C8" s="53">
        <f>COUNTIFS('SP1～SP5'!$E:$E,"完了",'SP1～SP5'!$H:$H,B8)</f>
        <v>0</v>
      </c>
      <c r="D8" s="53">
        <f>COUNTIFS(優先度低!$E:$E,"完了",優先度低!$H:$H,C8)</f>
        <v>0</v>
      </c>
      <c r="E8" s="56">
        <f t="shared" si="0"/>
        <v>0</v>
      </c>
    </row>
    <row r="9" spans="1:5">
      <c r="A9" s="6" t="s">
        <v>23</v>
      </c>
      <c r="B9" s="53">
        <f>COUNTIFS('SP1～SP5'!$E:$E,"完了",'SP1～SP5'!$H:$H,A9)</f>
        <v>2</v>
      </c>
      <c r="C9" s="53">
        <f>COUNTIFS('SP1～SP5'!$E:$E,"完了",'SP1～SP5'!$H:$H,B9)</f>
        <v>0</v>
      </c>
      <c r="D9" s="53">
        <f>COUNTIFS(優先度低!$E:$E,"完了",優先度低!$H:$H,C9)</f>
        <v>0</v>
      </c>
      <c r="E9" s="56">
        <f>SUM(B9:D9)</f>
        <v>2</v>
      </c>
    </row>
    <row r="10" spans="1:5">
      <c r="A10" s="51" t="s">
        <v>521</v>
      </c>
      <c r="B10" s="53">
        <f>SUM(B2:B9)</f>
        <v>89</v>
      </c>
      <c r="C10" s="53">
        <f>SUM(C2:C9)</f>
        <v>0</v>
      </c>
      <c r="D10" s="53">
        <f>SUM(D2:D9)</f>
        <v>0</v>
      </c>
      <c r="E10" s="56">
        <f>SUM(E2:E9)</f>
        <v>89</v>
      </c>
    </row>
  </sheetData>
  <mergeCells count="1">
    <mergeCell ref="A1:E1"/>
  </mergeCells>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E18"/>
  <sheetViews>
    <sheetView workbookViewId="0">
      <selection activeCell="H31" sqref="H31"/>
    </sheetView>
  </sheetViews>
  <sheetFormatPr baseColWidth="10" defaultColWidth="8.83203125" defaultRowHeight="18"/>
  <cols>
    <col min="2" max="2" width="9.5" hidden="1" customWidth="1"/>
    <col min="3" max="4" width="0" hidden="1" customWidth="1"/>
  </cols>
  <sheetData>
    <row r="1" spans="1:5">
      <c r="A1" s="54" t="s">
        <v>537</v>
      </c>
      <c r="B1" s="50" t="s">
        <v>88</v>
      </c>
      <c r="C1" s="50" t="s">
        <v>533</v>
      </c>
      <c r="D1" s="50" t="s">
        <v>534</v>
      </c>
      <c r="E1" s="51" t="s">
        <v>521</v>
      </c>
    </row>
    <row r="2" spans="1:5">
      <c r="A2" s="53" t="s">
        <v>538</v>
      </c>
      <c r="B2" s="53">
        <f>COUNTIFS('SP1～SP5'!$D:$D,$A2,'SP1～SP5'!$E:$E,"完了")</f>
        <v>1</v>
      </c>
      <c r="C2" s="53">
        <f>COUNTIFS('SP6'!$E:$E,$A2,'SP1～SP5'!$E:$E,"完了")</f>
        <v>0</v>
      </c>
      <c r="D2" s="53">
        <f>COUNTIFS(優先度低!$D:$D,$A2,'SP1～SP5'!$E:$E,"完了")</f>
        <v>0</v>
      </c>
      <c r="E2" s="53">
        <f>SUM(B2:D2)</f>
        <v>1</v>
      </c>
    </row>
    <row r="3" spans="1:5">
      <c r="A3" s="53" t="s">
        <v>539</v>
      </c>
      <c r="B3" s="53">
        <f>COUNTIFS('SP1～SP5'!$D:$D,$A3,'SP1～SP5'!$E:$E,"完了")</f>
        <v>0</v>
      </c>
      <c r="C3" s="53">
        <f>COUNTIFS('SP6'!$E:$E,$A3,'SP1～SP5'!$E:$E,"完了")</f>
        <v>0</v>
      </c>
      <c r="D3" s="53">
        <f>COUNTIFS(優先度低!$D:$D,$A3,'SP1～SP5'!$E:$E,"完了")</f>
        <v>0</v>
      </c>
      <c r="E3" s="53">
        <f t="shared" ref="E3:E17" si="0">SUM(B3:D3)</f>
        <v>0</v>
      </c>
    </row>
    <row r="4" spans="1:5">
      <c r="A4" s="53"/>
      <c r="B4" s="53">
        <f>COUNTIFS('SP1～SP5'!$D:$D,$A4,'SP1～SP5'!$E:$E,"完了")</f>
        <v>0</v>
      </c>
      <c r="C4" s="53">
        <f>COUNTIFS('SP6'!$E:$E,$A4,'SP1～SP5'!$E:$E,"完了")</f>
        <v>0</v>
      </c>
      <c r="D4" s="53">
        <f>COUNTIFS(優先度低!$D:$D,$A4,'SP1～SP5'!$E:$E,"完了")</f>
        <v>0</v>
      </c>
      <c r="E4" s="53">
        <f t="shared" si="0"/>
        <v>0</v>
      </c>
    </row>
    <row r="5" spans="1:5">
      <c r="A5" s="53"/>
      <c r="B5" s="53">
        <f>COUNTIFS('SP1～SP5'!$D:$D,$A5,'SP1～SP5'!$E:$E,"完了")</f>
        <v>0</v>
      </c>
      <c r="C5" s="53">
        <f>COUNTIFS('SP6'!$E:$E,$A5,'SP1～SP5'!$E:$E,"完了")</f>
        <v>0</v>
      </c>
      <c r="D5" s="53">
        <f>COUNTIFS(優先度低!$D:$D,$A5,'SP1～SP5'!$E:$E,"完了")</f>
        <v>0</v>
      </c>
      <c r="E5" s="53">
        <f t="shared" si="0"/>
        <v>0</v>
      </c>
    </row>
    <row r="6" spans="1:5">
      <c r="A6" s="53"/>
      <c r="B6" s="53">
        <f>COUNTIFS('SP1～SP5'!$D:$D,$A6,'SP1～SP5'!$E:$E,"完了")</f>
        <v>0</v>
      </c>
      <c r="C6" s="53">
        <f>COUNTIFS('SP6'!$E:$E,$A6,'SP1～SP5'!$E:$E,"完了")</f>
        <v>0</v>
      </c>
      <c r="D6" s="53">
        <f>COUNTIFS(優先度低!$D:$D,$A6,'SP1～SP5'!$E:$E,"完了")</f>
        <v>0</v>
      </c>
      <c r="E6" s="53">
        <f t="shared" si="0"/>
        <v>0</v>
      </c>
    </row>
    <row r="7" spans="1:5">
      <c r="A7" s="53"/>
      <c r="B7" s="53">
        <f>COUNTIFS('SP1～SP5'!$D:$D,$A7,'SP1～SP5'!$E:$E,"完了")</f>
        <v>0</v>
      </c>
      <c r="C7" s="53">
        <f>COUNTIFS('SP6'!$E:$E,$A7,'SP1～SP5'!$E:$E,"完了")</f>
        <v>0</v>
      </c>
      <c r="D7" s="53">
        <f>COUNTIFS(優先度低!$D:$D,$A7,'SP1～SP5'!$E:$E,"完了")</f>
        <v>0</v>
      </c>
      <c r="E7" s="53">
        <f t="shared" si="0"/>
        <v>0</v>
      </c>
    </row>
    <row r="8" spans="1:5">
      <c r="A8" s="53"/>
      <c r="B8" s="53">
        <f>COUNTIFS('SP1～SP5'!$D:$D,$A8,'SP1～SP5'!$E:$E,"完了")</f>
        <v>0</v>
      </c>
      <c r="C8" s="53">
        <f>COUNTIFS('SP6'!$E:$E,$A8,'SP1～SP5'!$E:$E,"完了")</f>
        <v>0</v>
      </c>
      <c r="D8" s="53">
        <f>COUNTIFS(優先度低!$D:$D,$A8,'SP1～SP5'!$E:$E,"完了")</f>
        <v>0</v>
      </c>
      <c r="E8" s="53">
        <f t="shared" si="0"/>
        <v>0</v>
      </c>
    </row>
    <row r="9" spans="1:5">
      <c r="A9" s="53"/>
      <c r="B9" s="53">
        <f>COUNTIFS('SP1～SP5'!$D:$D,$A9,'SP1～SP5'!$E:$E,"完了")</f>
        <v>0</v>
      </c>
      <c r="C9" s="53">
        <f>COUNTIFS('SP6'!$E:$E,$A9,'SP1～SP5'!$E:$E,"完了")</f>
        <v>0</v>
      </c>
      <c r="D9" s="53">
        <f>COUNTIFS(優先度低!$D:$D,$A9,'SP1～SP5'!$E:$E,"完了")</f>
        <v>0</v>
      </c>
      <c r="E9" s="53">
        <f t="shared" si="0"/>
        <v>0</v>
      </c>
    </row>
    <row r="10" spans="1:5">
      <c r="A10" s="53"/>
      <c r="B10" s="53">
        <f>COUNTIFS('SP1～SP5'!$D:$D,$A10,'SP1～SP5'!$E:$E,"完了")</f>
        <v>0</v>
      </c>
      <c r="C10" s="53">
        <f>COUNTIFS('SP6'!$E:$E,$A10,'SP1～SP5'!$E:$E,"完了")</f>
        <v>0</v>
      </c>
      <c r="D10" s="53">
        <f>COUNTIFS(優先度低!$D:$D,$A10,'SP1～SP5'!$E:$E,"完了")</f>
        <v>0</v>
      </c>
      <c r="E10" s="53">
        <f t="shared" si="0"/>
        <v>0</v>
      </c>
    </row>
    <row r="11" spans="1:5">
      <c r="A11" s="53"/>
      <c r="B11" s="53">
        <f>COUNTIFS('SP1～SP5'!$D:$D,$A11,'SP1～SP5'!$E:$E,"完了")</f>
        <v>0</v>
      </c>
      <c r="C11" s="53">
        <f>COUNTIFS('SP6'!$E:$E,$A11,'SP1～SP5'!$E:$E,"完了")</f>
        <v>0</v>
      </c>
      <c r="D11" s="53">
        <f>COUNTIFS(優先度低!$D:$D,$A11,'SP1～SP5'!$E:$E,"完了")</f>
        <v>0</v>
      </c>
      <c r="E11" s="53">
        <f t="shared" si="0"/>
        <v>0</v>
      </c>
    </row>
    <row r="12" spans="1:5">
      <c r="A12" s="53"/>
      <c r="B12" s="53">
        <f>COUNTIFS('SP1～SP5'!$D:$D,$A12,'SP1～SP5'!$E:$E,"完了")</f>
        <v>0</v>
      </c>
      <c r="C12" s="53">
        <f>COUNTIFS('SP6'!$E:$E,$A12,'SP1～SP5'!$E:$E,"完了")</f>
        <v>0</v>
      </c>
      <c r="D12" s="53">
        <f>COUNTIFS(優先度低!$D:$D,$A12,'SP1～SP5'!$E:$E,"完了")</f>
        <v>0</v>
      </c>
      <c r="E12" s="53">
        <f t="shared" si="0"/>
        <v>0</v>
      </c>
    </row>
    <row r="13" spans="1:5">
      <c r="A13" s="53"/>
      <c r="B13" s="53">
        <f>COUNTIFS('SP1～SP5'!$D:$D,$A13,'SP1～SP5'!$E:$E,"完了")</f>
        <v>0</v>
      </c>
      <c r="C13" s="53">
        <f>COUNTIFS('SP6'!$E:$E,$A13,'SP1～SP5'!$E:$E,"完了")</f>
        <v>0</v>
      </c>
      <c r="D13" s="53">
        <f>COUNTIFS(優先度低!$D:$D,$A13,'SP1～SP5'!$E:$E,"完了")</f>
        <v>0</v>
      </c>
      <c r="E13" s="53">
        <f t="shared" si="0"/>
        <v>0</v>
      </c>
    </row>
    <row r="14" spans="1:5">
      <c r="A14" s="53"/>
      <c r="B14" s="53">
        <f>COUNTIFS('SP1～SP5'!$D:$D,$A14,'SP1～SP5'!$E:$E,"完了")</f>
        <v>0</v>
      </c>
      <c r="C14" s="53">
        <f>COUNTIFS('SP6'!$E:$E,$A14,'SP1～SP5'!$E:$E,"完了")</f>
        <v>0</v>
      </c>
      <c r="D14" s="53">
        <f>COUNTIFS(優先度低!$D:$D,$A14,'SP1～SP5'!$E:$E,"完了")</f>
        <v>0</v>
      </c>
      <c r="E14" s="53">
        <f t="shared" si="0"/>
        <v>0</v>
      </c>
    </row>
    <row r="15" spans="1:5">
      <c r="A15" s="53"/>
      <c r="B15" s="53">
        <f>COUNTIFS('SP1～SP5'!$D:$D,$A15,'SP1～SP5'!$E:$E,"完了")</f>
        <v>0</v>
      </c>
      <c r="C15" s="53">
        <f>COUNTIFS('SP6'!$E:$E,$A15,'SP1～SP5'!$E:$E,"完了")</f>
        <v>0</v>
      </c>
      <c r="D15" s="53">
        <f>COUNTIFS(優先度低!$D:$D,$A15,'SP1～SP5'!$E:$E,"完了")</f>
        <v>0</v>
      </c>
      <c r="E15" s="53">
        <f t="shared" si="0"/>
        <v>0</v>
      </c>
    </row>
    <row r="16" spans="1:5">
      <c r="A16" s="53"/>
      <c r="B16" s="53">
        <f>COUNTIFS('SP1～SP5'!$D:$D,$A16,'SP1～SP5'!$E:$E,"完了")</f>
        <v>0</v>
      </c>
      <c r="C16" s="53">
        <f>COUNTIFS('SP6'!$E:$E,$A16,'SP1～SP5'!$E:$E,"完了")</f>
        <v>0</v>
      </c>
      <c r="D16" s="53">
        <f>COUNTIFS(優先度低!$D:$D,$A16,'SP1～SP5'!$E:$E,"完了")</f>
        <v>0</v>
      </c>
      <c r="E16" s="53">
        <f t="shared" si="0"/>
        <v>0</v>
      </c>
    </row>
    <row r="17" spans="1:5">
      <c r="A17" s="53"/>
      <c r="B17" s="53">
        <f>COUNTIFS('SP1～SP5'!$D:$D,$A17,'SP1～SP5'!$E:$E,"完了")</f>
        <v>0</v>
      </c>
      <c r="C17" s="53">
        <f>COUNTIFS('SP6'!$E:$E,$A17,'SP1～SP5'!$E:$E,"完了")</f>
        <v>0</v>
      </c>
      <c r="D17" s="53">
        <f>COUNTIFS(優先度低!$D:$D,$A17,'SP1～SP5'!$E:$E,"完了")</f>
        <v>0</v>
      </c>
      <c r="E17" s="53">
        <f t="shared" si="0"/>
        <v>0</v>
      </c>
    </row>
    <row r="18" spans="1:5">
      <c r="A18" s="51" t="s">
        <v>521</v>
      </c>
      <c r="B18" s="53">
        <f>SUM(B2:B17)</f>
        <v>1</v>
      </c>
      <c r="C18" s="53">
        <f>SUM(C2:C17)</f>
        <v>0</v>
      </c>
      <c r="D18" s="53">
        <f>SUM(D2:D17)</f>
        <v>0</v>
      </c>
      <c r="E18" s="53">
        <f>SUM(E2:E17)</f>
        <v>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baseColWidth="10" defaultColWidth="8.83203125" defaultRowHeight="18"/>
  <cols>
    <col min="1" max="1" width="4.5" style="18" customWidth="1"/>
    <col min="2" max="2" width="23.1640625" style="18" customWidth="1"/>
    <col min="3" max="15" width="7.6640625" style="18" customWidth="1"/>
    <col min="16" max="16384" width="8.83203125" style="18"/>
  </cols>
  <sheetData>
    <row r="1" spans="1:15" ht="27">
      <c r="A1" s="47" t="s">
        <v>531</v>
      </c>
    </row>
    <row r="2" spans="1:15">
      <c r="A2" s="100" t="s">
        <v>530</v>
      </c>
      <c r="B2" s="101"/>
      <c r="C2" s="49">
        <v>44214</v>
      </c>
      <c r="D2" s="49">
        <v>44215</v>
      </c>
      <c r="E2" s="49">
        <v>44216</v>
      </c>
      <c r="F2" s="49">
        <v>44217</v>
      </c>
      <c r="G2" s="49">
        <v>44218</v>
      </c>
      <c r="H2" s="49">
        <v>44221</v>
      </c>
      <c r="I2" s="49">
        <v>44222</v>
      </c>
      <c r="J2" s="49">
        <v>44223</v>
      </c>
      <c r="K2" s="49">
        <v>44224</v>
      </c>
      <c r="L2" s="49">
        <v>44225</v>
      </c>
      <c r="M2" s="49">
        <v>44228</v>
      </c>
      <c r="N2" s="49"/>
      <c r="O2" s="49"/>
    </row>
    <row r="3" spans="1:15">
      <c r="B3" s="24" t="s">
        <v>529</v>
      </c>
      <c r="N3" s="31"/>
      <c r="O3" s="31"/>
    </row>
    <row r="4" spans="1:15">
      <c r="B4" s="31" t="s">
        <v>528</v>
      </c>
      <c r="C4" s="31">
        <v>10</v>
      </c>
      <c r="D4" s="31">
        <v>10</v>
      </c>
      <c r="E4" s="31">
        <v>10</v>
      </c>
      <c r="F4" s="31">
        <v>10</v>
      </c>
      <c r="G4" s="31">
        <v>10</v>
      </c>
      <c r="H4" s="31">
        <v>10</v>
      </c>
      <c r="I4" s="31">
        <v>10</v>
      </c>
      <c r="J4" s="31">
        <v>10</v>
      </c>
      <c r="K4" s="31">
        <v>10</v>
      </c>
      <c r="L4" s="31">
        <v>10</v>
      </c>
      <c r="M4" s="31">
        <v>10</v>
      </c>
      <c r="N4" s="31"/>
      <c r="O4" s="31"/>
    </row>
    <row r="5" spans="1:15" ht="38">
      <c r="B5" s="46" t="s">
        <v>527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96" t="s">
        <v>526</v>
      </c>
      <c r="B7" s="45" t="s">
        <v>525</v>
      </c>
      <c r="C7" s="40">
        <v>72</v>
      </c>
      <c r="D7" s="40">
        <v>65</v>
      </c>
      <c r="E7" s="40">
        <f>17+48</f>
        <v>65</v>
      </c>
      <c r="F7" s="40">
        <v>54</v>
      </c>
      <c r="G7" s="40"/>
      <c r="H7" s="40"/>
      <c r="I7" s="40"/>
      <c r="J7" s="40"/>
      <c r="K7" s="40"/>
      <c r="L7" s="40"/>
      <c r="M7" s="40"/>
      <c r="N7" s="40"/>
      <c r="O7" s="40"/>
    </row>
    <row r="8" spans="1:15">
      <c r="A8" s="96"/>
      <c r="B8" s="45" t="s">
        <v>524</v>
      </c>
      <c r="C8" s="40">
        <v>9</v>
      </c>
      <c r="D8" s="40">
        <v>11</v>
      </c>
      <c r="E8" s="40">
        <v>5</v>
      </c>
      <c r="F8" s="40">
        <v>4</v>
      </c>
      <c r="G8" s="40"/>
      <c r="H8" s="40"/>
      <c r="I8" s="40"/>
      <c r="J8" s="40"/>
      <c r="K8" s="40"/>
      <c r="L8" s="40"/>
      <c r="M8" s="40"/>
      <c r="N8" s="40"/>
      <c r="O8" s="40"/>
    </row>
    <row r="9" spans="1:15">
      <c r="A9" s="96"/>
      <c r="B9" s="45" t="s">
        <v>181</v>
      </c>
      <c r="C9" s="40">
        <v>10</v>
      </c>
      <c r="D9" s="40">
        <v>11</v>
      </c>
      <c r="E9" s="40">
        <v>11</v>
      </c>
      <c r="F9" s="40">
        <v>16</v>
      </c>
      <c r="G9" s="40"/>
      <c r="H9" s="40"/>
      <c r="I9" s="40"/>
      <c r="J9" s="40"/>
      <c r="K9" s="40"/>
      <c r="L9" s="40"/>
      <c r="M9" s="40"/>
      <c r="N9" s="40"/>
      <c r="O9" s="40"/>
    </row>
    <row r="10" spans="1:15">
      <c r="A10" s="96"/>
      <c r="B10" s="45" t="s">
        <v>523</v>
      </c>
      <c r="C10" s="40">
        <v>37</v>
      </c>
      <c r="D10" s="40">
        <v>46</v>
      </c>
      <c r="E10" s="40">
        <v>64</v>
      </c>
      <c r="F10" s="40">
        <v>79</v>
      </c>
      <c r="G10" s="40"/>
      <c r="H10" s="40"/>
      <c r="I10" s="40"/>
      <c r="J10" s="40"/>
      <c r="K10" s="40"/>
      <c r="L10" s="40"/>
      <c r="M10" s="40"/>
      <c r="N10" s="40"/>
      <c r="O10" s="40"/>
    </row>
    <row r="11" spans="1:15">
      <c r="A11" s="97" t="s">
        <v>522</v>
      </c>
      <c r="B11" s="44" t="s">
        <v>520</v>
      </c>
      <c r="C11" s="40">
        <f>SUM(C7:C9)</f>
        <v>91</v>
      </c>
      <c r="D11" s="40">
        <f>SUM(D7:D9)</f>
        <v>87</v>
      </c>
      <c r="E11" s="40">
        <f>SUM(E7:E9)</f>
        <v>81</v>
      </c>
      <c r="F11" s="40">
        <f>SUM(F7:F9)</f>
        <v>74</v>
      </c>
      <c r="G11" s="40"/>
      <c r="H11" s="40"/>
      <c r="I11" s="40"/>
      <c r="J11" s="40"/>
      <c r="K11" s="40"/>
      <c r="L11" s="40"/>
      <c r="M11" s="40"/>
      <c r="N11" s="40"/>
      <c r="O11" s="40"/>
    </row>
    <row r="12" spans="1:15">
      <c r="A12" s="98"/>
      <c r="B12" s="44" t="s">
        <v>519</v>
      </c>
      <c r="C12" s="40">
        <f>SUM(C7:C10)</f>
        <v>128</v>
      </c>
      <c r="D12" s="40">
        <f>SUM(D7:D10)</f>
        <v>133</v>
      </c>
      <c r="E12" s="40">
        <f>SUM(E7:E10)</f>
        <v>145</v>
      </c>
      <c r="F12" s="40">
        <f>SUM(F7:F10)</f>
        <v>153</v>
      </c>
      <c r="G12" s="40"/>
      <c r="H12" s="40"/>
      <c r="I12" s="40"/>
      <c r="J12" s="40"/>
      <c r="K12" s="40"/>
      <c r="L12" s="40"/>
      <c r="M12" s="40"/>
      <c r="N12" s="40"/>
      <c r="O12" s="40"/>
    </row>
    <row r="13" spans="1:15">
      <c r="A13" s="99" t="s">
        <v>518</v>
      </c>
      <c r="B13" s="42" t="s">
        <v>517</v>
      </c>
      <c r="C13" s="40" t="s">
        <v>514</v>
      </c>
      <c r="D13" s="43">
        <f>D12-C12</f>
        <v>5</v>
      </c>
      <c r="E13" s="43">
        <f>E12-D12</f>
        <v>12</v>
      </c>
      <c r="F13" s="43">
        <f>F12-E12</f>
        <v>8</v>
      </c>
      <c r="G13" s="40"/>
      <c r="H13" s="40"/>
      <c r="I13" s="40"/>
      <c r="J13" s="40"/>
      <c r="K13" s="40"/>
      <c r="L13" s="40"/>
      <c r="M13" s="40"/>
      <c r="N13" s="40"/>
      <c r="O13" s="40"/>
    </row>
    <row r="14" spans="1:15">
      <c r="A14" s="99"/>
      <c r="B14" s="42" t="s">
        <v>516</v>
      </c>
      <c r="C14" s="40" t="s">
        <v>514</v>
      </c>
      <c r="D14" s="41">
        <f>D10-C10</f>
        <v>9</v>
      </c>
      <c r="E14" s="41">
        <f>E10-D10</f>
        <v>18</v>
      </c>
      <c r="F14" s="41">
        <f>F10-E10</f>
        <v>15</v>
      </c>
      <c r="G14" s="40"/>
      <c r="H14" s="40"/>
      <c r="I14" s="40"/>
      <c r="J14" s="40"/>
      <c r="K14" s="40"/>
      <c r="L14" s="40"/>
      <c r="M14" s="40"/>
      <c r="N14" s="40"/>
      <c r="O14" s="40"/>
    </row>
    <row r="15" spans="1:15">
      <c r="A15" s="99"/>
      <c r="B15" s="39" t="s">
        <v>515</v>
      </c>
      <c r="C15" s="31" t="s">
        <v>514</v>
      </c>
      <c r="D15" s="38">
        <f>D13-D14</f>
        <v>-4</v>
      </c>
      <c r="E15" s="38">
        <f>E13-E14</f>
        <v>-6</v>
      </c>
      <c r="F15" s="38">
        <f>F13-F14</f>
        <v>-7</v>
      </c>
      <c r="G15" s="31"/>
      <c r="H15" s="31"/>
      <c r="I15" s="31"/>
      <c r="J15" s="31"/>
      <c r="K15" s="31"/>
      <c r="L15" s="31"/>
      <c r="M15" s="31"/>
      <c r="N15" s="31"/>
      <c r="O15" s="31"/>
    </row>
    <row r="17" spans="1:15" ht="38">
      <c r="B17" s="37" t="s">
        <v>513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512</v>
      </c>
      <c r="C18" s="31"/>
      <c r="D18" s="48">
        <f>WORKDAY(D$2, D$17)</f>
        <v>44244</v>
      </c>
      <c r="E18" s="48">
        <f>WORKDAY(E$2, E$17)</f>
        <v>44238</v>
      </c>
      <c r="F18" s="48">
        <f>WORKDAY(F$2, F$17)</f>
        <v>44236</v>
      </c>
      <c r="G18" s="31"/>
      <c r="H18" s="31"/>
      <c r="I18" s="31"/>
      <c r="J18" s="31"/>
      <c r="K18" s="31"/>
      <c r="L18" s="31"/>
      <c r="M18" s="31"/>
      <c r="N18" s="31"/>
      <c r="O18" s="31"/>
    </row>
    <row r="19" spans="1:15" ht="19" thickBot="1">
      <c r="F19" s="24"/>
    </row>
    <row r="20" spans="1:15" ht="19" hidden="1" thickBot="1">
      <c r="B20" s="24" t="s">
        <v>511</v>
      </c>
    </row>
    <row r="21" spans="1:15" ht="19" hidden="1" thickBot="1">
      <c r="B21" s="34" t="s">
        <v>510</v>
      </c>
      <c r="C21" s="31"/>
      <c r="D21" s="31">
        <f>D15-D4</f>
        <v>-14</v>
      </c>
      <c r="E21" s="31">
        <f>E15-E4</f>
        <v>-16</v>
      </c>
      <c r="F21" s="31">
        <f>F15-F4</f>
        <v>-17</v>
      </c>
      <c r="G21" s="31"/>
      <c r="H21" s="31"/>
      <c r="I21" s="31"/>
      <c r="J21" s="31"/>
      <c r="K21" s="31"/>
      <c r="L21" s="31"/>
      <c r="M21" s="31"/>
      <c r="N21" s="31"/>
      <c r="O21" s="31"/>
    </row>
    <row r="22" spans="1:15" ht="39" hidden="1" thickBot="1">
      <c r="B22" s="33" t="s">
        <v>509</v>
      </c>
      <c r="C22" s="31"/>
      <c r="D22" s="31">
        <v>8</v>
      </c>
      <c r="E22" s="31">
        <v>7</v>
      </c>
      <c r="F22" s="31">
        <v>6</v>
      </c>
      <c r="G22" s="31"/>
      <c r="H22" s="31"/>
      <c r="I22" s="31"/>
      <c r="J22" s="31"/>
      <c r="K22" s="31"/>
      <c r="L22" s="31"/>
      <c r="M22" s="31"/>
      <c r="N22" s="31"/>
      <c r="O22" s="31"/>
    </row>
    <row r="23" spans="1:15" ht="19" hidden="1" thickBot="1">
      <c r="B23" s="32" t="s">
        <v>508</v>
      </c>
      <c r="C23" s="31"/>
      <c r="D23" s="31">
        <v>5</v>
      </c>
      <c r="E23" s="31">
        <v>5</v>
      </c>
      <c r="F23" s="31">
        <v>5</v>
      </c>
      <c r="G23" s="31"/>
      <c r="H23" s="31"/>
      <c r="I23" s="31"/>
      <c r="J23" s="31"/>
      <c r="K23" s="31"/>
      <c r="L23" s="31"/>
      <c r="M23" s="31"/>
      <c r="N23" s="31"/>
      <c r="O23" s="31"/>
    </row>
    <row r="24" spans="1:15" ht="19" hidden="1" thickBot="1">
      <c r="B24" s="30" t="s">
        <v>507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506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2"/>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tabColor theme="9" tint="0.79998168889431442"/>
  </sheetPr>
  <dimension ref="A1:V1000"/>
  <sheetViews>
    <sheetView showGridLines="0" zoomScale="72" zoomScaleNormal="55" workbookViewId="0">
      <selection activeCell="D8" sqref="D8"/>
    </sheetView>
  </sheetViews>
  <sheetFormatPr baseColWidth="10" defaultColWidth="8.83203125" defaultRowHeight="18"/>
  <cols>
    <col min="1" max="1" width="20.6640625" customWidth="1"/>
    <col min="2" max="2" width="34.6640625" bestFit="1" customWidth="1"/>
    <col min="3" max="4" width="9.1640625" bestFit="1"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82</v>
      </c>
      <c r="C1" s="102"/>
      <c r="D1" s="52"/>
    </row>
    <row r="2" spans="1:22">
      <c r="A2" s="10" t="s">
        <v>2</v>
      </c>
      <c r="B2" s="102">
        <f>VLOOKUP(B1,親課題リスト!D4:E6,2)</f>
        <v>10597942</v>
      </c>
      <c r="C2" s="102"/>
      <c r="D2" s="52"/>
    </row>
    <row r="3" spans="1:22">
      <c r="A3" s="12" t="s">
        <v>659</v>
      </c>
      <c r="B3" s="12"/>
    </row>
    <row r="4" spans="1:22" ht="6.75" customHeight="1"/>
    <row r="5" spans="1:22" ht="40.5" customHeight="1">
      <c r="A5" s="17" t="s">
        <v>11</v>
      </c>
      <c r="B5" s="17" t="s">
        <v>3</v>
      </c>
      <c r="C5" s="17" t="s">
        <v>12</v>
      </c>
      <c r="D5" s="16" t="s">
        <v>535</v>
      </c>
      <c r="E5" s="17" t="s">
        <v>13</v>
      </c>
      <c r="F5" s="17" t="s">
        <v>14</v>
      </c>
      <c r="G5" s="17" t="s">
        <v>15</v>
      </c>
      <c r="H5" s="16" t="s">
        <v>19</v>
      </c>
      <c r="I5" s="17" t="s">
        <v>16</v>
      </c>
      <c r="J5" s="16" t="s">
        <v>17</v>
      </c>
      <c r="K5" s="16" t="s">
        <v>18</v>
      </c>
      <c r="L5" s="16" t="s">
        <v>25</v>
      </c>
    </row>
    <row r="6" spans="1:22" ht="102">
      <c r="A6" s="13" t="s">
        <v>556</v>
      </c>
      <c r="B6" s="3" t="s">
        <v>660</v>
      </c>
      <c r="C6" s="3" t="s">
        <v>90</v>
      </c>
      <c r="D6" s="3"/>
      <c r="E6" s="3" t="s">
        <v>20</v>
      </c>
      <c r="F6" s="14">
        <v>44221</v>
      </c>
      <c r="G6" s="3"/>
      <c r="H6" s="3" t="s">
        <v>122</v>
      </c>
      <c r="I6" s="15" t="s">
        <v>661</v>
      </c>
      <c r="J6" s="3"/>
      <c r="K6" s="3"/>
      <c r="L6" s="3"/>
      <c r="M6" s="1"/>
      <c r="N6" s="1"/>
      <c r="O6" s="1"/>
      <c r="P6" s="1"/>
      <c r="Q6" s="1"/>
      <c r="R6" s="1"/>
      <c r="S6" s="1"/>
      <c r="T6" s="1"/>
      <c r="U6" s="1"/>
      <c r="V6" s="1"/>
    </row>
    <row r="7" spans="1:22" ht="51">
      <c r="A7" s="13" t="s">
        <v>89</v>
      </c>
      <c r="B7" s="3" t="s">
        <v>662</v>
      </c>
      <c r="C7" s="3" t="s">
        <v>90</v>
      </c>
      <c r="D7" s="3"/>
      <c r="E7" s="3" t="s">
        <v>20</v>
      </c>
      <c r="F7" s="14">
        <v>44218</v>
      </c>
      <c r="G7" s="14">
        <v>44222</v>
      </c>
      <c r="H7" s="3" t="s">
        <v>22</v>
      </c>
      <c r="I7" s="15" t="s">
        <v>663</v>
      </c>
      <c r="J7" s="3" t="s">
        <v>664</v>
      </c>
      <c r="K7" s="3"/>
      <c r="L7" s="3"/>
      <c r="M7" s="1"/>
      <c r="N7" s="1"/>
      <c r="O7" s="1"/>
      <c r="P7" s="1"/>
      <c r="Q7" s="1"/>
      <c r="R7" s="1"/>
      <c r="S7" s="1"/>
      <c r="T7" s="1"/>
      <c r="U7" s="1"/>
      <c r="V7" s="1"/>
    </row>
    <row r="8" spans="1:22" ht="136">
      <c r="A8" s="13" t="s">
        <v>91</v>
      </c>
      <c r="B8" s="3" t="s">
        <v>665</v>
      </c>
      <c r="C8" s="3" t="s">
        <v>666</v>
      </c>
      <c r="D8" s="3"/>
      <c r="E8" s="3" t="s">
        <v>181</v>
      </c>
      <c r="F8" s="14">
        <v>44218</v>
      </c>
      <c r="G8" s="3"/>
      <c r="H8" s="3" t="s">
        <v>22</v>
      </c>
      <c r="I8" s="15" t="s">
        <v>667</v>
      </c>
      <c r="J8" s="3" t="s">
        <v>668</v>
      </c>
      <c r="K8" s="3" t="s">
        <v>557</v>
      </c>
      <c r="L8" s="3" t="s">
        <v>376</v>
      </c>
      <c r="M8" s="1"/>
      <c r="N8" s="1"/>
      <c r="O8" s="1"/>
      <c r="P8" s="1"/>
      <c r="Q8" s="1"/>
      <c r="R8" s="1"/>
      <c r="S8" s="1"/>
      <c r="T8" s="1"/>
      <c r="U8" s="1"/>
      <c r="V8" s="1"/>
    </row>
    <row r="9" spans="1:22" ht="102">
      <c r="A9" s="13" t="s">
        <v>93</v>
      </c>
      <c r="B9" s="3" t="s">
        <v>558</v>
      </c>
      <c r="C9" s="3" t="s">
        <v>559</v>
      </c>
      <c r="D9" s="3"/>
      <c r="E9" s="3" t="s">
        <v>20</v>
      </c>
      <c r="F9" s="14">
        <v>44217</v>
      </c>
      <c r="G9" s="14">
        <v>44218</v>
      </c>
      <c r="H9" s="3" t="s">
        <v>22</v>
      </c>
      <c r="I9" s="15" t="s">
        <v>560</v>
      </c>
      <c r="J9" s="3" t="s">
        <v>22</v>
      </c>
      <c r="K9" s="3"/>
      <c r="L9" s="3"/>
      <c r="M9" s="1"/>
      <c r="N9" s="1"/>
      <c r="O9" s="1"/>
      <c r="P9" s="1"/>
      <c r="Q9" s="1"/>
      <c r="R9" s="1"/>
      <c r="S9" s="1"/>
      <c r="T9" s="1"/>
      <c r="U9" s="1"/>
      <c r="V9" s="1"/>
    </row>
    <row r="10" spans="1:22" ht="340">
      <c r="A10" s="13" t="s">
        <v>94</v>
      </c>
      <c r="B10" s="3" t="s">
        <v>95</v>
      </c>
      <c r="C10" s="3" t="s">
        <v>64</v>
      </c>
      <c r="D10" s="3" t="s">
        <v>555</v>
      </c>
      <c r="E10" s="3" t="s">
        <v>21</v>
      </c>
      <c r="F10" s="14">
        <v>44217</v>
      </c>
      <c r="G10" s="14">
        <v>44217</v>
      </c>
      <c r="H10" s="3" t="s">
        <v>22</v>
      </c>
      <c r="I10" s="15" t="s">
        <v>96</v>
      </c>
      <c r="J10" s="3"/>
      <c r="K10" s="3"/>
      <c r="L10" s="3"/>
      <c r="M10" s="1"/>
      <c r="N10" s="1"/>
      <c r="O10" s="1"/>
      <c r="P10" s="1"/>
      <c r="Q10" s="1"/>
      <c r="R10" s="1"/>
      <c r="S10" s="1"/>
      <c r="T10" s="1"/>
      <c r="U10" s="1"/>
      <c r="V10" s="1"/>
    </row>
    <row r="11" spans="1:22" ht="187">
      <c r="A11" s="13" t="s">
        <v>97</v>
      </c>
      <c r="B11" s="3" t="s">
        <v>98</v>
      </c>
      <c r="C11" s="3" t="s">
        <v>64</v>
      </c>
      <c r="D11" s="3"/>
      <c r="E11" s="3" t="s">
        <v>21</v>
      </c>
      <c r="F11" s="14">
        <v>44217</v>
      </c>
      <c r="G11" s="14">
        <v>44217</v>
      </c>
      <c r="H11" s="3" t="s">
        <v>22</v>
      </c>
      <c r="I11" s="15" t="s">
        <v>99</v>
      </c>
      <c r="J11" s="3"/>
      <c r="K11" s="3"/>
      <c r="L11" s="3" t="s">
        <v>100</v>
      </c>
      <c r="M11" s="1"/>
      <c r="N11" s="1"/>
      <c r="O11" s="1"/>
      <c r="P11" s="1"/>
      <c r="Q11" s="1"/>
      <c r="R11" s="1"/>
      <c r="S11" s="1"/>
      <c r="T11" s="1"/>
      <c r="U11" s="1"/>
      <c r="V11" s="1"/>
    </row>
    <row r="12" spans="1:22" ht="119">
      <c r="A12" s="13" t="s">
        <v>101</v>
      </c>
      <c r="B12" s="3" t="s">
        <v>669</v>
      </c>
      <c r="C12" s="3" t="s">
        <v>64</v>
      </c>
      <c r="D12" s="3"/>
      <c r="E12" s="3" t="s">
        <v>21</v>
      </c>
      <c r="F12" s="14">
        <v>44217</v>
      </c>
      <c r="G12" s="14">
        <v>44217</v>
      </c>
      <c r="H12" s="3" t="s">
        <v>22</v>
      </c>
      <c r="I12" s="15" t="s">
        <v>670</v>
      </c>
      <c r="J12" s="3"/>
      <c r="K12" s="3"/>
      <c r="L12" s="3"/>
      <c r="M12" s="1"/>
      <c r="N12" s="1"/>
      <c r="O12" s="1"/>
      <c r="P12" s="1"/>
      <c r="Q12" s="1"/>
      <c r="R12" s="1"/>
      <c r="S12" s="1"/>
      <c r="T12" s="1"/>
      <c r="U12" s="1"/>
      <c r="V12" s="1"/>
    </row>
    <row r="13" spans="1:22" ht="187">
      <c r="A13" s="13" t="s">
        <v>102</v>
      </c>
      <c r="B13" s="3" t="s">
        <v>671</v>
      </c>
      <c r="C13" s="3" t="s">
        <v>90</v>
      </c>
      <c r="D13" s="3"/>
      <c r="E13" s="3" t="s">
        <v>20</v>
      </c>
      <c r="F13" s="14">
        <v>44217</v>
      </c>
      <c r="G13" s="3"/>
      <c r="H13" s="3" t="s">
        <v>22</v>
      </c>
      <c r="I13" s="15" t="s">
        <v>672</v>
      </c>
      <c r="J13" s="3"/>
      <c r="K13" s="3"/>
      <c r="L13" s="3"/>
      <c r="M13" s="1"/>
      <c r="N13" s="1"/>
      <c r="O13" s="1"/>
      <c r="P13" s="1"/>
      <c r="Q13" s="1"/>
      <c r="R13" s="1"/>
      <c r="S13" s="1"/>
      <c r="T13" s="1"/>
      <c r="U13" s="1"/>
      <c r="V13" s="1"/>
    </row>
    <row r="14" spans="1:22" ht="409.6">
      <c r="A14" s="13" t="s">
        <v>103</v>
      </c>
      <c r="B14" s="3" t="s">
        <v>104</v>
      </c>
      <c r="C14" s="3" t="s">
        <v>105</v>
      </c>
      <c r="D14" s="3"/>
      <c r="E14" s="3" t="s">
        <v>20</v>
      </c>
      <c r="F14" s="14">
        <v>44216</v>
      </c>
      <c r="G14" s="3"/>
      <c r="H14" s="3"/>
      <c r="I14" s="15" t="s">
        <v>673</v>
      </c>
      <c r="J14" s="3"/>
      <c r="K14" s="15" t="s">
        <v>674</v>
      </c>
      <c r="L14" s="3"/>
      <c r="M14" s="1"/>
      <c r="N14" s="1"/>
      <c r="O14" s="1"/>
      <c r="P14" s="1"/>
      <c r="Q14" s="1"/>
      <c r="R14" s="1"/>
      <c r="S14" s="1"/>
      <c r="T14" s="1"/>
      <c r="U14" s="1"/>
      <c r="V14" s="1"/>
    </row>
    <row r="15" spans="1:22" ht="136">
      <c r="A15" s="13" t="s">
        <v>106</v>
      </c>
      <c r="B15" s="3" t="s">
        <v>561</v>
      </c>
      <c r="C15" s="3" t="s">
        <v>559</v>
      </c>
      <c r="D15" s="3"/>
      <c r="E15" s="3" t="s">
        <v>20</v>
      </c>
      <c r="F15" s="14">
        <v>44216</v>
      </c>
      <c r="G15" s="3"/>
      <c r="H15" s="3" t="s">
        <v>562</v>
      </c>
      <c r="I15" s="15" t="s">
        <v>563</v>
      </c>
      <c r="J15" s="3"/>
      <c r="K15" s="15" t="s">
        <v>564</v>
      </c>
      <c r="L15" s="15" t="s">
        <v>565</v>
      </c>
      <c r="M15" s="1"/>
      <c r="N15" s="1"/>
      <c r="O15" s="1"/>
      <c r="P15" s="1"/>
      <c r="Q15" s="1"/>
      <c r="R15" s="1"/>
      <c r="S15" s="1"/>
      <c r="T15" s="1"/>
      <c r="U15" s="1"/>
      <c r="V15" s="1"/>
    </row>
    <row r="16" spans="1:22" ht="102">
      <c r="A16" s="13" t="s">
        <v>107</v>
      </c>
      <c r="B16" s="3" t="s">
        <v>675</v>
      </c>
      <c r="C16" s="3" t="s">
        <v>64</v>
      </c>
      <c r="D16" s="3"/>
      <c r="E16" s="3" t="s">
        <v>21</v>
      </c>
      <c r="F16" s="14">
        <v>44216</v>
      </c>
      <c r="G16" s="14">
        <v>44216</v>
      </c>
      <c r="H16" s="3" t="s">
        <v>22</v>
      </c>
      <c r="I16" s="15" t="s">
        <v>676</v>
      </c>
      <c r="J16" s="3" t="s">
        <v>108</v>
      </c>
      <c r="K16" s="15" t="s">
        <v>109</v>
      </c>
      <c r="L16" s="3" t="s">
        <v>110</v>
      </c>
      <c r="M16" s="1"/>
      <c r="N16" s="1"/>
      <c r="O16" s="1"/>
      <c r="P16" s="1"/>
      <c r="Q16" s="1"/>
      <c r="R16" s="1"/>
      <c r="S16" s="1"/>
      <c r="T16" s="1"/>
      <c r="U16" s="1"/>
      <c r="V16" s="1"/>
    </row>
    <row r="17" spans="1:22" ht="153">
      <c r="A17" s="13" t="s">
        <v>111</v>
      </c>
      <c r="B17" s="3" t="s">
        <v>677</v>
      </c>
      <c r="C17" s="3" t="s">
        <v>566</v>
      </c>
      <c r="D17" s="3"/>
      <c r="E17" s="3" t="s">
        <v>20</v>
      </c>
      <c r="F17" s="14">
        <v>44215</v>
      </c>
      <c r="G17" s="3"/>
      <c r="H17" s="3" t="s">
        <v>112</v>
      </c>
      <c r="I17" s="15" t="s">
        <v>678</v>
      </c>
      <c r="J17" s="3"/>
      <c r="K17" s="3"/>
      <c r="L17" s="3" t="s">
        <v>100</v>
      </c>
      <c r="M17" s="1"/>
      <c r="N17" s="1"/>
      <c r="O17" s="1"/>
      <c r="P17" s="1"/>
      <c r="Q17" s="1"/>
      <c r="R17" s="1"/>
      <c r="S17" s="1"/>
      <c r="T17" s="1"/>
      <c r="U17" s="1"/>
      <c r="V17" s="1"/>
    </row>
    <row r="18" spans="1:22" ht="119">
      <c r="A18" s="13" t="s">
        <v>113</v>
      </c>
      <c r="B18" s="3" t="s">
        <v>567</v>
      </c>
      <c r="C18" s="3" t="s">
        <v>566</v>
      </c>
      <c r="D18" s="3"/>
      <c r="E18" s="3" t="s">
        <v>20</v>
      </c>
      <c r="F18" s="14">
        <v>44215</v>
      </c>
      <c r="G18" s="3"/>
      <c r="H18" s="3" t="s">
        <v>112</v>
      </c>
      <c r="I18" s="15" t="s">
        <v>568</v>
      </c>
      <c r="J18" s="3"/>
      <c r="K18" s="3"/>
      <c r="L18" s="3" t="s">
        <v>100</v>
      </c>
      <c r="M18" s="1"/>
      <c r="N18" s="1"/>
      <c r="O18" s="1"/>
      <c r="P18" s="1"/>
      <c r="Q18" s="1"/>
      <c r="R18" s="1"/>
      <c r="S18" s="1"/>
      <c r="T18" s="1"/>
      <c r="U18" s="1"/>
      <c r="V18" s="1"/>
    </row>
    <row r="19" spans="1:22" ht="51">
      <c r="A19" s="13" t="s">
        <v>114</v>
      </c>
      <c r="B19" s="3" t="s">
        <v>115</v>
      </c>
      <c r="C19" s="3" t="s">
        <v>105</v>
      </c>
      <c r="D19" s="3"/>
      <c r="E19" s="3" t="s">
        <v>21</v>
      </c>
      <c r="F19" s="14">
        <v>44215</v>
      </c>
      <c r="G19" s="14">
        <v>44217</v>
      </c>
      <c r="H19" s="3" t="s">
        <v>22</v>
      </c>
      <c r="I19" s="3" t="s">
        <v>116</v>
      </c>
      <c r="J19" s="15" t="s">
        <v>117</v>
      </c>
      <c r="K19" s="3" t="s">
        <v>118</v>
      </c>
      <c r="L19" s="3" t="s">
        <v>119</v>
      </c>
      <c r="M19" s="1"/>
      <c r="N19" s="1"/>
      <c r="O19" s="1"/>
      <c r="P19" s="1"/>
      <c r="Q19" s="1"/>
      <c r="R19" s="1"/>
      <c r="S19" s="1"/>
      <c r="T19" s="1"/>
      <c r="U19" s="1"/>
      <c r="V19" s="1"/>
    </row>
    <row r="20" spans="1:22" ht="34">
      <c r="A20" s="13" t="s">
        <v>120</v>
      </c>
      <c r="B20" s="3" t="s">
        <v>121</v>
      </c>
      <c r="C20" s="3" t="s">
        <v>53</v>
      </c>
      <c r="D20" s="3"/>
      <c r="E20" s="3" t="s">
        <v>21</v>
      </c>
      <c r="F20" s="14">
        <v>44215</v>
      </c>
      <c r="G20" s="14">
        <v>44215</v>
      </c>
      <c r="H20" s="3" t="s">
        <v>122</v>
      </c>
      <c r="I20" s="3" t="s">
        <v>123</v>
      </c>
      <c r="J20" s="3" t="s">
        <v>124</v>
      </c>
      <c r="K20" s="15" t="s">
        <v>125</v>
      </c>
      <c r="L20" s="3" t="s">
        <v>126</v>
      </c>
      <c r="M20" s="1"/>
      <c r="N20" s="1"/>
      <c r="O20" s="1"/>
      <c r="P20" s="1"/>
      <c r="Q20" s="1"/>
      <c r="R20" s="1"/>
      <c r="S20" s="1"/>
      <c r="T20" s="1"/>
      <c r="U20" s="1"/>
      <c r="V20" s="1"/>
    </row>
    <row r="21" spans="1:22" ht="119">
      <c r="A21" s="13" t="s">
        <v>127</v>
      </c>
      <c r="B21" s="3" t="s">
        <v>128</v>
      </c>
      <c r="C21" s="3" t="s">
        <v>64</v>
      </c>
      <c r="D21" s="3"/>
      <c r="E21" s="3" t="s">
        <v>21</v>
      </c>
      <c r="F21" s="14">
        <v>44214</v>
      </c>
      <c r="G21" s="14">
        <v>44217</v>
      </c>
      <c r="H21" s="3" t="s">
        <v>22</v>
      </c>
      <c r="I21" s="15" t="s">
        <v>129</v>
      </c>
      <c r="J21" s="3"/>
      <c r="K21" s="3"/>
      <c r="L21" s="3" t="s">
        <v>100</v>
      </c>
      <c r="M21" s="1"/>
      <c r="N21" s="1"/>
      <c r="O21" s="1"/>
      <c r="P21" s="1"/>
      <c r="Q21" s="1"/>
      <c r="R21" s="1"/>
      <c r="S21" s="1"/>
      <c r="T21" s="1"/>
      <c r="U21" s="1"/>
      <c r="V21" s="1"/>
    </row>
    <row r="22" spans="1:22" ht="51">
      <c r="A22" s="13" t="s">
        <v>130</v>
      </c>
      <c r="B22" s="3" t="s">
        <v>679</v>
      </c>
      <c r="C22" s="3" t="s">
        <v>64</v>
      </c>
      <c r="D22" s="3"/>
      <c r="E22" s="3" t="s">
        <v>21</v>
      </c>
      <c r="F22" s="14">
        <v>44214</v>
      </c>
      <c r="G22" s="14">
        <v>44217</v>
      </c>
      <c r="H22" s="3" t="s">
        <v>22</v>
      </c>
      <c r="I22" s="15" t="s">
        <v>680</v>
      </c>
      <c r="J22" s="3"/>
      <c r="K22" s="3"/>
      <c r="L22" s="3"/>
      <c r="M22" s="1"/>
      <c r="N22" s="1"/>
      <c r="O22" s="1"/>
      <c r="P22" s="1"/>
      <c r="Q22" s="1"/>
      <c r="R22" s="1"/>
      <c r="S22" s="1"/>
      <c r="T22" s="1"/>
      <c r="U22" s="1"/>
      <c r="V22" s="1"/>
    </row>
    <row r="23" spans="1:22" ht="136">
      <c r="A23" s="13" t="s">
        <v>131</v>
      </c>
      <c r="B23" s="3" t="s">
        <v>569</v>
      </c>
      <c r="C23" s="3" t="s">
        <v>566</v>
      </c>
      <c r="D23" s="3"/>
      <c r="E23" s="3" t="s">
        <v>20</v>
      </c>
      <c r="F23" s="14">
        <v>44214</v>
      </c>
      <c r="G23" s="3"/>
      <c r="H23" s="3" t="s">
        <v>22</v>
      </c>
      <c r="I23" s="15" t="s">
        <v>570</v>
      </c>
      <c r="J23" s="3"/>
      <c r="K23" s="3"/>
      <c r="L23" s="3" t="s">
        <v>100</v>
      </c>
      <c r="M23" s="1"/>
      <c r="N23" s="1"/>
      <c r="O23" s="1"/>
      <c r="P23" s="1"/>
      <c r="Q23" s="1"/>
      <c r="R23" s="1"/>
      <c r="S23" s="1"/>
      <c r="T23" s="1"/>
      <c r="U23" s="1"/>
      <c r="V23" s="1"/>
    </row>
    <row r="24" spans="1:22" ht="187">
      <c r="A24" s="13" t="s">
        <v>132</v>
      </c>
      <c r="B24" s="3" t="s">
        <v>681</v>
      </c>
      <c r="C24" s="3" t="s">
        <v>64</v>
      </c>
      <c r="D24" s="3"/>
      <c r="E24" s="3" t="s">
        <v>21</v>
      </c>
      <c r="F24" s="14">
        <v>44214</v>
      </c>
      <c r="G24" s="14">
        <v>44217</v>
      </c>
      <c r="H24" s="3" t="s">
        <v>22</v>
      </c>
      <c r="I24" s="15" t="s">
        <v>682</v>
      </c>
      <c r="J24" s="3" t="s">
        <v>133</v>
      </c>
      <c r="K24" s="3" t="s">
        <v>134</v>
      </c>
      <c r="L24" s="3"/>
      <c r="M24" s="1"/>
      <c r="N24" s="1"/>
      <c r="O24" s="1"/>
      <c r="P24" s="1"/>
      <c r="Q24" s="1"/>
      <c r="R24" s="1"/>
      <c r="S24" s="1"/>
      <c r="T24" s="1"/>
      <c r="U24" s="1"/>
      <c r="V24" s="1"/>
    </row>
    <row r="25" spans="1:22" ht="102">
      <c r="A25" s="13" t="s">
        <v>135</v>
      </c>
      <c r="B25" s="3" t="s">
        <v>571</v>
      </c>
      <c r="C25" s="3" t="s">
        <v>90</v>
      </c>
      <c r="D25" s="3"/>
      <c r="E25" s="3" t="s">
        <v>20</v>
      </c>
      <c r="F25" s="14">
        <v>44214</v>
      </c>
      <c r="G25" s="3"/>
      <c r="H25" s="3" t="s">
        <v>112</v>
      </c>
      <c r="I25" s="15" t="s">
        <v>572</v>
      </c>
      <c r="J25" s="3"/>
      <c r="K25" s="3"/>
      <c r="L25" s="3" t="s">
        <v>100</v>
      </c>
      <c r="M25" s="1"/>
      <c r="N25" s="1"/>
      <c r="O25" s="1"/>
      <c r="P25" s="1"/>
      <c r="Q25" s="1"/>
      <c r="R25" s="1"/>
      <c r="S25" s="1"/>
      <c r="T25" s="1"/>
      <c r="U25" s="1"/>
      <c r="V25" s="1"/>
    </row>
    <row r="26" spans="1:22" ht="272">
      <c r="A26" s="13" t="s">
        <v>136</v>
      </c>
      <c r="B26" s="3" t="s">
        <v>683</v>
      </c>
      <c r="C26" s="3" t="s">
        <v>64</v>
      </c>
      <c r="D26" s="3"/>
      <c r="E26" s="3" t="s">
        <v>21</v>
      </c>
      <c r="F26" s="14">
        <v>44214</v>
      </c>
      <c r="G26" s="14">
        <v>44217</v>
      </c>
      <c r="H26" s="3" t="s">
        <v>22</v>
      </c>
      <c r="I26" s="15" t="s">
        <v>684</v>
      </c>
      <c r="J26" s="3"/>
      <c r="K26" s="3"/>
      <c r="L26" s="3"/>
      <c r="M26" s="1"/>
      <c r="N26" s="1"/>
      <c r="O26" s="1"/>
      <c r="P26" s="1"/>
      <c r="Q26" s="1"/>
      <c r="R26" s="1"/>
      <c r="S26" s="1"/>
      <c r="T26" s="1"/>
      <c r="U26" s="1"/>
      <c r="V26" s="1"/>
    </row>
    <row r="27" spans="1:22" ht="102">
      <c r="A27" s="13" t="s">
        <v>137</v>
      </c>
      <c r="B27" s="3" t="s">
        <v>685</v>
      </c>
      <c r="C27" s="3" t="s">
        <v>90</v>
      </c>
      <c r="D27" s="3"/>
      <c r="E27" s="3" t="s">
        <v>20</v>
      </c>
      <c r="F27" s="14">
        <v>44214</v>
      </c>
      <c r="G27" s="3"/>
      <c r="H27" s="3" t="s">
        <v>22</v>
      </c>
      <c r="I27" s="15" t="s">
        <v>686</v>
      </c>
      <c r="J27" s="3"/>
      <c r="K27" s="3"/>
      <c r="L27" s="3"/>
      <c r="M27" s="1"/>
      <c r="N27" s="1"/>
      <c r="O27" s="1"/>
      <c r="P27" s="1"/>
      <c r="Q27" s="1"/>
      <c r="R27" s="1"/>
      <c r="S27" s="1"/>
      <c r="T27" s="1"/>
      <c r="U27" s="1"/>
      <c r="V27" s="1"/>
    </row>
    <row r="28" spans="1:22" ht="187">
      <c r="A28" s="13" t="s">
        <v>138</v>
      </c>
      <c r="B28" s="3" t="s">
        <v>573</v>
      </c>
      <c r="C28" s="3" t="s">
        <v>90</v>
      </c>
      <c r="D28" s="3"/>
      <c r="E28" s="3" t="s">
        <v>20</v>
      </c>
      <c r="F28" s="14">
        <v>44214</v>
      </c>
      <c r="G28" s="3"/>
      <c r="H28" s="3" t="s">
        <v>22</v>
      </c>
      <c r="I28" s="15" t="s">
        <v>574</v>
      </c>
      <c r="J28" s="15" t="s">
        <v>575</v>
      </c>
      <c r="K28" s="3"/>
      <c r="L28" s="3"/>
      <c r="M28" s="1"/>
      <c r="N28" s="1"/>
      <c r="O28" s="1"/>
      <c r="P28" s="1"/>
      <c r="Q28" s="1"/>
      <c r="R28" s="1"/>
      <c r="S28" s="1"/>
      <c r="T28" s="1"/>
      <c r="U28" s="1"/>
      <c r="V28" s="1"/>
    </row>
    <row r="29" spans="1:22">
      <c r="A29" s="13" t="s">
        <v>139</v>
      </c>
      <c r="B29" s="3" t="s">
        <v>140</v>
      </c>
      <c r="C29" s="3" t="s">
        <v>64</v>
      </c>
      <c r="D29" s="3"/>
      <c r="E29" s="3" t="s">
        <v>21</v>
      </c>
      <c r="F29" s="14">
        <v>44214</v>
      </c>
      <c r="G29" s="14">
        <v>44217</v>
      </c>
      <c r="H29" s="3" t="s">
        <v>22</v>
      </c>
      <c r="I29" s="3" t="s">
        <v>141</v>
      </c>
      <c r="J29" s="3" t="s">
        <v>142</v>
      </c>
      <c r="K29" s="3" t="s">
        <v>143</v>
      </c>
      <c r="L29" s="3"/>
      <c r="M29" s="1"/>
      <c r="N29" s="1"/>
      <c r="O29" s="1"/>
      <c r="P29" s="1"/>
      <c r="Q29" s="1"/>
      <c r="R29" s="1"/>
      <c r="S29" s="1"/>
      <c r="T29" s="1"/>
      <c r="U29" s="1"/>
      <c r="V29" s="1"/>
    </row>
    <row r="30" spans="1:22" ht="323">
      <c r="A30" s="13" t="s">
        <v>144</v>
      </c>
      <c r="B30" s="3" t="s">
        <v>687</v>
      </c>
      <c r="C30" s="3" t="s">
        <v>64</v>
      </c>
      <c r="D30" s="3"/>
      <c r="E30" s="3" t="s">
        <v>21</v>
      </c>
      <c r="F30" s="14">
        <v>44214</v>
      </c>
      <c r="G30" s="14">
        <v>44217</v>
      </c>
      <c r="H30" s="3" t="s">
        <v>22</v>
      </c>
      <c r="I30" s="15" t="s">
        <v>688</v>
      </c>
      <c r="J30" s="3"/>
      <c r="K30" s="3"/>
      <c r="L30" s="3"/>
      <c r="M30" s="1"/>
      <c r="N30" s="1"/>
      <c r="O30" s="1"/>
      <c r="P30" s="1"/>
      <c r="Q30" s="1"/>
      <c r="R30" s="1"/>
      <c r="S30" s="1"/>
      <c r="T30" s="1"/>
      <c r="U30" s="1"/>
      <c r="V30" s="1"/>
    </row>
    <row r="31" spans="1:22" ht="340">
      <c r="A31" s="13" t="s">
        <v>145</v>
      </c>
      <c r="B31" s="3" t="s">
        <v>689</v>
      </c>
      <c r="C31" s="3" t="s">
        <v>576</v>
      </c>
      <c r="D31" s="3"/>
      <c r="E31" s="3" t="s">
        <v>20</v>
      </c>
      <c r="F31" s="14">
        <v>44214</v>
      </c>
      <c r="G31" s="3"/>
      <c r="H31" s="3" t="s">
        <v>22</v>
      </c>
      <c r="I31" s="15" t="s">
        <v>690</v>
      </c>
      <c r="J31" s="3" t="s">
        <v>691</v>
      </c>
      <c r="K31" s="3" t="s">
        <v>577</v>
      </c>
      <c r="L31" s="3"/>
      <c r="M31" s="1"/>
      <c r="N31" s="1"/>
      <c r="O31" s="1"/>
      <c r="P31" s="1"/>
      <c r="Q31" s="1"/>
      <c r="R31" s="1"/>
      <c r="S31" s="1"/>
      <c r="T31" s="1"/>
      <c r="U31" s="1"/>
      <c r="V31" s="1"/>
    </row>
    <row r="32" spans="1:22" ht="170">
      <c r="A32" s="13" t="s">
        <v>146</v>
      </c>
      <c r="B32" s="3" t="s">
        <v>578</v>
      </c>
      <c r="C32" s="3" t="s">
        <v>72</v>
      </c>
      <c r="D32" s="3"/>
      <c r="E32" s="3" t="s">
        <v>579</v>
      </c>
      <c r="F32" s="14">
        <v>44214</v>
      </c>
      <c r="G32" s="3"/>
      <c r="H32" s="3" t="s">
        <v>22</v>
      </c>
      <c r="I32" s="15" t="s">
        <v>580</v>
      </c>
      <c r="J32" s="3" t="s">
        <v>22</v>
      </c>
      <c r="K32" s="3"/>
      <c r="L32" s="3" t="s">
        <v>147</v>
      </c>
      <c r="M32" s="1"/>
      <c r="N32" s="1"/>
      <c r="O32" s="1"/>
      <c r="P32" s="1"/>
      <c r="Q32" s="1"/>
      <c r="R32" s="1"/>
      <c r="S32" s="1"/>
      <c r="T32" s="1"/>
      <c r="U32" s="1"/>
      <c r="V32" s="1"/>
    </row>
    <row r="33" spans="1:22" ht="68">
      <c r="A33" s="13" t="s">
        <v>148</v>
      </c>
      <c r="B33" s="3" t="s">
        <v>692</v>
      </c>
      <c r="C33" s="3" t="s">
        <v>64</v>
      </c>
      <c r="D33" s="3"/>
      <c r="E33" s="3" t="s">
        <v>21</v>
      </c>
      <c r="F33" s="14">
        <v>44214</v>
      </c>
      <c r="G33" s="14">
        <v>44217</v>
      </c>
      <c r="H33" s="3" t="s">
        <v>22</v>
      </c>
      <c r="I33" s="15" t="s">
        <v>693</v>
      </c>
      <c r="J33" s="3" t="s">
        <v>694</v>
      </c>
      <c r="K33" s="3" t="s">
        <v>149</v>
      </c>
      <c r="L33" s="3"/>
      <c r="M33" s="1"/>
      <c r="N33" s="1"/>
      <c r="O33" s="1"/>
      <c r="P33" s="1"/>
      <c r="Q33" s="1"/>
      <c r="R33" s="1"/>
      <c r="S33" s="1"/>
      <c r="T33" s="1"/>
      <c r="U33" s="1"/>
      <c r="V33" s="1"/>
    </row>
    <row r="34" spans="1:22" ht="119">
      <c r="A34" s="13" t="s">
        <v>150</v>
      </c>
      <c r="B34" s="3" t="s">
        <v>695</v>
      </c>
      <c r="C34" s="3" t="s">
        <v>90</v>
      </c>
      <c r="D34" s="3"/>
      <c r="E34" s="3" t="s">
        <v>20</v>
      </c>
      <c r="F34" s="14">
        <v>44214</v>
      </c>
      <c r="G34" s="3"/>
      <c r="H34" s="3" t="s">
        <v>22</v>
      </c>
      <c r="I34" s="15" t="s">
        <v>696</v>
      </c>
      <c r="J34" s="3" t="s">
        <v>581</v>
      </c>
      <c r="K34" s="3"/>
      <c r="L34" s="3"/>
      <c r="M34" s="1"/>
      <c r="N34" s="1"/>
      <c r="O34" s="1"/>
      <c r="P34" s="1"/>
      <c r="Q34" s="1"/>
      <c r="R34" s="1"/>
      <c r="S34" s="1"/>
      <c r="T34" s="1"/>
      <c r="U34" s="1"/>
      <c r="V34" s="1"/>
    </row>
    <row r="35" spans="1:22" ht="136">
      <c r="A35" s="13" t="s">
        <v>151</v>
      </c>
      <c r="B35" s="3" t="s">
        <v>582</v>
      </c>
      <c r="C35" s="3" t="s">
        <v>90</v>
      </c>
      <c r="D35" s="3"/>
      <c r="E35" s="3" t="s">
        <v>20</v>
      </c>
      <c r="F35" s="14">
        <v>44214</v>
      </c>
      <c r="G35" s="3"/>
      <c r="H35" s="3" t="s">
        <v>54</v>
      </c>
      <c r="I35" s="15" t="s">
        <v>583</v>
      </c>
      <c r="J35" s="3"/>
      <c r="K35" s="3"/>
      <c r="L35" s="3" t="s">
        <v>152</v>
      </c>
      <c r="M35" s="1"/>
      <c r="N35" s="1"/>
      <c r="O35" s="1"/>
      <c r="P35" s="1"/>
      <c r="Q35" s="1"/>
      <c r="R35" s="1"/>
      <c r="S35" s="1"/>
      <c r="T35" s="1"/>
      <c r="U35" s="1"/>
      <c r="V35" s="1"/>
    </row>
    <row r="36" spans="1:22">
      <c r="A36" s="13" t="s">
        <v>153</v>
      </c>
      <c r="B36" s="3" t="s">
        <v>697</v>
      </c>
      <c r="C36" s="3" t="s">
        <v>64</v>
      </c>
      <c r="D36" s="3"/>
      <c r="E36" s="3" t="s">
        <v>21</v>
      </c>
      <c r="F36" s="14">
        <v>44214</v>
      </c>
      <c r="G36" s="14">
        <v>44214</v>
      </c>
      <c r="H36" s="3" t="s">
        <v>22</v>
      </c>
      <c r="I36" s="3" t="s">
        <v>698</v>
      </c>
      <c r="J36" s="3"/>
      <c r="K36" s="3"/>
      <c r="L36" s="3"/>
      <c r="M36" s="1"/>
      <c r="N36" s="1"/>
      <c r="O36" s="1"/>
      <c r="P36" s="1"/>
      <c r="Q36" s="1"/>
      <c r="R36" s="1"/>
      <c r="S36" s="1"/>
      <c r="T36" s="1"/>
      <c r="U36" s="1"/>
      <c r="V36" s="1"/>
    </row>
    <row r="37" spans="1:22" ht="119">
      <c r="A37" s="13" t="s">
        <v>154</v>
      </c>
      <c r="B37" s="3" t="s">
        <v>584</v>
      </c>
      <c r="C37" s="3" t="s">
        <v>69</v>
      </c>
      <c r="D37" s="3"/>
      <c r="E37" s="3" t="s">
        <v>181</v>
      </c>
      <c r="F37" s="14">
        <v>44214</v>
      </c>
      <c r="G37" s="3"/>
      <c r="H37" s="3" t="s">
        <v>22</v>
      </c>
      <c r="I37" s="15" t="s">
        <v>585</v>
      </c>
      <c r="J37" s="3" t="s">
        <v>155</v>
      </c>
      <c r="K37" s="15" t="s">
        <v>586</v>
      </c>
      <c r="L37" s="3"/>
      <c r="M37" s="1"/>
      <c r="N37" s="1"/>
      <c r="O37" s="1"/>
      <c r="P37" s="1"/>
      <c r="Q37" s="1"/>
      <c r="R37" s="1"/>
      <c r="S37" s="1"/>
      <c r="T37" s="1"/>
      <c r="U37" s="1"/>
      <c r="V37" s="1"/>
    </row>
    <row r="38" spans="1:22" ht="238">
      <c r="A38" s="13" t="s">
        <v>156</v>
      </c>
      <c r="B38" s="3" t="s">
        <v>157</v>
      </c>
      <c r="C38" s="3" t="s">
        <v>69</v>
      </c>
      <c r="D38" s="3"/>
      <c r="E38" s="3" t="s">
        <v>21</v>
      </c>
      <c r="F38" s="14">
        <v>44214</v>
      </c>
      <c r="G38" s="14">
        <v>44218</v>
      </c>
      <c r="H38" s="3" t="s">
        <v>22</v>
      </c>
      <c r="I38" s="15" t="s">
        <v>158</v>
      </c>
      <c r="J38" s="3" t="s">
        <v>155</v>
      </c>
      <c r="K38" s="15" t="s">
        <v>159</v>
      </c>
      <c r="L38" s="3" t="s">
        <v>152</v>
      </c>
      <c r="M38" s="1"/>
      <c r="N38" s="1"/>
      <c r="O38" s="1"/>
      <c r="P38" s="1"/>
      <c r="Q38" s="1"/>
      <c r="R38" s="1"/>
      <c r="S38" s="1"/>
      <c r="T38" s="1"/>
      <c r="U38" s="1"/>
      <c r="V38" s="1"/>
    </row>
    <row r="39" spans="1:22" ht="272">
      <c r="A39" s="13" t="s">
        <v>160</v>
      </c>
      <c r="B39" s="3" t="s">
        <v>161</v>
      </c>
      <c r="C39" s="3" t="s">
        <v>69</v>
      </c>
      <c r="D39" s="3"/>
      <c r="E39" s="3" t="s">
        <v>21</v>
      </c>
      <c r="F39" s="14">
        <v>44211</v>
      </c>
      <c r="G39" s="14">
        <v>44218</v>
      </c>
      <c r="H39" s="3" t="s">
        <v>22</v>
      </c>
      <c r="I39" s="15" t="s">
        <v>162</v>
      </c>
      <c r="J39" s="15" t="s">
        <v>163</v>
      </c>
      <c r="K39" s="15" t="s">
        <v>164</v>
      </c>
      <c r="L39" s="3" t="s">
        <v>100</v>
      </c>
      <c r="M39" s="1"/>
      <c r="N39" s="1"/>
      <c r="O39" s="1"/>
      <c r="P39" s="1"/>
      <c r="Q39" s="1"/>
      <c r="R39" s="1"/>
      <c r="S39" s="1"/>
      <c r="T39" s="1"/>
      <c r="U39" s="1"/>
      <c r="V39" s="1"/>
    </row>
    <row r="40" spans="1:22" ht="102">
      <c r="A40" s="13" t="s">
        <v>165</v>
      </c>
      <c r="B40" s="3" t="s">
        <v>699</v>
      </c>
      <c r="C40" s="3" t="s">
        <v>105</v>
      </c>
      <c r="D40" s="3"/>
      <c r="E40" s="3" t="s">
        <v>21</v>
      </c>
      <c r="F40" s="14">
        <v>44211</v>
      </c>
      <c r="G40" s="14">
        <v>44216</v>
      </c>
      <c r="H40" s="3" t="s">
        <v>22</v>
      </c>
      <c r="I40" s="15" t="s">
        <v>700</v>
      </c>
      <c r="J40" s="15" t="s">
        <v>701</v>
      </c>
      <c r="K40" s="15" t="s">
        <v>166</v>
      </c>
      <c r="L40" s="3" t="s">
        <v>147</v>
      </c>
      <c r="M40" s="1"/>
      <c r="N40" s="1"/>
      <c r="O40" s="1"/>
      <c r="P40" s="1"/>
      <c r="Q40" s="1"/>
      <c r="R40" s="1"/>
      <c r="S40" s="1"/>
      <c r="T40" s="1"/>
      <c r="U40" s="1"/>
      <c r="V40" s="1"/>
    </row>
    <row r="41" spans="1:22" ht="153">
      <c r="A41" s="13" t="s">
        <v>167</v>
      </c>
      <c r="B41" s="3" t="s">
        <v>587</v>
      </c>
      <c r="C41" s="3" t="s">
        <v>559</v>
      </c>
      <c r="D41" s="3"/>
      <c r="E41" s="3" t="s">
        <v>579</v>
      </c>
      <c r="F41" s="14">
        <v>44211</v>
      </c>
      <c r="G41" s="3"/>
      <c r="H41" s="3" t="s">
        <v>588</v>
      </c>
      <c r="I41" s="15" t="s">
        <v>589</v>
      </c>
      <c r="J41" s="3" t="s">
        <v>588</v>
      </c>
      <c r="K41" s="3"/>
      <c r="L41" s="15" t="s">
        <v>590</v>
      </c>
      <c r="M41" s="1"/>
      <c r="N41" s="1"/>
      <c r="O41" s="1"/>
      <c r="P41" s="1"/>
      <c r="Q41" s="1"/>
      <c r="R41" s="1"/>
      <c r="S41" s="1"/>
      <c r="T41" s="1"/>
      <c r="U41" s="1"/>
      <c r="V41" s="1"/>
    </row>
    <row r="42" spans="1:22" ht="68">
      <c r="A42" s="13" t="s">
        <v>168</v>
      </c>
      <c r="B42" s="3" t="s">
        <v>169</v>
      </c>
      <c r="C42" s="3" t="s">
        <v>38</v>
      </c>
      <c r="D42" s="3"/>
      <c r="E42" s="3" t="s">
        <v>21</v>
      </c>
      <c r="F42" s="14">
        <v>44211</v>
      </c>
      <c r="G42" s="14">
        <v>44214</v>
      </c>
      <c r="H42" s="3" t="s">
        <v>22</v>
      </c>
      <c r="I42" s="15" t="s">
        <v>170</v>
      </c>
      <c r="J42" s="3" t="s">
        <v>171</v>
      </c>
      <c r="K42" s="3" t="s">
        <v>172</v>
      </c>
      <c r="L42" s="15" t="s">
        <v>173</v>
      </c>
      <c r="M42" s="1"/>
      <c r="N42" s="1"/>
      <c r="O42" s="1"/>
      <c r="P42" s="1"/>
      <c r="Q42" s="1"/>
      <c r="R42" s="1"/>
      <c r="S42" s="1"/>
      <c r="T42" s="1"/>
      <c r="U42" s="1"/>
      <c r="V42" s="1"/>
    </row>
    <row r="43" spans="1:22" ht="306">
      <c r="A43" s="13" t="s">
        <v>174</v>
      </c>
      <c r="B43" s="3" t="s">
        <v>175</v>
      </c>
      <c r="C43" s="3" t="s">
        <v>69</v>
      </c>
      <c r="D43" s="3"/>
      <c r="E43" s="3" t="s">
        <v>21</v>
      </c>
      <c r="F43" s="14">
        <v>44211</v>
      </c>
      <c r="G43" s="14">
        <v>44218</v>
      </c>
      <c r="H43" s="3" t="s">
        <v>22</v>
      </c>
      <c r="I43" s="15" t="s">
        <v>176</v>
      </c>
      <c r="J43" s="15" t="s">
        <v>177</v>
      </c>
      <c r="K43" s="3" t="s">
        <v>178</v>
      </c>
      <c r="L43" s="3" t="s">
        <v>152</v>
      </c>
      <c r="M43" s="1"/>
      <c r="N43" s="1"/>
      <c r="O43" s="1"/>
      <c r="P43" s="1"/>
      <c r="Q43" s="1"/>
      <c r="R43" s="1"/>
      <c r="S43" s="1"/>
      <c r="T43" s="1"/>
      <c r="U43" s="1"/>
      <c r="V43" s="1"/>
    </row>
    <row r="44" spans="1:22" ht="68">
      <c r="A44" s="13" t="s">
        <v>179</v>
      </c>
      <c r="B44" s="3" t="s">
        <v>702</v>
      </c>
      <c r="C44" s="3" t="s">
        <v>53</v>
      </c>
      <c r="D44" s="3"/>
      <c r="E44" s="3" t="s">
        <v>21</v>
      </c>
      <c r="F44" s="14">
        <v>44211</v>
      </c>
      <c r="G44" s="14">
        <v>44218</v>
      </c>
      <c r="H44" s="3" t="s">
        <v>22</v>
      </c>
      <c r="I44" s="3"/>
      <c r="J44" s="3" t="s">
        <v>703</v>
      </c>
      <c r="K44" s="3" t="s">
        <v>704</v>
      </c>
      <c r="L44" s="15" t="s">
        <v>705</v>
      </c>
      <c r="M44" s="1"/>
      <c r="N44" s="1"/>
      <c r="O44" s="1"/>
      <c r="P44" s="1"/>
      <c r="Q44" s="1"/>
      <c r="R44" s="1"/>
      <c r="S44" s="1"/>
      <c r="T44" s="1"/>
      <c r="U44" s="1"/>
      <c r="V44" s="1"/>
    </row>
    <row r="45" spans="1:22" ht="170">
      <c r="A45" s="13" t="s">
        <v>180</v>
      </c>
      <c r="B45" s="3" t="s">
        <v>706</v>
      </c>
      <c r="C45" s="3" t="s">
        <v>69</v>
      </c>
      <c r="D45" s="3"/>
      <c r="E45" s="3" t="s">
        <v>181</v>
      </c>
      <c r="F45" s="14">
        <v>44211</v>
      </c>
      <c r="G45" s="3"/>
      <c r="H45" s="3" t="s">
        <v>22</v>
      </c>
      <c r="I45" s="15" t="s">
        <v>707</v>
      </c>
      <c r="J45" s="3" t="s">
        <v>22</v>
      </c>
      <c r="K45" s="15" t="s">
        <v>591</v>
      </c>
      <c r="L45" s="3" t="s">
        <v>152</v>
      </c>
      <c r="M45" s="1"/>
      <c r="N45" s="1"/>
      <c r="O45" s="1"/>
      <c r="P45" s="1"/>
      <c r="Q45" s="1"/>
      <c r="R45" s="1"/>
      <c r="S45" s="1"/>
      <c r="T45" s="1"/>
      <c r="U45" s="1"/>
      <c r="V45" s="1"/>
    </row>
    <row r="46" spans="1:22">
      <c r="A46" s="13" t="s">
        <v>182</v>
      </c>
      <c r="B46" s="3" t="s">
        <v>592</v>
      </c>
      <c r="C46" s="3" t="s">
        <v>72</v>
      </c>
      <c r="D46" s="3"/>
      <c r="E46" s="3" t="s">
        <v>579</v>
      </c>
      <c r="F46" s="14">
        <v>44211</v>
      </c>
      <c r="G46" s="3"/>
      <c r="H46" s="3" t="s">
        <v>22</v>
      </c>
      <c r="I46" s="3" t="s">
        <v>593</v>
      </c>
      <c r="J46" s="3" t="s">
        <v>22</v>
      </c>
      <c r="K46" s="3"/>
      <c r="L46" s="3"/>
      <c r="M46" s="1"/>
      <c r="N46" s="1"/>
      <c r="O46" s="1"/>
      <c r="P46" s="1"/>
      <c r="Q46" s="1"/>
      <c r="R46" s="1"/>
      <c r="S46" s="1"/>
      <c r="T46" s="1"/>
      <c r="U46" s="1"/>
      <c r="V46" s="1"/>
    </row>
    <row r="47" spans="1:22" ht="409.6">
      <c r="A47" s="13" t="s">
        <v>183</v>
      </c>
      <c r="B47" s="3" t="s">
        <v>184</v>
      </c>
      <c r="C47" s="3" t="s">
        <v>72</v>
      </c>
      <c r="D47" s="3"/>
      <c r="E47" s="3" t="s">
        <v>21</v>
      </c>
      <c r="F47" s="14">
        <v>44211</v>
      </c>
      <c r="G47" s="14">
        <v>44218</v>
      </c>
      <c r="H47" s="3" t="s">
        <v>22</v>
      </c>
      <c r="I47" s="15" t="s">
        <v>185</v>
      </c>
      <c r="J47" s="3"/>
      <c r="K47" s="3"/>
      <c r="L47" s="15" t="s">
        <v>186</v>
      </c>
      <c r="M47" s="1"/>
      <c r="N47" s="1"/>
      <c r="O47" s="1"/>
      <c r="P47" s="1"/>
      <c r="Q47" s="1"/>
      <c r="R47" s="1"/>
      <c r="S47" s="1"/>
      <c r="T47" s="1"/>
      <c r="U47" s="1"/>
      <c r="V47" s="1"/>
    </row>
    <row r="48" spans="1:22" ht="136">
      <c r="A48" s="13" t="s">
        <v>187</v>
      </c>
      <c r="B48" s="3" t="s">
        <v>708</v>
      </c>
      <c r="C48" s="3" t="s">
        <v>72</v>
      </c>
      <c r="D48" s="3"/>
      <c r="E48" s="3" t="s">
        <v>21</v>
      </c>
      <c r="F48" s="14">
        <v>44211</v>
      </c>
      <c r="G48" s="14">
        <v>44216</v>
      </c>
      <c r="H48" s="3" t="s">
        <v>54</v>
      </c>
      <c r="I48" s="15" t="s">
        <v>709</v>
      </c>
      <c r="J48" s="3"/>
      <c r="K48" s="15" t="s">
        <v>710</v>
      </c>
      <c r="L48" s="15" t="s">
        <v>173</v>
      </c>
      <c r="M48" s="1"/>
      <c r="N48" s="1"/>
      <c r="O48" s="1"/>
      <c r="P48" s="1"/>
      <c r="Q48" s="1"/>
      <c r="R48" s="1"/>
      <c r="S48" s="1"/>
      <c r="T48" s="1"/>
      <c r="U48" s="1"/>
      <c r="V48" s="1"/>
    </row>
    <row r="49" spans="1:22" ht="409.6">
      <c r="A49" s="13" t="s">
        <v>188</v>
      </c>
      <c r="B49" s="3" t="s">
        <v>711</v>
      </c>
      <c r="C49" s="3" t="s">
        <v>53</v>
      </c>
      <c r="D49" s="3"/>
      <c r="E49" s="3" t="s">
        <v>21</v>
      </c>
      <c r="F49" s="14">
        <v>44211</v>
      </c>
      <c r="G49" s="14">
        <v>44221</v>
      </c>
      <c r="H49" s="3" t="s">
        <v>22</v>
      </c>
      <c r="I49" s="15" t="s">
        <v>712</v>
      </c>
      <c r="J49" s="3" t="s">
        <v>22</v>
      </c>
      <c r="K49" s="15" t="s">
        <v>713</v>
      </c>
      <c r="L49" s="15" t="s">
        <v>594</v>
      </c>
      <c r="M49" s="1"/>
      <c r="N49" s="1"/>
      <c r="O49" s="1"/>
      <c r="P49" s="1"/>
      <c r="Q49" s="1"/>
      <c r="R49" s="1"/>
      <c r="S49" s="1"/>
      <c r="T49" s="1"/>
      <c r="U49" s="1"/>
      <c r="V49" s="1"/>
    </row>
    <row r="50" spans="1:22" ht="68">
      <c r="A50" s="13" t="s">
        <v>189</v>
      </c>
      <c r="B50" s="3" t="s">
        <v>714</v>
      </c>
      <c r="C50" s="3" t="s">
        <v>53</v>
      </c>
      <c r="D50" s="3"/>
      <c r="E50" s="3" t="s">
        <v>21</v>
      </c>
      <c r="F50" s="14">
        <v>44211</v>
      </c>
      <c r="G50" s="14">
        <v>44221</v>
      </c>
      <c r="H50" s="3" t="s">
        <v>22</v>
      </c>
      <c r="I50" s="15" t="s">
        <v>715</v>
      </c>
      <c r="J50" s="3" t="s">
        <v>22</v>
      </c>
      <c r="K50" s="15" t="s">
        <v>716</v>
      </c>
      <c r="L50" s="3"/>
      <c r="M50" s="1"/>
      <c r="N50" s="1"/>
      <c r="O50" s="1"/>
      <c r="P50" s="1"/>
      <c r="Q50" s="1"/>
      <c r="R50" s="1"/>
      <c r="S50" s="1"/>
      <c r="T50" s="1"/>
      <c r="U50" s="1"/>
      <c r="V50" s="1"/>
    </row>
    <row r="51" spans="1:22" ht="68">
      <c r="A51" s="13" t="s">
        <v>190</v>
      </c>
      <c r="B51" s="3" t="s">
        <v>595</v>
      </c>
      <c r="C51" s="3" t="s">
        <v>72</v>
      </c>
      <c r="D51" s="3"/>
      <c r="E51" s="3" t="s">
        <v>579</v>
      </c>
      <c r="F51" s="14">
        <v>44211</v>
      </c>
      <c r="G51" s="3"/>
      <c r="H51" s="3" t="s">
        <v>54</v>
      </c>
      <c r="I51" s="15" t="s">
        <v>596</v>
      </c>
      <c r="J51" s="3" t="s">
        <v>597</v>
      </c>
      <c r="K51" s="15" t="s">
        <v>598</v>
      </c>
      <c r="L51" s="15" t="s">
        <v>599</v>
      </c>
      <c r="M51" s="1"/>
      <c r="N51" s="1"/>
      <c r="O51" s="1"/>
      <c r="P51" s="1"/>
      <c r="Q51" s="1"/>
      <c r="R51" s="1"/>
      <c r="S51" s="1"/>
      <c r="T51" s="1"/>
      <c r="U51" s="1"/>
      <c r="V51" s="1"/>
    </row>
    <row r="52" spans="1:22">
      <c r="A52" s="13" t="s">
        <v>191</v>
      </c>
      <c r="B52" s="3" t="s">
        <v>192</v>
      </c>
      <c r="C52" s="3" t="s">
        <v>105</v>
      </c>
      <c r="D52" s="3"/>
      <c r="E52" s="3" t="s">
        <v>21</v>
      </c>
      <c r="F52" s="14">
        <v>44210</v>
      </c>
      <c r="G52" s="14">
        <v>44216</v>
      </c>
      <c r="H52" s="3" t="s">
        <v>22</v>
      </c>
      <c r="I52" s="3" t="s">
        <v>34</v>
      </c>
      <c r="J52" s="3"/>
      <c r="K52" s="3"/>
      <c r="L52" s="3" t="s">
        <v>35</v>
      </c>
      <c r="M52" s="1"/>
      <c r="N52" s="1"/>
      <c r="O52" s="1"/>
      <c r="P52" s="1"/>
      <c r="Q52" s="1"/>
      <c r="R52" s="1"/>
      <c r="S52" s="1"/>
      <c r="T52" s="1"/>
      <c r="U52" s="1"/>
      <c r="V52" s="1"/>
    </row>
    <row r="53" spans="1:22" ht="409.6">
      <c r="A53" s="13" t="s">
        <v>193</v>
      </c>
      <c r="B53" s="3" t="s">
        <v>717</v>
      </c>
      <c r="C53" s="3" t="s">
        <v>194</v>
      </c>
      <c r="D53" s="3"/>
      <c r="E53" s="3" t="s">
        <v>21</v>
      </c>
      <c r="F53" s="14">
        <v>44210</v>
      </c>
      <c r="G53" s="14">
        <v>44218</v>
      </c>
      <c r="H53" s="3" t="s">
        <v>22</v>
      </c>
      <c r="I53" s="15" t="s">
        <v>718</v>
      </c>
      <c r="J53" s="15" t="s">
        <v>195</v>
      </c>
      <c r="K53" s="15" t="s">
        <v>196</v>
      </c>
      <c r="L53" s="3" t="s">
        <v>719</v>
      </c>
      <c r="M53" s="1"/>
      <c r="N53" s="1"/>
      <c r="O53" s="1"/>
      <c r="P53" s="1"/>
      <c r="Q53" s="1"/>
      <c r="R53" s="1"/>
      <c r="S53" s="1"/>
      <c r="T53" s="1"/>
      <c r="U53" s="1"/>
      <c r="V53" s="1"/>
    </row>
    <row r="54" spans="1:22" ht="272">
      <c r="A54" s="13" t="s">
        <v>197</v>
      </c>
      <c r="B54" s="3" t="s">
        <v>600</v>
      </c>
      <c r="C54" s="3" t="s">
        <v>198</v>
      </c>
      <c r="D54" s="3"/>
      <c r="E54" s="3" t="s">
        <v>20</v>
      </c>
      <c r="F54" s="14">
        <v>44210</v>
      </c>
      <c r="G54" s="3"/>
      <c r="H54" s="3" t="s">
        <v>54</v>
      </c>
      <c r="I54" s="15" t="s">
        <v>601</v>
      </c>
      <c r="J54" s="3"/>
      <c r="K54" s="3"/>
      <c r="L54" s="15" t="s">
        <v>199</v>
      </c>
      <c r="M54" s="1"/>
      <c r="N54" s="1"/>
      <c r="O54" s="1"/>
      <c r="P54" s="1"/>
      <c r="Q54" s="1"/>
      <c r="R54" s="1"/>
      <c r="S54" s="1"/>
      <c r="T54" s="1"/>
      <c r="U54" s="1"/>
      <c r="V54" s="1"/>
    </row>
    <row r="55" spans="1:22" ht="68">
      <c r="A55" s="13" t="s">
        <v>200</v>
      </c>
      <c r="B55" s="3" t="s">
        <v>720</v>
      </c>
      <c r="C55" s="3" t="s">
        <v>72</v>
      </c>
      <c r="D55" s="3"/>
      <c r="E55" s="3" t="s">
        <v>21</v>
      </c>
      <c r="F55" s="14">
        <v>44210</v>
      </c>
      <c r="G55" s="14">
        <v>44216</v>
      </c>
      <c r="H55" s="3" t="s">
        <v>54</v>
      </c>
      <c r="I55" s="3" t="s">
        <v>721</v>
      </c>
      <c r="J55" s="3" t="s">
        <v>722</v>
      </c>
      <c r="K55" s="3" t="s">
        <v>723</v>
      </c>
      <c r="L55" s="15" t="s">
        <v>199</v>
      </c>
      <c r="M55" s="1"/>
      <c r="N55" s="1"/>
      <c r="O55" s="1"/>
      <c r="P55" s="1"/>
      <c r="Q55" s="1"/>
      <c r="R55" s="1"/>
      <c r="S55" s="1"/>
      <c r="T55" s="1"/>
      <c r="U55" s="1"/>
      <c r="V55" s="1"/>
    </row>
    <row r="56" spans="1:22" ht="68">
      <c r="A56" s="13" t="s">
        <v>201</v>
      </c>
      <c r="B56" s="3" t="s">
        <v>602</v>
      </c>
      <c r="C56" s="3" t="s">
        <v>202</v>
      </c>
      <c r="D56" s="3"/>
      <c r="E56" s="3" t="s">
        <v>579</v>
      </c>
      <c r="F56" s="14">
        <v>44210</v>
      </c>
      <c r="G56" s="3"/>
      <c r="H56" s="3" t="s">
        <v>22</v>
      </c>
      <c r="I56" s="3" t="s">
        <v>603</v>
      </c>
      <c r="J56" s="3" t="s">
        <v>604</v>
      </c>
      <c r="K56" s="3" t="s">
        <v>605</v>
      </c>
      <c r="L56" s="15" t="s">
        <v>199</v>
      </c>
      <c r="M56" s="1"/>
      <c r="N56" s="1"/>
      <c r="O56" s="1"/>
      <c r="P56" s="1"/>
      <c r="Q56" s="1"/>
      <c r="R56" s="1"/>
      <c r="S56" s="1"/>
      <c r="T56" s="1"/>
      <c r="U56" s="1"/>
      <c r="V56" s="1"/>
    </row>
    <row r="57" spans="1:22" ht="153">
      <c r="A57" s="13" t="s">
        <v>203</v>
      </c>
      <c r="B57" s="3" t="s">
        <v>204</v>
      </c>
      <c r="C57" s="3" t="s">
        <v>72</v>
      </c>
      <c r="D57" s="3"/>
      <c r="E57" s="3" t="s">
        <v>21</v>
      </c>
      <c r="F57" s="14">
        <v>44210</v>
      </c>
      <c r="G57" s="14">
        <v>44216</v>
      </c>
      <c r="H57" s="3" t="s">
        <v>22</v>
      </c>
      <c r="I57" s="15" t="s">
        <v>205</v>
      </c>
      <c r="J57" s="15" t="s">
        <v>206</v>
      </c>
      <c r="K57" s="3"/>
      <c r="L57" s="15" t="s">
        <v>199</v>
      </c>
      <c r="M57" s="1"/>
      <c r="N57" s="1"/>
      <c r="O57" s="1"/>
      <c r="P57" s="1"/>
      <c r="Q57" s="1"/>
      <c r="R57" s="1"/>
      <c r="S57" s="1"/>
      <c r="T57" s="1"/>
      <c r="U57" s="1"/>
      <c r="V57" s="1"/>
    </row>
    <row r="58" spans="1:22" ht="323">
      <c r="A58" s="13" t="s">
        <v>207</v>
      </c>
      <c r="B58" s="3" t="s">
        <v>724</v>
      </c>
      <c r="C58" s="3" t="s">
        <v>72</v>
      </c>
      <c r="D58" s="3"/>
      <c r="E58" s="3" t="s">
        <v>21</v>
      </c>
      <c r="F58" s="14">
        <v>44210</v>
      </c>
      <c r="G58" s="14">
        <v>44216</v>
      </c>
      <c r="H58" s="3" t="s">
        <v>22</v>
      </c>
      <c r="I58" s="15" t="s">
        <v>725</v>
      </c>
      <c r="J58" s="15" t="s">
        <v>726</v>
      </c>
      <c r="K58" s="15" t="s">
        <v>727</v>
      </c>
      <c r="L58" s="15" t="s">
        <v>199</v>
      </c>
      <c r="M58" s="1"/>
      <c r="N58" s="1"/>
      <c r="O58" s="1"/>
      <c r="P58" s="1"/>
      <c r="Q58" s="1"/>
      <c r="R58" s="1"/>
      <c r="S58" s="1"/>
      <c r="T58" s="1"/>
      <c r="U58" s="1"/>
      <c r="V58" s="1"/>
    </row>
    <row r="59" spans="1:22" ht="85">
      <c r="A59" s="13" t="s">
        <v>208</v>
      </c>
      <c r="B59" s="3" t="s">
        <v>728</v>
      </c>
      <c r="C59" s="3" t="s">
        <v>53</v>
      </c>
      <c r="D59" s="3"/>
      <c r="E59" s="3" t="s">
        <v>181</v>
      </c>
      <c r="F59" s="14">
        <v>44210</v>
      </c>
      <c r="G59" s="3"/>
      <c r="H59" s="3" t="s">
        <v>54</v>
      </c>
      <c r="I59" s="3" t="s">
        <v>729</v>
      </c>
      <c r="J59" s="3" t="s">
        <v>606</v>
      </c>
      <c r="K59" s="3" t="s">
        <v>607</v>
      </c>
      <c r="L59" s="15" t="s">
        <v>730</v>
      </c>
      <c r="M59" s="1"/>
      <c r="N59" s="1"/>
      <c r="O59" s="1"/>
      <c r="P59" s="1"/>
      <c r="Q59" s="1"/>
      <c r="R59" s="1"/>
      <c r="S59" s="1"/>
      <c r="T59" s="1"/>
      <c r="U59" s="1"/>
      <c r="V59" s="1"/>
    </row>
    <row r="60" spans="1:22" ht="68">
      <c r="A60" s="13" t="s">
        <v>209</v>
      </c>
      <c r="B60" s="3" t="s">
        <v>608</v>
      </c>
      <c r="C60" s="3" t="s">
        <v>559</v>
      </c>
      <c r="D60" s="3"/>
      <c r="E60" s="3" t="s">
        <v>20</v>
      </c>
      <c r="F60" s="14">
        <v>44210</v>
      </c>
      <c r="G60" s="3"/>
      <c r="H60" s="3" t="s">
        <v>22</v>
      </c>
      <c r="I60" s="15" t="s">
        <v>609</v>
      </c>
      <c r="J60" s="3"/>
      <c r="K60" s="3"/>
      <c r="L60" s="15" t="s">
        <v>199</v>
      </c>
      <c r="M60" s="1"/>
      <c r="N60" s="1"/>
      <c r="O60" s="1"/>
      <c r="P60" s="1"/>
      <c r="Q60" s="1"/>
      <c r="R60" s="1"/>
      <c r="S60" s="1"/>
      <c r="T60" s="1"/>
      <c r="U60" s="1"/>
      <c r="V60" s="1"/>
    </row>
    <row r="61" spans="1:22" ht="187">
      <c r="A61" s="13" t="s">
        <v>210</v>
      </c>
      <c r="B61" s="3" t="s">
        <v>211</v>
      </c>
      <c r="C61" s="3" t="s">
        <v>72</v>
      </c>
      <c r="D61" s="3"/>
      <c r="E61" s="3" t="s">
        <v>21</v>
      </c>
      <c r="F61" s="14">
        <v>44210</v>
      </c>
      <c r="G61" s="14">
        <v>44216</v>
      </c>
      <c r="H61" s="3" t="s">
        <v>22</v>
      </c>
      <c r="I61" s="15" t="s">
        <v>212</v>
      </c>
      <c r="J61" s="3" t="s">
        <v>213</v>
      </c>
      <c r="K61" s="15" t="s">
        <v>214</v>
      </c>
      <c r="L61" s="15" t="s">
        <v>199</v>
      </c>
      <c r="M61" s="1"/>
      <c r="N61" s="1"/>
      <c r="O61" s="1"/>
      <c r="P61" s="1"/>
      <c r="Q61" s="1"/>
      <c r="R61" s="1"/>
      <c r="S61" s="1"/>
      <c r="T61" s="1"/>
      <c r="U61" s="1"/>
      <c r="V61" s="1"/>
    </row>
    <row r="62" spans="1:22" ht="34">
      <c r="A62" s="13" t="s">
        <v>215</v>
      </c>
      <c r="B62" s="3" t="s">
        <v>216</v>
      </c>
      <c r="C62" s="3" t="s">
        <v>53</v>
      </c>
      <c r="D62" s="3"/>
      <c r="E62" s="3" t="s">
        <v>21</v>
      </c>
      <c r="F62" s="14">
        <v>44210</v>
      </c>
      <c r="G62" s="14">
        <v>44211</v>
      </c>
      <c r="H62" s="3" t="s">
        <v>54</v>
      </c>
      <c r="I62" s="3" t="s">
        <v>217</v>
      </c>
      <c r="J62" s="3" t="s">
        <v>218</v>
      </c>
      <c r="K62" s="15" t="s">
        <v>219</v>
      </c>
      <c r="L62" s="3" t="s">
        <v>147</v>
      </c>
      <c r="M62" s="1"/>
      <c r="N62" s="1"/>
      <c r="O62" s="1"/>
      <c r="P62" s="1"/>
      <c r="Q62" s="1"/>
      <c r="R62" s="1"/>
      <c r="S62" s="1"/>
      <c r="T62" s="1"/>
      <c r="U62" s="1"/>
      <c r="V62" s="1"/>
    </row>
    <row r="63" spans="1:22" ht="388">
      <c r="A63" s="13" t="s">
        <v>220</v>
      </c>
      <c r="B63" s="3" t="s">
        <v>221</v>
      </c>
      <c r="C63" s="3" t="s">
        <v>194</v>
      </c>
      <c r="D63" s="3"/>
      <c r="E63" s="3" t="s">
        <v>21</v>
      </c>
      <c r="F63" s="14">
        <v>44210</v>
      </c>
      <c r="G63" s="14">
        <v>44216</v>
      </c>
      <c r="H63" s="3" t="s">
        <v>22</v>
      </c>
      <c r="I63" s="3" t="s">
        <v>222</v>
      </c>
      <c r="J63" s="15" t="s">
        <v>223</v>
      </c>
      <c r="K63" s="15" t="s">
        <v>224</v>
      </c>
      <c r="L63" s="15" t="s">
        <v>225</v>
      </c>
      <c r="M63" s="1"/>
      <c r="N63" s="1"/>
      <c r="O63" s="1"/>
      <c r="P63" s="1"/>
      <c r="Q63" s="1"/>
      <c r="R63" s="1"/>
      <c r="S63" s="1"/>
      <c r="T63" s="1"/>
      <c r="U63" s="1"/>
      <c r="V63" s="1"/>
    </row>
    <row r="64" spans="1:22">
      <c r="A64" s="13" t="s">
        <v>226</v>
      </c>
      <c r="B64" s="3" t="s">
        <v>227</v>
      </c>
      <c r="C64" s="3" t="s">
        <v>38</v>
      </c>
      <c r="D64" s="3"/>
      <c r="E64" s="3" t="s">
        <v>21</v>
      </c>
      <c r="F64" s="14">
        <v>44207</v>
      </c>
      <c r="G64" s="14">
        <v>44216</v>
      </c>
      <c r="H64" s="3" t="s">
        <v>22</v>
      </c>
      <c r="I64" s="3" t="s">
        <v>228</v>
      </c>
      <c r="J64" s="3"/>
      <c r="K64" s="3" t="s">
        <v>229</v>
      </c>
      <c r="L64" s="3" t="s">
        <v>230</v>
      </c>
      <c r="M64" s="1"/>
      <c r="N64" s="1"/>
      <c r="O64" s="1"/>
      <c r="P64" s="1"/>
      <c r="Q64" s="1"/>
      <c r="R64" s="1"/>
      <c r="S64" s="1"/>
      <c r="T64" s="1"/>
      <c r="U64" s="1"/>
      <c r="V64" s="1"/>
    </row>
    <row r="65" spans="1:22" ht="51">
      <c r="A65" s="13" t="s">
        <v>231</v>
      </c>
      <c r="B65" s="3" t="s">
        <v>232</v>
      </c>
      <c r="C65" s="3" t="s">
        <v>198</v>
      </c>
      <c r="D65" s="3"/>
      <c r="E65" s="3" t="s">
        <v>21</v>
      </c>
      <c r="F65" s="14">
        <v>44209</v>
      </c>
      <c r="G65" s="14">
        <v>44214</v>
      </c>
      <c r="H65" s="3" t="s">
        <v>54</v>
      </c>
      <c r="I65" s="3" t="s">
        <v>233</v>
      </c>
      <c r="J65" s="15" t="s">
        <v>234</v>
      </c>
      <c r="K65" s="3"/>
      <c r="L65" s="3" t="s">
        <v>100</v>
      </c>
      <c r="M65" s="1"/>
      <c r="N65" s="1"/>
      <c r="O65" s="1"/>
      <c r="P65" s="1"/>
      <c r="Q65" s="1"/>
      <c r="R65" s="1"/>
      <c r="S65" s="1"/>
      <c r="T65" s="1"/>
      <c r="U65" s="1"/>
      <c r="V65" s="1"/>
    </row>
    <row r="66" spans="1:22">
      <c r="A66" s="13" t="s">
        <v>235</v>
      </c>
      <c r="B66" s="3" t="s">
        <v>236</v>
      </c>
      <c r="C66" s="3" t="s">
        <v>194</v>
      </c>
      <c r="D66" s="3"/>
      <c r="E66" s="3" t="s">
        <v>21</v>
      </c>
      <c r="F66" s="14">
        <v>44209</v>
      </c>
      <c r="G66" s="14">
        <v>44214</v>
      </c>
      <c r="H66" s="3" t="s">
        <v>22</v>
      </c>
      <c r="I66" s="3" t="s">
        <v>237</v>
      </c>
      <c r="J66" s="3" t="s">
        <v>238</v>
      </c>
      <c r="K66" s="3" t="s">
        <v>239</v>
      </c>
      <c r="L66" s="3" t="s">
        <v>147</v>
      </c>
      <c r="M66" s="1"/>
      <c r="N66" s="1"/>
      <c r="O66" s="1"/>
      <c r="P66" s="1"/>
      <c r="Q66" s="1"/>
      <c r="R66" s="1"/>
      <c r="S66" s="1"/>
      <c r="T66" s="1"/>
      <c r="U66" s="1"/>
      <c r="V66" s="1"/>
    </row>
    <row r="67" spans="1:22" ht="85">
      <c r="A67" s="13" t="s">
        <v>240</v>
      </c>
      <c r="B67" s="3" t="s">
        <v>241</v>
      </c>
      <c r="C67" s="3" t="s">
        <v>64</v>
      </c>
      <c r="D67" s="3"/>
      <c r="E67" s="3" t="s">
        <v>21</v>
      </c>
      <c r="F67" s="14">
        <v>44209</v>
      </c>
      <c r="G67" s="14">
        <v>44214</v>
      </c>
      <c r="H67" s="3" t="s">
        <v>22</v>
      </c>
      <c r="I67" s="15" t="s">
        <v>242</v>
      </c>
      <c r="J67" s="3" t="s">
        <v>243</v>
      </c>
      <c r="K67" s="3" t="s">
        <v>244</v>
      </c>
      <c r="L67" s="3" t="s">
        <v>245</v>
      </c>
      <c r="M67" s="1"/>
      <c r="N67" s="1"/>
      <c r="O67" s="1"/>
      <c r="P67" s="1"/>
      <c r="Q67" s="1"/>
      <c r="R67" s="1"/>
      <c r="S67" s="1"/>
      <c r="T67" s="1"/>
      <c r="U67" s="1"/>
      <c r="V67" s="1"/>
    </row>
    <row r="68" spans="1:22" ht="388">
      <c r="A68" s="13" t="s">
        <v>246</v>
      </c>
      <c r="B68" s="3" t="s">
        <v>247</v>
      </c>
      <c r="C68" s="3" t="s">
        <v>194</v>
      </c>
      <c r="D68" s="3"/>
      <c r="E68" s="3" t="s">
        <v>21</v>
      </c>
      <c r="F68" s="14">
        <v>44210</v>
      </c>
      <c r="G68" s="14">
        <v>44210</v>
      </c>
      <c r="H68" s="3" t="s">
        <v>54</v>
      </c>
      <c r="I68" s="3" t="s">
        <v>248</v>
      </c>
      <c r="J68" s="15" t="s">
        <v>249</v>
      </c>
      <c r="K68" s="3" t="s">
        <v>250</v>
      </c>
      <c r="L68" s="15" t="s">
        <v>251</v>
      </c>
      <c r="M68" s="1"/>
      <c r="N68" s="1"/>
      <c r="O68" s="1"/>
      <c r="P68" s="1"/>
      <c r="Q68" s="1"/>
      <c r="R68" s="1"/>
      <c r="S68" s="1"/>
      <c r="T68" s="1"/>
      <c r="U68" s="1"/>
      <c r="V68" s="1"/>
    </row>
    <row r="69" spans="1:22" ht="221">
      <c r="A69" s="13" t="s">
        <v>252</v>
      </c>
      <c r="B69" s="3" t="s">
        <v>731</v>
      </c>
      <c r="C69" s="3" t="s">
        <v>64</v>
      </c>
      <c r="D69" s="3"/>
      <c r="E69" s="3" t="s">
        <v>21</v>
      </c>
      <c r="F69" s="14">
        <v>44209</v>
      </c>
      <c r="G69" s="14">
        <v>44214</v>
      </c>
      <c r="H69" s="3" t="s">
        <v>22</v>
      </c>
      <c r="I69" s="15" t="s">
        <v>732</v>
      </c>
      <c r="J69" s="3" t="s">
        <v>253</v>
      </c>
      <c r="K69" s="15" t="s">
        <v>254</v>
      </c>
      <c r="L69" s="3" t="s">
        <v>245</v>
      </c>
      <c r="M69" s="1"/>
      <c r="N69" s="1"/>
      <c r="O69" s="1"/>
      <c r="P69" s="1"/>
      <c r="Q69" s="1"/>
      <c r="R69" s="1"/>
      <c r="S69" s="1"/>
      <c r="T69" s="1"/>
      <c r="U69" s="1"/>
      <c r="V69" s="1"/>
    </row>
    <row r="70" spans="1:22">
      <c r="A70" s="13" t="s">
        <v>255</v>
      </c>
      <c r="B70" s="3" t="s">
        <v>610</v>
      </c>
      <c r="C70" s="3" t="s">
        <v>559</v>
      </c>
      <c r="D70" s="3"/>
      <c r="E70" s="3" t="s">
        <v>20</v>
      </c>
      <c r="F70" s="14">
        <v>44209</v>
      </c>
      <c r="G70" s="3"/>
      <c r="H70" s="3" t="s">
        <v>22</v>
      </c>
      <c r="I70" s="3" t="s">
        <v>611</v>
      </c>
      <c r="J70" s="3"/>
      <c r="K70" s="3"/>
      <c r="L70" s="3"/>
      <c r="M70" s="1"/>
      <c r="N70" s="1"/>
      <c r="O70" s="1"/>
      <c r="P70" s="1"/>
      <c r="Q70" s="1"/>
      <c r="R70" s="1"/>
      <c r="S70" s="1"/>
      <c r="T70" s="1"/>
      <c r="U70" s="1"/>
      <c r="V70" s="1"/>
    </row>
    <row r="71" spans="1:22">
      <c r="A71" s="13" t="s">
        <v>256</v>
      </c>
      <c r="B71" s="3" t="s">
        <v>257</v>
      </c>
      <c r="C71" s="3" t="s">
        <v>64</v>
      </c>
      <c r="D71" s="3"/>
      <c r="E71" s="3" t="s">
        <v>21</v>
      </c>
      <c r="F71" s="14">
        <v>44209</v>
      </c>
      <c r="G71" s="14">
        <v>44214</v>
      </c>
      <c r="H71" s="3" t="s">
        <v>22</v>
      </c>
      <c r="I71" s="3" t="s">
        <v>258</v>
      </c>
      <c r="J71" s="3" t="s">
        <v>259</v>
      </c>
      <c r="K71" s="3" t="s">
        <v>260</v>
      </c>
      <c r="L71" s="3" t="s">
        <v>245</v>
      </c>
      <c r="M71" s="1"/>
      <c r="N71" s="1"/>
      <c r="O71" s="1"/>
      <c r="P71" s="1"/>
      <c r="Q71" s="1"/>
      <c r="R71" s="1"/>
      <c r="S71" s="1"/>
      <c r="T71" s="1"/>
      <c r="U71" s="1"/>
      <c r="V71" s="1"/>
    </row>
    <row r="72" spans="1:22" ht="136">
      <c r="A72" s="13" t="s">
        <v>261</v>
      </c>
      <c r="B72" s="3" t="s">
        <v>733</v>
      </c>
      <c r="C72" s="3" t="s">
        <v>64</v>
      </c>
      <c r="D72" s="3"/>
      <c r="E72" s="3" t="s">
        <v>21</v>
      </c>
      <c r="F72" s="14">
        <v>44209</v>
      </c>
      <c r="G72" s="14">
        <v>44214</v>
      </c>
      <c r="H72" s="3" t="s">
        <v>22</v>
      </c>
      <c r="I72" s="15" t="s">
        <v>734</v>
      </c>
      <c r="J72" s="3" t="s">
        <v>243</v>
      </c>
      <c r="K72" s="3" t="s">
        <v>244</v>
      </c>
      <c r="L72" s="3" t="s">
        <v>245</v>
      </c>
      <c r="M72" s="1"/>
      <c r="N72" s="1"/>
      <c r="O72" s="1"/>
      <c r="P72" s="1"/>
      <c r="Q72" s="1"/>
      <c r="R72" s="1"/>
      <c r="S72" s="1"/>
      <c r="T72" s="1"/>
      <c r="U72" s="1"/>
      <c r="V72" s="1"/>
    </row>
    <row r="73" spans="1:22" ht="356">
      <c r="A73" s="13" t="s">
        <v>262</v>
      </c>
      <c r="B73" s="3" t="s">
        <v>735</v>
      </c>
      <c r="C73" s="3" t="s">
        <v>72</v>
      </c>
      <c r="D73" s="3"/>
      <c r="E73" s="3" t="s">
        <v>579</v>
      </c>
      <c r="F73" s="14">
        <v>44209</v>
      </c>
      <c r="G73" s="3"/>
      <c r="H73" s="3" t="s">
        <v>22</v>
      </c>
      <c r="I73" s="15" t="s">
        <v>736</v>
      </c>
      <c r="J73" s="15" t="s">
        <v>737</v>
      </c>
      <c r="K73" s="3"/>
      <c r="L73" s="15" t="s">
        <v>612</v>
      </c>
      <c r="M73" s="1"/>
      <c r="N73" s="1"/>
      <c r="O73" s="1"/>
      <c r="P73" s="1"/>
      <c r="Q73" s="1"/>
      <c r="R73" s="1"/>
      <c r="S73" s="1"/>
      <c r="T73" s="1"/>
      <c r="U73" s="1"/>
      <c r="V73" s="1"/>
    </row>
    <row r="74" spans="1:22" ht="409.6">
      <c r="A74" s="13" t="s">
        <v>263</v>
      </c>
      <c r="B74" s="3" t="s">
        <v>613</v>
      </c>
      <c r="C74" s="3" t="s">
        <v>72</v>
      </c>
      <c r="D74" s="3"/>
      <c r="E74" s="3" t="s">
        <v>579</v>
      </c>
      <c r="F74" s="14">
        <v>44209</v>
      </c>
      <c r="G74" s="3"/>
      <c r="H74" s="3" t="s">
        <v>22</v>
      </c>
      <c r="I74" s="15" t="s">
        <v>614</v>
      </c>
      <c r="J74" s="15" t="s">
        <v>615</v>
      </c>
      <c r="K74" s="15" t="s">
        <v>616</v>
      </c>
      <c r="L74" s="15" t="s">
        <v>612</v>
      </c>
      <c r="M74" s="1"/>
      <c r="N74" s="1"/>
      <c r="O74" s="1"/>
      <c r="P74" s="1"/>
      <c r="Q74" s="1"/>
      <c r="R74" s="1"/>
      <c r="S74" s="1"/>
      <c r="T74" s="1"/>
      <c r="U74" s="1"/>
      <c r="V74" s="1"/>
    </row>
    <row r="75" spans="1:22">
      <c r="A75" s="13" t="s">
        <v>264</v>
      </c>
      <c r="B75" s="3" t="s">
        <v>265</v>
      </c>
      <c r="C75" s="3" t="s">
        <v>64</v>
      </c>
      <c r="D75" s="3"/>
      <c r="E75" s="3" t="s">
        <v>21</v>
      </c>
      <c r="F75" s="14">
        <v>44209</v>
      </c>
      <c r="G75" s="14">
        <v>44216</v>
      </c>
      <c r="H75" s="3" t="s">
        <v>22</v>
      </c>
      <c r="I75" s="3" t="s">
        <v>266</v>
      </c>
      <c r="J75" s="3" t="s">
        <v>267</v>
      </c>
      <c r="K75" s="3" t="s">
        <v>268</v>
      </c>
      <c r="L75" s="3" t="s">
        <v>110</v>
      </c>
      <c r="M75" s="1"/>
      <c r="N75" s="1"/>
      <c r="O75" s="1"/>
      <c r="P75" s="1"/>
      <c r="Q75" s="1"/>
      <c r="R75" s="1"/>
      <c r="S75" s="1"/>
      <c r="T75" s="1"/>
      <c r="U75" s="1"/>
      <c r="V75" s="1"/>
    </row>
    <row r="76" spans="1:22" ht="136">
      <c r="A76" s="13" t="s">
        <v>269</v>
      </c>
      <c r="B76" s="3" t="s">
        <v>270</v>
      </c>
      <c r="C76" s="3" t="s">
        <v>271</v>
      </c>
      <c r="D76" s="3"/>
      <c r="E76" s="3" t="s">
        <v>21</v>
      </c>
      <c r="F76" s="14">
        <v>44209</v>
      </c>
      <c r="G76" s="14">
        <v>44209</v>
      </c>
      <c r="H76" s="3" t="s">
        <v>22</v>
      </c>
      <c r="I76" s="15" t="s">
        <v>272</v>
      </c>
      <c r="J76" s="3"/>
      <c r="K76" s="3"/>
      <c r="L76" s="3"/>
      <c r="M76" s="1"/>
      <c r="N76" s="1"/>
      <c r="O76" s="1"/>
      <c r="P76" s="1"/>
      <c r="Q76" s="1"/>
      <c r="R76" s="1"/>
      <c r="S76" s="1"/>
      <c r="T76" s="1"/>
      <c r="U76" s="1"/>
      <c r="V76" s="1"/>
    </row>
    <row r="77" spans="1:22" ht="204">
      <c r="A77" s="13" t="s">
        <v>273</v>
      </c>
      <c r="B77" s="3" t="s">
        <v>738</v>
      </c>
      <c r="C77" s="3" t="s">
        <v>64</v>
      </c>
      <c r="D77" s="3"/>
      <c r="E77" s="3" t="s">
        <v>21</v>
      </c>
      <c r="F77" s="14">
        <v>44209</v>
      </c>
      <c r="G77" s="14">
        <v>44216</v>
      </c>
      <c r="H77" s="3" t="s">
        <v>54</v>
      </c>
      <c r="I77" s="15" t="s">
        <v>739</v>
      </c>
      <c r="J77" s="3"/>
      <c r="K77" s="3"/>
      <c r="L77" s="3" t="s">
        <v>274</v>
      </c>
      <c r="M77" s="1"/>
      <c r="N77" s="1"/>
      <c r="O77" s="1"/>
      <c r="P77" s="1"/>
      <c r="Q77" s="1"/>
      <c r="R77" s="1"/>
      <c r="S77" s="1"/>
      <c r="T77" s="1"/>
      <c r="U77" s="1"/>
      <c r="V77" s="1"/>
    </row>
    <row r="78" spans="1:22" ht="255">
      <c r="A78" s="13" t="s">
        <v>275</v>
      </c>
      <c r="B78" s="3" t="s">
        <v>740</v>
      </c>
      <c r="C78" s="3" t="s">
        <v>64</v>
      </c>
      <c r="D78" s="3"/>
      <c r="E78" s="3" t="s">
        <v>181</v>
      </c>
      <c r="F78" s="14">
        <v>44209</v>
      </c>
      <c r="G78" s="3"/>
      <c r="H78" s="3" t="s">
        <v>122</v>
      </c>
      <c r="I78" s="15" t="s">
        <v>741</v>
      </c>
      <c r="J78" s="3" t="s">
        <v>742</v>
      </c>
      <c r="K78" s="3" t="s">
        <v>743</v>
      </c>
      <c r="L78" s="3"/>
      <c r="M78" s="1"/>
      <c r="N78" s="1"/>
      <c r="O78" s="1"/>
      <c r="P78" s="1"/>
      <c r="Q78" s="1"/>
      <c r="R78" s="1"/>
      <c r="S78" s="1"/>
      <c r="T78" s="1"/>
      <c r="U78" s="1"/>
      <c r="V78" s="1"/>
    </row>
    <row r="79" spans="1:22" ht="204">
      <c r="A79" s="13" t="s">
        <v>276</v>
      </c>
      <c r="B79" s="3" t="s">
        <v>617</v>
      </c>
      <c r="C79" s="3" t="s">
        <v>64</v>
      </c>
      <c r="D79" s="3"/>
      <c r="E79" s="3" t="s">
        <v>181</v>
      </c>
      <c r="F79" s="14">
        <v>44208</v>
      </c>
      <c r="G79" s="3"/>
      <c r="H79" s="3" t="s">
        <v>22</v>
      </c>
      <c r="I79" s="15" t="s">
        <v>618</v>
      </c>
      <c r="J79" s="3" t="s">
        <v>619</v>
      </c>
      <c r="K79" s="3" t="s">
        <v>620</v>
      </c>
      <c r="L79" s="3" t="s">
        <v>277</v>
      </c>
      <c r="M79" s="1"/>
      <c r="N79" s="1"/>
      <c r="O79" s="1"/>
      <c r="P79" s="1"/>
      <c r="Q79" s="1"/>
      <c r="R79" s="1"/>
      <c r="S79" s="1"/>
      <c r="T79" s="1"/>
      <c r="U79" s="1"/>
      <c r="V79" s="1"/>
    </row>
    <row r="80" spans="1:22" ht="136">
      <c r="A80" s="13" t="s">
        <v>278</v>
      </c>
      <c r="B80" s="3" t="s">
        <v>744</v>
      </c>
      <c r="C80" s="3" t="s">
        <v>64</v>
      </c>
      <c r="D80" s="3"/>
      <c r="E80" s="3" t="s">
        <v>21</v>
      </c>
      <c r="F80" s="14">
        <v>44209</v>
      </c>
      <c r="G80" s="14">
        <v>44216</v>
      </c>
      <c r="H80" s="3" t="s">
        <v>22</v>
      </c>
      <c r="I80" s="15" t="s">
        <v>745</v>
      </c>
      <c r="J80" s="3" t="s">
        <v>279</v>
      </c>
      <c r="K80" s="3" t="s">
        <v>280</v>
      </c>
      <c r="L80" s="3" t="s">
        <v>110</v>
      </c>
      <c r="M80" s="1"/>
      <c r="N80" s="1"/>
      <c r="O80" s="1"/>
      <c r="P80" s="1"/>
      <c r="Q80" s="1"/>
      <c r="R80" s="1"/>
      <c r="S80" s="1"/>
      <c r="T80" s="1"/>
      <c r="U80" s="1"/>
      <c r="V80" s="1"/>
    </row>
    <row r="81" spans="1:22">
      <c r="A81" s="13" t="s">
        <v>281</v>
      </c>
      <c r="B81" s="3" t="s">
        <v>621</v>
      </c>
      <c r="C81" s="3" t="s">
        <v>559</v>
      </c>
      <c r="D81" s="3"/>
      <c r="E81" s="3" t="s">
        <v>20</v>
      </c>
      <c r="F81" s="3"/>
      <c r="G81" s="3"/>
      <c r="H81" s="3" t="s">
        <v>22</v>
      </c>
      <c r="I81" s="3" t="s">
        <v>622</v>
      </c>
      <c r="J81" s="3"/>
      <c r="K81" s="3"/>
      <c r="L81" s="3"/>
      <c r="M81" s="1"/>
      <c r="N81" s="1"/>
      <c r="O81" s="1"/>
      <c r="P81" s="1"/>
      <c r="Q81" s="1"/>
      <c r="R81" s="1"/>
      <c r="S81" s="1"/>
      <c r="T81" s="1"/>
      <c r="U81" s="1"/>
      <c r="V81" s="1"/>
    </row>
    <row r="82" spans="1:22" ht="51">
      <c r="A82" s="13" t="s">
        <v>282</v>
      </c>
      <c r="B82" s="3" t="s">
        <v>283</v>
      </c>
      <c r="C82" s="3" t="s">
        <v>194</v>
      </c>
      <c r="D82" s="3"/>
      <c r="E82" s="3" t="s">
        <v>21</v>
      </c>
      <c r="F82" s="14">
        <v>44209</v>
      </c>
      <c r="G82" s="14">
        <v>44215</v>
      </c>
      <c r="H82" s="3" t="s">
        <v>54</v>
      </c>
      <c r="I82" s="3" t="s">
        <v>284</v>
      </c>
      <c r="J82" s="3" t="s">
        <v>285</v>
      </c>
      <c r="K82" s="15" t="s">
        <v>286</v>
      </c>
      <c r="L82" s="3"/>
      <c r="M82" s="1"/>
      <c r="N82" s="1"/>
      <c r="O82" s="1"/>
      <c r="P82" s="1"/>
      <c r="Q82" s="1"/>
      <c r="R82" s="1"/>
      <c r="S82" s="1"/>
      <c r="T82" s="1"/>
      <c r="U82" s="1"/>
      <c r="V82" s="1"/>
    </row>
    <row r="83" spans="1:22" ht="85">
      <c r="A83" s="13" t="s">
        <v>287</v>
      </c>
      <c r="B83" s="3" t="s">
        <v>288</v>
      </c>
      <c r="C83" s="3" t="s">
        <v>64</v>
      </c>
      <c r="D83" s="3"/>
      <c r="E83" s="3" t="s">
        <v>21</v>
      </c>
      <c r="F83" s="14">
        <v>44209</v>
      </c>
      <c r="G83" s="14">
        <v>44216</v>
      </c>
      <c r="H83" s="3" t="s">
        <v>22</v>
      </c>
      <c r="I83" s="15" t="s">
        <v>289</v>
      </c>
      <c r="J83" s="3" t="s">
        <v>279</v>
      </c>
      <c r="K83" s="3" t="s">
        <v>280</v>
      </c>
      <c r="L83" s="3" t="s">
        <v>110</v>
      </c>
      <c r="M83" s="1"/>
      <c r="N83" s="1"/>
      <c r="O83" s="1"/>
      <c r="P83" s="1"/>
      <c r="Q83" s="1"/>
      <c r="R83" s="1"/>
      <c r="S83" s="1"/>
      <c r="T83" s="1"/>
      <c r="U83" s="1"/>
      <c r="V83" s="1"/>
    </row>
    <row r="84" spans="1:22" ht="409.6">
      <c r="A84" s="13" t="s">
        <v>290</v>
      </c>
      <c r="B84" s="3" t="s">
        <v>291</v>
      </c>
      <c r="C84" s="3" t="s">
        <v>202</v>
      </c>
      <c r="D84" s="3"/>
      <c r="E84" s="3" t="s">
        <v>21</v>
      </c>
      <c r="F84" s="14">
        <v>44209</v>
      </c>
      <c r="G84" s="14">
        <v>44209</v>
      </c>
      <c r="H84" s="3" t="s">
        <v>22</v>
      </c>
      <c r="I84" s="15" t="s">
        <v>292</v>
      </c>
      <c r="J84" s="3" t="s">
        <v>293</v>
      </c>
      <c r="K84" s="3" t="s">
        <v>294</v>
      </c>
      <c r="L84" s="3" t="s">
        <v>44</v>
      </c>
      <c r="M84" s="1"/>
      <c r="N84" s="1"/>
      <c r="O84" s="1"/>
      <c r="P84" s="1"/>
      <c r="Q84" s="1"/>
      <c r="R84" s="1"/>
      <c r="S84" s="1"/>
      <c r="T84" s="1"/>
      <c r="U84" s="1"/>
      <c r="V84" s="1"/>
    </row>
    <row r="85" spans="1:22" ht="340">
      <c r="A85" s="13" t="s">
        <v>295</v>
      </c>
      <c r="B85" s="3" t="s">
        <v>296</v>
      </c>
      <c r="C85" s="3" t="s">
        <v>64</v>
      </c>
      <c r="D85" s="3"/>
      <c r="E85" s="3" t="s">
        <v>21</v>
      </c>
      <c r="F85" s="14">
        <v>44209</v>
      </c>
      <c r="G85" s="14">
        <v>44214</v>
      </c>
      <c r="H85" s="3" t="s">
        <v>54</v>
      </c>
      <c r="I85" s="15" t="s">
        <v>297</v>
      </c>
      <c r="J85" s="3" t="s">
        <v>298</v>
      </c>
      <c r="K85" s="3" t="s">
        <v>299</v>
      </c>
      <c r="L85" s="3" t="s">
        <v>300</v>
      </c>
      <c r="M85" s="1"/>
      <c r="N85" s="1"/>
      <c r="O85" s="1"/>
      <c r="P85" s="1"/>
      <c r="Q85" s="1"/>
      <c r="R85" s="1"/>
      <c r="S85" s="1"/>
      <c r="T85" s="1"/>
      <c r="U85" s="1"/>
      <c r="V85" s="1"/>
    </row>
    <row r="86" spans="1:22" ht="68">
      <c r="A86" s="13" t="s">
        <v>301</v>
      </c>
      <c r="B86" s="3" t="s">
        <v>302</v>
      </c>
      <c r="C86" s="3" t="s">
        <v>64</v>
      </c>
      <c r="D86" s="3"/>
      <c r="E86" s="3" t="s">
        <v>21</v>
      </c>
      <c r="F86" s="14">
        <v>44209</v>
      </c>
      <c r="G86" s="14">
        <v>44216</v>
      </c>
      <c r="H86" s="3" t="s">
        <v>22</v>
      </c>
      <c r="I86" s="15" t="s">
        <v>303</v>
      </c>
      <c r="J86" s="3" t="s">
        <v>279</v>
      </c>
      <c r="K86" s="3" t="s">
        <v>280</v>
      </c>
      <c r="L86" s="3" t="s">
        <v>110</v>
      </c>
      <c r="M86" s="1"/>
      <c r="N86" s="1"/>
      <c r="O86" s="1"/>
      <c r="P86" s="1"/>
      <c r="Q86" s="1"/>
      <c r="R86" s="1"/>
      <c r="S86" s="1"/>
      <c r="T86" s="1"/>
      <c r="U86" s="1"/>
      <c r="V86" s="1"/>
    </row>
    <row r="87" spans="1:22" ht="409.6">
      <c r="A87" s="13" t="s">
        <v>304</v>
      </c>
      <c r="B87" s="3" t="s">
        <v>746</v>
      </c>
      <c r="C87" s="3" t="s">
        <v>666</v>
      </c>
      <c r="D87" s="3"/>
      <c r="E87" s="3" t="s">
        <v>21</v>
      </c>
      <c r="F87" s="14">
        <v>44208</v>
      </c>
      <c r="G87" s="14">
        <v>44215</v>
      </c>
      <c r="H87" s="3" t="s">
        <v>122</v>
      </c>
      <c r="I87" s="15" t="s">
        <v>747</v>
      </c>
      <c r="J87" s="3"/>
      <c r="K87" s="15" t="s">
        <v>748</v>
      </c>
      <c r="L87" s="3" t="s">
        <v>305</v>
      </c>
      <c r="M87" s="1"/>
      <c r="N87" s="1"/>
      <c r="O87" s="1"/>
      <c r="P87" s="1"/>
      <c r="Q87" s="1"/>
      <c r="R87" s="1"/>
      <c r="S87" s="1"/>
      <c r="T87" s="1"/>
      <c r="U87" s="1"/>
      <c r="V87" s="1"/>
    </row>
    <row r="88" spans="1:22">
      <c r="A88" s="13" t="s">
        <v>306</v>
      </c>
      <c r="B88" s="3" t="s">
        <v>749</v>
      </c>
      <c r="C88" s="3" t="s">
        <v>202</v>
      </c>
      <c r="D88" s="3"/>
      <c r="E88" s="3" t="s">
        <v>20</v>
      </c>
      <c r="F88" s="14">
        <v>44208</v>
      </c>
      <c r="G88" s="3"/>
      <c r="H88" s="3" t="s">
        <v>22</v>
      </c>
      <c r="I88" s="3" t="s">
        <v>750</v>
      </c>
      <c r="J88" s="3"/>
      <c r="K88" s="3" t="s">
        <v>751</v>
      </c>
      <c r="L88" s="3"/>
      <c r="M88" s="1"/>
      <c r="N88" s="1"/>
      <c r="O88" s="1"/>
      <c r="P88" s="1"/>
      <c r="Q88" s="1"/>
      <c r="R88" s="1"/>
      <c r="S88" s="1"/>
      <c r="T88" s="1"/>
      <c r="U88" s="1"/>
      <c r="V88" s="1"/>
    </row>
    <row r="89" spans="1:22" ht="68">
      <c r="A89" s="13" t="s">
        <v>307</v>
      </c>
      <c r="B89" s="3" t="s">
        <v>623</v>
      </c>
      <c r="C89" s="3" t="s">
        <v>64</v>
      </c>
      <c r="D89" s="3"/>
      <c r="E89" s="3" t="s">
        <v>21</v>
      </c>
      <c r="F89" s="14">
        <v>44208</v>
      </c>
      <c r="G89" s="14">
        <v>44221</v>
      </c>
      <c r="H89" s="3" t="s">
        <v>22</v>
      </c>
      <c r="I89" s="15" t="s">
        <v>624</v>
      </c>
      <c r="J89" s="3" t="s">
        <v>625</v>
      </c>
      <c r="K89" s="15" t="s">
        <v>626</v>
      </c>
      <c r="L89" s="15" t="s">
        <v>627</v>
      </c>
      <c r="M89" s="1"/>
      <c r="N89" s="1"/>
      <c r="O89" s="1"/>
      <c r="P89" s="1"/>
      <c r="Q89" s="1"/>
      <c r="R89" s="1"/>
      <c r="S89" s="1"/>
      <c r="T89" s="1"/>
      <c r="U89" s="1"/>
      <c r="V89" s="1"/>
    </row>
    <row r="90" spans="1:22" ht="255">
      <c r="A90" s="13" t="s">
        <v>308</v>
      </c>
      <c r="B90" s="3" t="s">
        <v>752</v>
      </c>
      <c r="C90" s="3" t="s">
        <v>309</v>
      </c>
      <c r="D90" s="3"/>
      <c r="E90" s="3" t="s">
        <v>21</v>
      </c>
      <c r="F90" s="14">
        <v>44208</v>
      </c>
      <c r="G90" s="14">
        <v>44217</v>
      </c>
      <c r="H90" s="3" t="s">
        <v>22</v>
      </c>
      <c r="I90" s="15" t="s">
        <v>753</v>
      </c>
      <c r="J90" s="15" t="s">
        <v>754</v>
      </c>
      <c r="K90" s="15" t="s">
        <v>755</v>
      </c>
      <c r="L90" s="3"/>
      <c r="M90" s="1"/>
      <c r="N90" s="1"/>
      <c r="O90" s="1"/>
      <c r="P90" s="1"/>
      <c r="Q90" s="1"/>
      <c r="R90" s="1"/>
      <c r="S90" s="1"/>
      <c r="T90" s="1"/>
      <c r="U90" s="1"/>
      <c r="V90" s="1"/>
    </row>
    <row r="91" spans="1:22" ht="136">
      <c r="A91" s="13" t="s">
        <v>310</v>
      </c>
      <c r="B91" s="3" t="s">
        <v>756</v>
      </c>
      <c r="C91" s="3" t="s">
        <v>64</v>
      </c>
      <c r="D91" s="3"/>
      <c r="E91" s="3" t="s">
        <v>181</v>
      </c>
      <c r="F91" s="14">
        <v>44208</v>
      </c>
      <c r="G91" s="3"/>
      <c r="H91" s="3" t="s">
        <v>22</v>
      </c>
      <c r="I91" s="15" t="s">
        <v>757</v>
      </c>
      <c r="J91" s="3" t="s">
        <v>758</v>
      </c>
      <c r="K91" s="3" t="s">
        <v>628</v>
      </c>
      <c r="L91" s="3" t="s">
        <v>277</v>
      </c>
      <c r="M91" s="1"/>
      <c r="N91" s="1"/>
      <c r="O91" s="1"/>
      <c r="P91" s="1"/>
      <c r="Q91" s="1"/>
      <c r="R91" s="1"/>
      <c r="S91" s="1"/>
      <c r="T91" s="1"/>
      <c r="U91" s="1"/>
      <c r="V91" s="1"/>
    </row>
    <row r="92" spans="1:22" ht="187">
      <c r="A92" s="13" t="s">
        <v>311</v>
      </c>
      <c r="B92" s="3" t="s">
        <v>759</v>
      </c>
      <c r="C92" s="3" t="s">
        <v>53</v>
      </c>
      <c r="D92" s="3"/>
      <c r="E92" s="3" t="s">
        <v>20</v>
      </c>
      <c r="F92" s="14">
        <v>44208</v>
      </c>
      <c r="G92" s="3"/>
      <c r="H92" s="3" t="s">
        <v>312</v>
      </c>
      <c r="I92" s="15" t="s">
        <v>760</v>
      </c>
      <c r="J92" s="15" t="s">
        <v>761</v>
      </c>
      <c r="K92" s="3"/>
      <c r="L92" s="3"/>
      <c r="M92" s="1"/>
      <c r="N92" s="1"/>
      <c r="O92" s="1"/>
      <c r="P92" s="1"/>
      <c r="Q92" s="1"/>
      <c r="R92" s="1"/>
      <c r="S92" s="1"/>
      <c r="T92" s="1"/>
      <c r="U92" s="1"/>
      <c r="V92" s="1"/>
    </row>
    <row r="93" spans="1:22" ht="409.6">
      <c r="A93" s="13" t="s">
        <v>313</v>
      </c>
      <c r="B93" s="3" t="s">
        <v>762</v>
      </c>
      <c r="C93" s="3" t="s">
        <v>64</v>
      </c>
      <c r="D93" s="3"/>
      <c r="E93" s="3" t="s">
        <v>181</v>
      </c>
      <c r="F93" s="14">
        <v>44208</v>
      </c>
      <c r="G93" s="3"/>
      <c r="H93" s="3" t="s">
        <v>22</v>
      </c>
      <c r="I93" s="15" t="s">
        <v>763</v>
      </c>
      <c r="J93" s="3" t="s">
        <v>629</v>
      </c>
      <c r="K93" s="15" t="s">
        <v>630</v>
      </c>
      <c r="L93" s="3" t="s">
        <v>277</v>
      </c>
      <c r="M93" s="1"/>
      <c r="N93" s="1"/>
      <c r="O93" s="1"/>
      <c r="P93" s="1"/>
      <c r="Q93" s="1"/>
      <c r="R93" s="1"/>
      <c r="S93" s="1"/>
      <c r="T93" s="1"/>
      <c r="U93" s="1"/>
      <c r="V93" s="1"/>
    </row>
    <row r="94" spans="1:22" ht="187">
      <c r="A94" s="13" t="s">
        <v>314</v>
      </c>
      <c r="B94" s="3" t="s">
        <v>764</v>
      </c>
      <c r="C94" s="3" t="s">
        <v>559</v>
      </c>
      <c r="D94" s="3"/>
      <c r="E94" s="3" t="s">
        <v>20</v>
      </c>
      <c r="F94" s="14">
        <v>44208</v>
      </c>
      <c r="G94" s="3"/>
      <c r="H94" s="3" t="s">
        <v>22</v>
      </c>
      <c r="I94" s="15" t="s">
        <v>765</v>
      </c>
      <c r="J94" s="3"/>
      <c r="K94" s="3"/>
      <c r="L94" s="3"/>
      <c r="M94" s="1"/>
      <c r="N94" s="1"/>
      <c r="O94" s="1"/>
      <c r="P94" s="1"/>
      <c r="Q94" s="1"/>
      <c r="R94" s="1"/>
      <c r="S94" s="1"/>
      <c r="T94" s="1"/>
      <c r="U94" s="1"/>
      <c r="V94" s="1"/>
    </row>
    <row r="95" spans="1:22" ht="372">
      <c r="A95" s="13" t="s">
        <v>315</v>
      </c>
      <c r="B95" s="3" t="s">
        <v>766</v>
      </c>
      <c r="C95" s="3" t="s">
        <v>64</v>
      </c>
      <c r="D95" s="3"/>
      <c r="E95" s="3" t="s">
        <v>181</v>
      </c>
      <c r="F95" s="14">
        <v>44208</v>
      </c>
      <c r="G95" s="3"/>
      <c r="H95" s="3" t="s">
        <v>22</v>
      </c>
      <c r="I95" s="15" t="s">
        <v>767</v>
      </c>
      <c r="J95" s="3" t="s">
        <v>631</v>
      </c>
      <c r="K95" s="3" t="s">
        <v>632</v>
      </c>
      <c r="L95" s="3" t="s">
        <v>633</v>
      </c>
      <c r="M95" s="1"/>
      <c r="N95" s="1"/>
      <c r="O95" s="1"/>
      <c r="P95" s="1"/>
      <c r="Q95" s="1"/>
      <c r="R95" s="1"/>
      <c r="S95" s="1"/>
      <c r="T95" s="1"/>
      <c r="U95" s="1"/>
      <c r="V95" s="1"/>
    </row>
    <row r="96" spans="1:22" ht="68">
      <c r="A96" s="13" t="s">
        <v>316</v>
      </c>
      <c r="B96" s="3" t="s">
        <v>634</v>
      </c>
      <c r="C96" s="3" t="s">
        <v>559</v>
      </c>
      <c r="D96" s="3"/>
      <c r="E96" s="3" t="s">
        <v>20</v>
      </c>
      <c r="F96" s="14">
        <v>44208</v>
      </c>
      <c r="G96" s="3"/>
      <c r="H96" s="3" t="s">
        <v>22</v>
      </c>
      <c r="I96" s="15" t="s">
        <v>635</v>
      </c>
      <c r="J96" s="3"/>
      <c r="K96" s="3"/>
      <c r="L96" s="3"/>
      <c r="M96" s="1"/>
      <c r="N96" s="1"/>
      <c r="O96" s="1"/>
      <c r="P96" s="1"/>
      <c r="Q96" s="1"/>
      <c r="R96" s="1"/>
      <c r="S96" s="1"/>
      <c r="T96" s="1"/>
      <c r="U96" s="1"/>
      <c r="V96" s="1"/>
    </row>
    <row r="97" spans="1:22" ht="153">
      <c r="A97" s="13" t="s">
        <v>317</v>
      </c>
      <c r="B97" s="3" t="s">
        <v>318</v>
      </c>
      <c r="C97" s="3" t="s">
        <v>64</v>
      </c>
      <c r="D97" s="3"/>
      <c r="E97" s="3" t="s">
        <v>21</v>
      </c>
      <c r="F97" s="14">
        <v>44208</v>
      </c>
      <c r="G97" s="14">
        <v>44209</v>
      </c>
      <c r="H97" s="3" t="s">
        <v>54</v>
      </c>
      <c r="I97" s="15" t="s">
        <v>319</v>
      </c>
      <c r="J97" s="3"/>
      <c r="K97" s="3"/>
      <c r="L97" s="3" t="s">
        <v>320</v>
      </c>
      <c r="M97" s="1"/>
      <c r="N97" s="1"/>
      <c r="O97" s="1"/>
      <c r="P97" s="1"/>
      <c r="Q97" s="1"/>
      <c r="R97" s="1"/>
      <c r="S97" s="1"/>
      <c r="T97" s="1"/>
      <c r="U97" s="1"/>
      <c r="V97" s="1"/>
    </row>
    <row r="98" spans="1:22" ht="204">
      <c r="A98" s="13" t="s">
        <v>321</v>
      </c>
      <c r="B98" s="3" t="s">
        <v>322</v>
      </c>
      <c r="C98" s="3" t="s">
        <v>64</v>
      </c>
      <c r="D98" s="3"/>
      <c r="E98" s="3" t="s">
        <v>21</v>
      </c>
      <c r="F98" s="14">
        <v>44208</v>
      </c>
      <c r="G98" s="14">
        <v>44209</v>
      </c>
      <c r="H98" s="3" t="s">
        <v>54</v>
      </c>
      <c r="I98" s="15" t="s">
        <v>323</v>
      </c>
      <c r="J98" s="3"/>
      <c r="K98" s="3"/>
      <c r="L98" s="3" t="s">
        <v>277</v>
      </c>
      <c r="M98" s="1"/>
      <c r="N98" s="1"/>
      <c r="O98" s="1"/>
      <c r="P98" s="1"/>
      <c r="Q98" s="1"/>
      <c r="R98" s="1"/>
      <c r="S98" s="1"/>
      <c r="T98" s="1"/>
      <c r="U98" s="1"/>
      <c r="V98" s="1"/>
    </row>
    <row r="99" spans="1:22" ht="238">
      <c r="A99" s="13" t="s">
        <v>324</v>
      </c>
      <c r="B99" s="3" t="s">
        <v>768</v>
      </c>
      <c r="C99" s="3" t="s">
        <v>64</v>
      </c>
      <c r="D99" s="3"/>
      <c r="E99" s="3" t="s">
        <v>21</v>
      </c>
      <c r="F99" s="14">
        <v>44208</v>
      </c>
      <c r="G99" s="14">
        <v>44209</v>
      </c>
      <c r="H99" s="3" t="s">
        <v>54</v>
      </c>
      <c r="I99" s="15" t="s">
        <v>769</v>
      </c>
      <c r="J99" s="3"/>
      <c r="K99" s="3"/>
      <c r="L99" s="3" t="s">
        <v>277</v>
      </c>
      <c r="M99" s="1"/>
      <c r="N99" s="1"/>
      <c r="O99" s="1"/>
      <c r="P99" s="1"/>
      <c r="Q99" s="1"/>
      <c r="R99" s="1"/>
      <c r="S99" s="1"/>
      <c r="T99" s="1"/>
      <c r="U99" s="1"/>
      <c r="V99" s="1"/>
    </row>
    <row r="100" spans="1:22" ht="136">
      <c r="A100" s="13" t="s">
        <v>325</v>
      </c>
      <c r="B100" s="3" t="s">
        <v>636</v>
      </c>
      <c r="C100" s="3" t="s">
        <v>64</v>
      </c>
      <c r="D100" s="3"/>
      <c r="E100" s="3" t="s">
        <v>181</v>
      </c>
      <c r="F100" s="14">
        <v>44208</v>
      </c>
      <c r="G100" s="3"/>
      <c r="H100" s="3" t="s">
        <v>22</v>
      </c>
      <c r="I100" s="3" t="s">
        <v>637</v>
      </c>
      <c r="J100" s="3" t="s">
        <v>638</v>
      </c>
      <c r="K100" s="15" t="s">
        <v>639</v>
      </c>
      <c r="L100" s="3" t="s">
        <v>277</v>
      </c>
      <c r="M100" s="1"/>
      <c r="N100" s="1"/>
      <c r="O100" s="1"/>
      <c r="P100" s="1"/>
      <c r="Q100" s="1"/>
      <c r="R100" s="1"/>
      <c r="S100" s="1"/>
      <c r="T100" s="1"/>
      <c r="U100" s="1"/>
      <c r="V100" s="1"/>
    </row>
    <row r="101" spans="1:22" ht="272">
      <c r="A101" s="13" t="s">
        <v>326</v>
      </c>
      <c r="B101" s="3" t="s">
        <v>770</v>
      </c>
      <c r="C101" s="3" t="s">
        <v>64</v>
      </c>
      <c r="D101" s="3"/>
      <c r="E101" s="3" t="s">
        <v>21</v>
      </c>
      <c r="F101" s="14">
        <v>44208</v>
      </c>
      <c r="G101" s="14">
        <v>44209</v>
      </c>
      <c r="H101" s="3" t="s">
        <v>54</v>
      </c>
      <c r="I101" s="15" t="s">
        <v>771</v>
      </c>
      <c r="J101" s="3"/>
      <c r="K101" s="3"/>
      <c r="L101" s="3" t="s">
        <v>277</v>
      </c>
      <c r="M101" s="1"/>
      <c r="N101" s="1"/>
      <c r="O101" s="1"/>
      <c r="P101" s="1"/>
      <c r="Q101" s="1"/>
      <c r="R101" s="1"/>
      <c r="S101" s="1"/>
      <c r="T101" s="1"/>
      <c r="U101" s="1"/>
      <c r="V101" s="1"/>
    </row>
    <row r="102" spans="1:22" ht="68">
      <c r="A102" s="13" t="s">
        <v>327</v>
      </c>
      <c r="B102" s="3" t="s">
        <v>772</v>
      </c>
      <c r="C102" s="3" t="s">
        <v>198</v>
      </c>
      <c r="D102" s="3"/>
      <c r="E102" s="3" t="s">
        <v>20</v>
      </c>
      <c r="F102" s="14">
        <v>44208</v>
      </c>
      <c r="G102" s="3"/>
      <c r="H102" s="3" t="s">
        <v>22</v>
      </c>
      <c r="I102" s="3" t="s">
        <v>773</v>
      </c>
      <c r="J102" s="3"/>
      <c r="K102" s="15" t="s">
        <v>774</v>
      </c>
      <c r="L102" s="3"/>
      <c r="M102" s="1"/>
      <c r="N102" s="1"/>
      <c r="O102" s="1"/>
      <c r="P102" s="1"/>
      <c r="Q102" s="1"/>
      <c r="R102" s="1"/>
      <c r="S102" s="1"/>
      <c r="T102" s="1"/>
      <c r="U102" s="1"/>
      <c r="V102" s="1"/>
    </row>
    <row r="103" spans="1:22" ht="238">
      <c r="A103" s="13" t="s">
        <v>328</v>
      </c>
      <c r="B103" s="3" t="s">
        <v>775</v>
      </c>
      <c r="C103" s="3" t="s">
        <v>64</v>
      </c>
      <c r="D103" s="3"/>
      <c r="E103" s="3" t="s">
        <v>181</v>
      </c>
      <c r="F103" s="14">
        <v>44208</v>
      </c>
      <c r="G103" s="3"/>
      <c r="H103" s="3" t="s">
        <v>22</v>
      </c>
      <c r="I103" s="15" t="s">
        <v>776</v>
      </c>
      <c r="J103" s="3" t="s">
        <v>640</v>
      </c>
      <c r="K103" s="15" t="s">
        <v>641</v>
      </c>
      <c r="L103" s="3" t="s">
        <v>277</v>
      </c>
      <c r="M103" s="1"/>
      <c r="N103" s="1"/>
      <c r="O103" s="1"/>
      <c r="P103" s="1"/>
      <c r="Q103" s="1"/>
      <c r="R103" s="1"/>
      <c r="S103" s="1"/>
      <c r="T103" s="1"/>
      <c r="U103" s="1"/>
      <c r="V103" s="1"/>
    </row>
    <row r="104" spans="1:22" ht="102">
      <c r="A104" s="13" t="s">
        <v>329</v>
      </c>
      <c r="B104" s="3" t="s">
        <v>642</v>
      </c>
      <c r="C104" s="3" t="s">
        <v>559</v>
      </c>
      <c r="D104" s="3"/>
      <c r="E104" s="3" t="s">
        <v>20</v>
      </c>
      <c r="F104" s="14">
        <v>44207</v>
      </c>
      <c r="G104" s="3"/>
      <c r="H104" s="3" t="s">
        <v>22</v>
      </c>
      <c r="I104" s="15" t="s">
        <v>643</v>
      </c>
      <c r="J104" s="3"/>
      <c r="K104" s="3"/>
      <c r="L104" s="3"/>
      <c r="M104" s="1"/>
      <c r="N104" s="1"/>
      <c r="O104" s="1"/>
      <c r="P104" s="1"/>
      <c r="Q104" s="1"/>
      <c r="R104" s="1"/>
      <c r="S104" s="1"/>
      <c r="T104" s="1"/>
      <c r="U104" s="1"/>
      <c r="V104" s="1"/>
    </row>
    <row r="105" spans="1:22">
      <c r="A105" s="13" t="s">
        <v>330</v>
      </c>
      <c r="B105" s="3" t="s">
        <v>331</v>
      </c>
      <c r="C105" s="3" t="s">
        <v>38</v>
      </c>
      <c r="D105" s="3"/>
      <c r="E105" s="3" t="s">
        <v>21</v>
      </c>
      <c r="F105" s="14">
        <v>44207</v>
      </c>
      <c r="G105" s="14">
        <v>44214</v>
      </c>
      <c r="H105" s="3" t="s">
        <v>22</v>
      </c>
      <c r="I105" s="3" t="s">
        <v>332</v>
      </c>
      <c r="J105" s="3"/>
      <c r="K105" s="3" t="s">
        <v>333</v>
      </c>
      <c r="L105" s="3" t="s">
        <v>100</v>
      </c>
      <c r="M105" s="1"/>
      <c r="N105" s="1"/>
      <c r="O105" s="1"/>
      <c r="P105" s="1"/>
      <c r="Q105" s="1"/>
      <c r="R105" s="1"/>
      <c r="S105" s="1"/>
      <c r="T105" s="1"/>
      <c r="U105" s="1"/>
      <c r="V105" s="1"/>
    </row>
    <row r="106" spans="1:22">
      <c r="A106" s="13" t="s">
        <v>334</v>
      </c>
      <c r="B106" s="3" t="s">
        <v>335</v>
      </c>
      <c r="C106" s="3" t="s">
        <v>72</v>
      </c>
      <c r="D106" s="3"/>
      <c r="E106" s="3" t="s">
        <v>21</v>
      </c>
      <c r="F106" s="14">
        <v>44207</v>
      </c>
      <c r="G106" s="14">
        <v>44209</v>
      </c>
      <c r="H106" s="3" t="s">
        <v>23</v>
      </c>
      <c r="I106" s="3" t="s">
        <v>336</v>
      </c>
      <c r="J106" s="3"/>
      <c r="K106" s="3"/>
      <c r="L106" s="3" t="s">
        <v>100</v>
      </c>
      <c r="M106" s="1"/>
      <c r="N106" s="1"/>
      <c r="O106" s="1"/>
      <c r="P106" s="1"/>
      <c r="Q106" s="1"/>
      <c r="R106" s="1"/>
      <c r="S106" s="1"/>
      <c r="T106" s="1"/>
      <c r="U106" s="1"/>
      <c r="V106" s="1"/>
    </row>
    <row r="107" spans="1:22">
      <c r="A107" s="13" t="s">
        <v>337</v>
      </c>
      <c r="B107" s="3" t="s">
        <v>338</v>
      </c>
      <c r="C107" s="3" t="s">
        <v>198</v>
      </c>
      <c r="D107" s="3"/>
      <c r="E107" s="3" t="s">
        <v>21</v>
      </c>
      <c r="F107" s="14">
        <v>44207</v>
      </c>
      <c r="G107" s="14">
        <v>44215</v>
      </c>
      <c r="H107" s="3" t="s">
        <v>23</v>
      </c>
      <c r="I107" s="3" t="s">
        <v>339</v>
      </c>
      <c r="J107" s="3"/>
      <c r="K107" s="3"/>
      <c r="L107" s="3"/>
      <c r="M107" s="1"/>
      <c r="N107" s="1"/>
      <c r="O107" s="1"/>
      <c r="P107" s="1"/>
      <c r="Q107" s="1"/>
      <c r="R107" s="1"/>
      <c r="S107" s="1"/>
      <c r="T107" s="1"/>
      <c r="U107" s="1"/>
      <c r="V107" s="1"/>
    </row>
    <row r="108" spans="1:22" ht="102">
      <c r="A108" s="13" t="s">
        <v>340</v>
      </c>
      <c r="B108" s="3" t="s">
        <v>341</v>
      </c>
      <c r="C108" s="3" t="s">
        <v>38</v>
      </c>
      <c r="D108" s="3"/>
      <c r="E108" s="3" t="s">
        <v>21</v>
      </c>
      <c r="F108" s="14">
        <v>44207</v>
      </c>
      <c r="G108" s="14">
        <v>44214</v>
      </c>
      <c r="H108" s="3" t="s">
        <v>22</v>
      </c>
      <c r="I108" s="15" t="s">
        <v>342</v>
      </c>
      <c r="J108" s="3" t="s">
        <v>343</v>
      </c>
      <c r="K108" s="3" t="s">
        <v>344</v>
      </c>
      <c r="L108" s="3" t="s">
        <v>345</v>
      </c>
      <c r="M108" s="1"/>
      <c r="N108" s="1"/>
      <c r="O108" s="1"/>
      <c r="P108" s="1"/>
      <c r="Q108" s="1"/>
      <c r="R108" s="1"/>
      <c r="S108" s="1"/>
      <c r="T108" s="1"/>
      <c r="U108" s="1"/>
      <c r="V108" s="1"/>
    </row>
    <row r="109" spans="1:22" ht="68">
      <c r="A109" s="13" t="s">
        <v>346</v>
      </c>
      <c r="B109" s="3" t="s">
        <v>347</v>
      </c>
      <c r="C109" s="3" t="s">
        <v>38</v>
      </c>
      <c r="D109" s="3"/>
      <c r="E109" s="3" t="s">
        <v>21</v>
      </c>
      <c r="F109" s="14">
        <v>44207</v>
      </c>
      <c r="G109" s="14">
        <v>44214</v>
      </c>
      <c r="H109" s="3" t="s">
        <v>22</v>
      </c>
      <c r="I109" s="15" t="s">
        <v>348</v>
      </c>
      <c r="J109" s="15" t="s">
        <v>349</v>
      </c>
      <c r="K109" s="3" t="s">
        <v>350</v>
      </c>
      <c r="L109" s="3" t="s">
        <v>351</v>
      </c>
      <c r="M109" s="1"/>
      <c r="N109" s="1"/>
      <c r="O109" s="1"/>
      <c r="P109" s="1"/>
      <c r="Q109" s="1"/>
      <c r="R109" s="1"/>
      <c r="S109" s="1"/>
      <c r="T109" s="1"/>
      <c r="U109" s="1"/>
      <c r="V109" s="1"/>
    </row>
    <row r="110" spans="1:22" ht="153">
      <c r="A110" s="13" t="s">
        <v>352</v>
      </c>
      <c r="B110" s="3" t="s">
        <v>777</v>
      </c>
      <c r="C110" s="3" t="s">
        <v>353</v>
      </c>
      <c r="D110" s="3"/>
      <c r="E110" s="3" t="s">
        <v>21</v>
      </c>
      <c r="F110" s="14">
        <v>44207</v>
      </c>
      <c r="G110" s="14">
        <v>44208</v>
      </c>
      <c r="H110" s="3" t="s">
        <v>22</v>
      </c>
      <c r="I110" s="3" t="s">
        <v>778</v>
      </c>
      <c r="J110" s="15" t="s">
        <v>354</v>
      </c>
      <c r="K110" s="15" t="s">
        <v>355</v>
      </c>
      <c r="L110" s="3" t="s">
        <v>779</v>
      </c>
      <c r="M110" s="1"/>
      <c r="N110" s="1"/>
      <c r="O110" s="1"/>
      <c r="P110" s="1"/>
      <c r="Q110" s="1"/>
      <c r="R110" s="1"/>
      <c r="S110" s="1"/>
      <c r="T110" s="1"/>
      <c r="U110" s="1"/>
      <c r="V110" s="1"/>
    </row>
    <row r="111" spans="1:22" ht="409.6">
      <c r="A111" s="13" t="s">
        <v>356</v>
      </c>
      <c r="B111" s="3" t="s">
        <v>780</v>
      </c>
      <c r="C111" s="3" t="s">
        <v>105</v>
      </c>
      <c r="D111" s="3"/>
      <c r="E111" s="3" t="s">
        <v>20</v>
      </c>
      <c r="F111" s="14">
        <v>44206</v>
      </c>
      <c r="G111" s="3"/>
      <c r="H111" s="3" t="s">
        <v>23</v>
      </c>
      <c r="I111" s="15" t="s">
        <v>781</v>
      </c>
      <c r="J111" s="3"/>
      <c r="K111" s="3"/>
      <c r="L111" s="3" t="s">
        <v>100</v>
      </c>
      <c r="M111" s="1"/>
      <c r="N111" s="1"/>
      <c r="O111" s="1"/>
      <c r="P111" s="1"/>
      <c r="Q111" s="1"/>
      <c r="R111" s="1"/>
      <c r="S111" s="1"/>
      <c r="T111" s="1"/>
      <c r="U111" s="1"/>
      <c r="V111" s="1"/>
    </row>
    <row r="112" spans="1:22">
      <c r="A112" s="13" t="s">
        <v>357</v>
      </c>
      <c r="B112" s="3" t="s">
        <v>644</v>
      </c>
      <c r="C112" s="3" t="s">
        <v>198</v>
      </c>
      <c r="D112" s="3"/>
      <c r="E112" s="3" t="s">
        <v>20</v>
      </c>
      <c r="F112" s="14">
        <v>44206</v>
      </c>
      <c r="G112" s="3"/>
      <c r="H112" s="3" t="s">
        <v>23</v>
      </c>
      <c r="I112" s="3" t="s">
        <v>645</v>
      </c>
      <c r="J112" s="3"/>
      <c r="K112" s="3"/>
      <c r="L112" s="3"/>
      <c r="M112" s="1"/>
      <c r="N112" s="1"/>
      <c r="O112" s="1"/>
      <c r="P112" s="1"/>
      <c r="Q112" s="1"/>
      <c r="R112" s="1"/>
      <c r="S112" s="1"/>
      <c r="T112" s="1"/>
      <c r="U112" s="1"/>
      <c r="V112" s="1"/>
    </row>
    <row r="113" spans="1:22">
      <c r="A113" s="13" t="s">
        <v>358</v>
      </c>
      <c r="B113" s="3" t="s">
        <v>359</v>
      </c>
      <c r="C113" s="3" t="s">
        <v>64</v>
      </c>
      <c r="D113" s="3"/>
      <c r="E113" s="3" t="s">
        <v>21</v>
      </c>
      <c r="F113" s="14">
        <v>44206</v>
      </c>
      <c r="G113" s="14">
        <v>44207</v>
      </c>
      <c r="H113" s="3" t="s">
        <v>22</v>
      </c>
      <c r="I113" s="3" t="s">
        <v>360</v>
      </c>
      <c r="J113" s="3"/>
      <c r="K113" s="3"/>
      <c r="L113" s="3"/>
      <c r="M113" s="1"/>
      <c r="N113" s="1"/>
      <c r="O113" s="1"/>
      <c r="P113" s="1"/>
      <c r="Q113" s="1"/>
      <c r="R113" s="1"/>
      <c r="S113" s="1"/>
      <c r="T113" s="1"/>
      <c r="U113" s="1"/>
      <c r="V113" s="1"/>
    </row>
    <row r="114" spans="1:22">
      <c r="A114" s="13" t="s">
        <v>361</v>
      </c>
      <c r="B114" s="3" t="s">
        <v>362</v>
      </c>
      <c r="C114" s="3" t="s">
        <v>29</v>
      </c>
      <c r="D114" s="3"/>
      <c r="E114" s="3" t="s">
        <v>21</v>
      </c>
      <c r="F114" s="14">
        <v>44206</v>
      </c>
      <c r="G114" s="14">
        <v>44208</v>
      </c>
      <c r="H114" s="3" t="s">
        <v>22</v>
      </c>
      <c r="I114" s="3" t="s">
        <v>34</v>
      </c>
      <c r="J114" s="3"/>
      <c r="K114" s="3"/>
      <c r="L114" s="3"/>
      <c r="M114" s="1"/>
      <c r="N114" s="1"/>
      <c r="O114" s="1"/>
      <c r="P114" s="1"/>
      <c r="Q114" s="1"/>
      <c r="R114" s="1"/>
      <c r="S114" s="1"/>
      <c r="T114" s="1"/>
      <c r="U114" s="1"/>
      <c r="V114" s="1"/>
    </row>
    <row r="115" spans="1:22" ht="68">
      <c r="A115" s="13" t="s">
        <v>363</v>
      </c>
      <c r="B115" s="3" t="s">
        <v>364</v>
      </c>
      <c r="C115" s="3" t="s">
        <v>198</v>
      </c>
      <c r="D115" s="3"/>
      <c r="E115" s="3" t="s">
        <v>21</v>
      </c>
      <c r="F115" s="14">
        <v>44206</v>
      </c>
      <c r="G115" s="14">
        <v>44207</v>
      </c>
      <c r="H115" s="3" t="s">
        <v>54</v>
      </c>
      <c r="I115" s="15" t="s">
        <v>365</v>
      </c>
      <c r="J115" s="3"/>
      <c r="K115" s="3"/>
      <c r="L115" s="3" t="s">
        <v>366</v>
      </c>
      <c r="M115" s="1"/>
      <c r="N115" s="1"/>
      <c r="O115" s="1"/>
      <c r="P115" s="1"/>
      <c r="Q115" s="1"/>
      <c r="R115" s="1"/>
      <c r="S115" s="1"/>
      <c r="T115" s="1"/>
      <c r="U115" s="1"/>
      <c r="V115" s="1"/>
    </row>
    <row r="116" spans="1:22" ht="102">
      <c r="A116" s="13" t="s">
        <v>367</v>
      </c>
      <c r="B116" s="3" t="s">
        <v>368</v>
      </c>
      <c r="C116" s="3" t="s">
        <v>64</v>
      </c>
      <c r="D116" s="3"/>
      <c r="E116" s="3" t="s">
        <v>21</v>
      </c>
      <c r="F116" s="14">
        <v>44206</v>
      </c>
      <c r="G116" s="14">
        <v>44215</v>
      </c>
      <c r="H116" s="3" t="s">
        <v>54</v>
      </c>
      <c r="I116" s="15" t="s">
        <v>369</v>
      </c>
      <c r="J116" s="3"/>
      <c r="K116" s="3"/>
      <c r="L116" s="3" t="s">
        <v>370</v>
      </c>
      <c r="M116" s="1"/>
      <c r="N116" s="1"/>
      <c r="O116" s="1"/>
      <c r="P116" s="1"/>
      <c r="Q116" s="1"/>
      <c r="R116" s="1"/>
      <c r="S116" s="1"/>
      <c r="T116" s="1"/>
      <c r="U116" s="1"/>
      <c r="V116" s="1"/>
    </row>
    <row r="117" spans="1:22" ht="51">
      <c r="A117" s="13" t="s">
        <v>371</v>
      </c>
      <c r="B117" s="3" t="s">
        <v>372</v>
      </c>
      <c r="C117" s="3" t="s">
        <v>353</v>
      </c>
      <c r="D117" s="3"/>
      <c r="E117" s="3" t="s">
        <v>21</v>
      </c>
      <c r="F117" s="3"/>
      <c r="G117" s="14">
        <v>44207</v>
      </c>
      <c r="H117" s="3" t="s">
        <v>22</v>
      </c>
      <c r="I117" s="15" t="s">
        <v>373</v>
      </c>
      <c r="J117" s="15" t="s">
        <v>374</v>
      </c>
      <c r="K117" s="3" t="s">
        <v>375</v>
      </c>
      <c r="L117" s="3" t="s">
        <v>376</v>
      </c>
      <c r="M117" s="1"/>
      <c r="N117" s="1"/>
      <c r="O117" s="1"/>
      <c r="P117" s="1"/>
      <c r="Q117" s="1"/>
      <c r="R117" s="1"/>
      <c r="S117" s="1"/>
      <c r="T117" s="1"/>
      <c r="U117" s="1"/>
      <c r="V117" s="1"/>
    </row>
    <row r="118" spans="1:22" ht="136">
      <c r="A118" s="13" t="s">
        <v>377</v>
      </c>
      <c r="B118" s="3" t="s">
        <v>378</v>
      </c>
      <c r="C118" s="3" t="s">
        <v>353</v>
      </c>
      <c r="D118" s="3"/>
      <c r="E118" s="3" t="s">
        <v>21</v>
      </c>
      <c r="F118" s="14">
        <v>44206</v>
      </c>
      <c r="G118" s="14">
        <v>44207</v>
      </c>
      <c r="H118" s="3" t="s">
        <v>22</v>
      </c>
      <c r="I118" s="15" t="s">
        <v>379</v>
      </c>
      <c r="J118" s="3" t="s">
        <v>380</v>
      </c>
      <c r="K118" s="3" t="s">
        <v>381</v>
      </c>
      <c r="L118" s="3" t="s">
        <v>376</v>
      </c>
      <c r="M118" s="1"/>
      <c r="N118" s="1"/>
      <c r="O118" s="1"/>
      <c r="P118" s="1"/>
      <c r="Q118" s="1"/>
      <c r="R118" s="1"/>
      <c r="S118" s="1"/>
      <c r="T118" s="1"/>
      <c r="U118" s="1"/>
      <c r="V118" s="1"/>
    </row>
    <row r="119" spans="1:22" ht="68">
      <c r="A119" s="13" t="s">
        <v>382</v>
      </c>
      <c r="B119" s="3" t="s">
        <v>383</v>
      </c>
      <c r="C119" s="3" t="s">
        <v>353</v>
      </c>
      <c r="D119" s="3"/>
      <c r="E119" s="3" t="s">
        <v>21</v>
      </c>
      <c r="F119" s="14">
        <v>44207</v>
      </c>
      <c r="G119" s="14">
        <v>44207</v>
      </c>
      <c r="H119" s="3" t="s">
        <v>22</v>
      </c>
      <c r="I119" s="3" t="s">
        <v>384</v>
      </c>
      <c r="J119" s="15" t="s">
        <v>385</v>
      </c>
      <c r="K119" s="15" t="s">
        <v>386</v>
      </c>
      <c r="L119" s="3" t="s">
        <v>376</v>
      </c>
      <c r="M119" s="1"/>
      <c r="N119" s="1"/>
      <c r="O119" s="1"/>
      <c r="P119" s="1"/>
      <c r="Q119" s="1"/>
      <c r="R119" s="1"/>
      <c r="S119" s="1"/>
      <c r="T119" s="1"/>
      <c r="U119" s="1"/>
      <c r="V119" s="1"/>
    </row>
    <row r="120" spans="1:22">
      <c r="A120" s="13" t="s">
        <v>387</v>
      </c>
      <c r="B120" s="3" t="s">
        <v>388</v>
      </c>
      <c r="C120" s="3" t="s">
        <v>64</v>
      </c>
      <c r="D120" s="3"/>
      <c r="E120" s="3" t="s">
        <v>21</v>
      </c>
      <c r="F120" s="14">
        <v>44206</v>
      </c>
      <c r="G120" s="14">
        <v>44215</v>
      </c>
      <c r="H120" s="3" t="s">
        <v>54</v>
      </c>
      <c r="I120" s="3" t="s">
        <v>389</v>
      </c>
      <c r="J120" s="3"/>
      <c r="K120" s="3"/>
      <c r="L120" s="3" t="s">
        <v>366</v>
      </c>
      <c r="M120" s="1"/>
      <c r="N120" s="1"/>
      <c r="O120" s="1"/>
      <c r="P120" s="1"/>
      <c r="Q120" s="1"/>
      <c r="R120" s="1"/>
      <c r="S120" s="1"/>
      <c r="T120" s="1"/>
      <c r="U120" s="1"/>
      <c r="V120" s="1"/>
    </row>
    <row r="121" spans="1:22" ht="102">
      <c r="A121" s="13" t="s">
        <v>390</v>
      </c>
      <c r="B121" s="3" t="s">
        <v>391</v>
      </c>
      <c r="C121" s="3" t="s">
        <v>29</v>
      </c>
      <c r="D121" s="3" t="s">
        <v>646</v>
      </c>
      <c r="E121" s="3" t="s">
        <v>21</v>
      </c>
      <c r="F121" s="14">
        <v>44206</v>
      </c>
      <c r="G121" s="14">
        <v>44209</v>
      </c>
      <c r="H121" s="3" t="s">
        <v>22</v>
      </c>
      <c r="I121" s="15" t="s">
        <v>392</v>
      </c>
      <c r="J121" s="3"/>
      <c r="K121" s="3"/>
      <c r="L121" s="3"/>
      <c r="M121" s="1"/>
      <c r="N121" s="1"/>
      <c r="O121" s="1"/>
      <c r="P121" s="1"/>
      <c r="Q121" s="1"/>
      <c r="R121" s="1"/>
      <c r="S121" s="1"/>
      <c r="T121" s="1"/>
      <c r="U121" s="1"/>
      <c r="V121" s="1"/>
    </row>
    <row r="122" spans="1:22" ht="136">
      <c r="A122" s="13" t="s">
        <v>393</v>
      </c>
      <c r="B122" s="3" t="s">
        <v>394</v>
      </c>
      <c r="C122" s="3" t="s">
        <v>64</v>
      </c>
      <c r="D122" s="3"/>
      <c r="E122" s="3" t="s">
        <v>21</v>
      </c>
      <c r="F122" s="14">
        <v>44206</v>
      </c>
      <c r="G122" s="14">
        <v>44208</v>
      </c>
      <c r="H122" s="3" t="s">
        <v>22</v>
      </c>
      <c r="I122" s="15" t="s">
        <v>395</v>
      </c>
      <c r="J122" s="3"/>
      <c r="K122" s="3"/>
      <c r="L122" s="3"/>
      <c r="M122" s="1"/>
      <c r="N122" s="1"/>
      <c r="O122" s="1"/>
      <c r="P122" s="1"/>
      <c r="Q122" s="1"/>
      <c r="R122" s="1"/>
      <c r="S122" s="1"/>
      <c r="T122" s="1"/>
      <c r="U122" s="1"/>
      <c r="V122" s="1"/>
    </row>
    <row r="123" spans="1:22">
      <c r="A123" s="13" t="s">
        <v>396</v>
      </c>
      <c r="B123" s="3" t="s">
        <v>397</v>
      </c>
      <c r="C123" s="3" t="s">
        <v>69</v>
      </c>
      <c r="D123" s="3"/>
      <c r="E123" s="3" t="s">
        <v>21</v>
      </c>
      <c r="F123" s="14">
        <v>44205</v>
      </c>
      <c r="G123" s="14">
        <v>44214</v>
      </c>
      <c r="H123" s="3" t="s">
        <v>22</v>
      </c>
      <c r="I123" s="3" t="s">
        <v>34</v>
      </c>
      <c r="J123" s="3"/>
      <c r="K123" s="3"/>
      <c r="L123" s="3" t="s">
        <v>230</v>
      </c>
      <c r="M123" s="1"/>
      <c r="N123" s="1"/>
      <c r="O123" s="1"/>
      <c r="P123" s="1"/>
      <c r="Q123" s="1"/>
      <c r="R123" s="1"/>
      <c r="S123" s="1"/>
      <c r="T123" s="1"/>
      <c r="U123" s="1"/>
      <c r="V123" s="1"/>
    </row>
    <row r="124" spans="1:22" ht="306">
      <c r="A124" s="13" t="s">
        <v>398</v>
      </c>
      <c r="B124" s="3" t="s">
        <v>782</v>
      </c>
      <c r="C124" s="3" t="s">
        <v>666</v>
      </c>
      <c r="D124" s="3"/>
      <c r="E124" s="3" t="s">
        <v>21</v>
      </c>
      <c r="F124" s="14">
        <v>44205</v>
      </c>
      <c r="G124" s="14">
        <v>44211</v>
      </c>
      <c r="H124" s="3" t="s">
        <v>122</v>
      </c>
      <c r="I124" s="3" t="s">
        <v>783</v>
      </c>
      <c r="J124" s="3"/>
      <c r="K124" s="15" t="s">
        <v>784</v>
      </c>
      <c r="L124" s="3" t="s">
        <v>305</v>
      </c>
      <c r="M124" s="1"/>
      <c r="N124" s="1"/>
      <c r="O124" s="1"/>
      <c r="P124" s="1"/>
      <c r="Q124" s="1"/>
      <c r="R124" s="1"/>
      <c r="S124" s="1"/>
      <c r="T124" s="1"/>
      <c r="U124" s="1"/>
      <c r="V124" s="1"/>
    </row>
    <row r="125" spans="1:22" ht="409.6">
      <c r="A125" s="13" t="s">
        <v>399</v>
      </c>
      <c r="B125" s="3" t="s">
        <v>647</v>
      </c>
      <c r="C125" s="3" t="s">
        <v>576</v>
      </c>
      <c r="D125" s="3"/>
      <c r="E125" s="3" t="s">
        <v>579</v>
      </c>
      <c r="F125" s="14">
        <v>44205</v>
      </c>
      <c r="G125" s="3"/>
      <c r="H125" s="3" t="s">
        <v>22</v>
      </c>
      <c r="I125" s="3" t="s">
        <v>648</v>
      </c>
      <c r="J125" s="15" t="s">
        <v>649</v>
      </c>
      <c r="K125" s="15" t="s">
        <v>650</v>
      </c>
      <c r="L125" s="3" t="s">
        <v>651</v>
      </c>
      <c r="M125" s="1"/>
      <c r="N125" s="1"/>
      <c r="O125" s="1"/>
      <c r="P125" s="1"/>
      <c r="Q125" s="1"/>
      <c r="R125" s="1"/>
      <c r="S125" s="1"/>
      <c r="T125" s="1"/>
      <c r="U125" s="1"/>
      <c r="V125" s="1"/>
    </row>
    <row r="126" spans="1:22">
      <c r="A126" s="13" t="s">
        <v>27</v>
      </c>
      <c r="B126" s="3" t="s">
        <v>28</v>
      </c>
      <c r="C126" s="3" t="s">
        <v>64</v>
      </c>
      <c r="D126" s="3"/>
      <c r="E126" s="3" t="s">
        <v>21</v>
      </c>
      <c r="F126" s="14">
        <v>44205</v>
      </c>
      <c r="G126" s="14">
        <v>44207</v>
      </c>
      <c r="H126" s="3" t="s">
        <v>22</v>
      </c>
      <c r="I126" s="3" t="s">
        <v>30</v>
      </c>
      <c r="J126" s="3"/>
      <c r="K126" s="3"/>
      <c r="L126" s="3" t="s">
        <v>31</v>
      </c>
      <c r="M126" s="1"/>
      <c r="N126" s="1"/>
      <c r="O126" s="1"/>
      <c r="P126" s="1"/>
      <c r="Q126" s="1"/>
      <c r="R126" s="1"/>
      <c r="S126" s="1"/>
      <c r="T126" s="1"/>
      <c r="U126" s="1"/>
      <c r="V126" s="1"/>
    </row>
    <row r="127" spans="1:22">
      <c r="A127" s="13" t="s">
        <v>32</v>
      </c>
      <c r="B127" s="3" t="s">
        <v>33</v>
      </c>
      <c r="C127" s="3" t="s">
        <v>64</v>
      </c>
      <c r="D127" s="3"/>
      <c r="E127" s="3" t="s">
        <v>21</v>
      </c>
      <c r="F127" s="14">
        <v>44205</v>
      </c>
      <c r="G127" s="14">
        <v>44207</v>
      </c>
      <c r="H127" s="3" t="s">
        <v>22</v>
      </c>
      <c r="I127" s="3" t="s">
        <v>34</v>
      </c>
      <c r="J127" s="3"/>
      <c r="K127" s="3"/>
      <c r="L127" s="3" t="s">
        <v>35</v>
      </c>
      <c r="M127" s="1"/>
      <c r="N127" s="1"/>
      <c r="O127" s="1"/>
      <c r="P127" s="1"/>
      <c r="Q127" s="1"/>
      <c r="R127" s="1"/>
      <c r="S127" s="1"/>
      <c r="T127" s="1"/>
      <c r="U127" s="1"/>
      <c r="V127" s="1"/>
    </row>
    <row r="128" spans="1:22">
      <c r="A128" s="13" t="s">
        <v>36</v>
      </c>
      <c r="B128" s="3" t="s">
        <v>37</v>
      </c>
      <c r="C128" s="3" t="s">
        <v>69</v>
      </c>
      <c r="D128" s="3"/>
      <c r="E128" s="3" t="s">
        <v>21</v>
      </c>
      <c r="F128" s="14">
        <v>44205</v>
      </c>
      <c r="G128" s="14">
        <v>44216</v>
      </c>
      <c r="H128" s="3" t="s">
        <v>22</v>
      </c>
      <c r="I128" s="3" t="s">
        <v>39</v>
      </c>
      <c r="J128" s="3"/>
      <c r="K128" s="3"/>
      <c r="L128" s="3"/>
      <c r="M128" s="1"/>
      <c r="N128" s="1"/>
      <c r="O128" s="1"/>
      <c r="P128" s="1"/>
      <c r="Q128" s="1"/>
      <c r="R128" s="1"/>
      <c r="S128" s="1"/>
      <c r="T128" s="1"/>
      <c r="U128" s="1"/>
      <c r="V128" s="1"/>
    </row>
    <row r="129" spans="1:22" ht="119">
      <c r="A129" s="13" t="s">
        <v>40</v>
      </c>
      <c r="B129" s="3" t="s">
        <v>41</v>
      </c>
      <c r="C129" s="3" t="s">
        <v>69</v>
      </c>
      <c r="D129" s="3"/>
      <c r="E129" s="3" t="s">
        <v>21</v>
      </c>
      <c r="F129" s="14">
        <v>44205</v>
      </c>
      <c r="G129" s="14">
        <v>44216</v>
      </c>
      <c r="H129" s="3" t="s">
        <v>22</v>
      </c>
      <c r="I129" s="15" t="s">
        <v>42</v>
      </c>
      <c r="J129" s="3"/>
      <c r="K129" s="3"/>
      <c r="L129" s="3"/>
      <c r="M129" s="1"/>
      <c r="N129" s="1"/>
      <c r="O129" s="1"/>
      <c r="P129" s="1"/>
      <c r="Q129" s="1"/>
      <c r="R129" s="1"/>
      <c r="S129" s="1"/>
      <c r="T129" s="1"/>
      <c r="U129" s="1"/>
      <c r="V129" s="1"/>
    </row>
    <row r="130" spans="1:22">
      <c r="A130" s="13" t="s">
        <v>46</v>
      </c>
      <c r="B130" s="3" t="s">
        <v>47</v>
      </c>
      <c r="C130" s="3" t="s">
        <v>53</v>
      </c>
      <c r="D130" s="3"/>
      <c r="E130" s="3" t="s">
        <v>21</v>
      </c>
      <c r="F130" s="14">
        <v>44203</v>
      </c>
      <c r="G130" s="14">
        <v>44204</v>
      </c>
      <c r="H130" s="3" t="s">
        <v>22</v>
      </c>
      <c r="I130" s="3" t="s">
        <v>48</v>
      </c>
      <c r="J130" s="3" t="s">
        <v>49</v>
      </c>
      <c r="K130" s="3" t="s">
        <v>50</v>
      </c>
      <c r="L130" s="3"/>
      <c r="M130" s="1"/>
      <c r="N130" s="1"/>
      <c r="O130" s="1"/>
      <c r="P130" s="1"/>
      <c r="Q130" s="1"/>
      <c r="R130" s="1"/>
      <c r="S130" s="1"/>
      <c r="T130" s="1"/>
      <c r="U130" s="1"/>
      <c r="V130" s="1"/>
    </row>
    <row r="131" spans="1:22" ht="85">
      <c r="A131" s="13" t="s">
        <v>51</v>
      </c>
      <c r="B131" s="3" t="s">
        <v>52</v>
      </c>
      <c r="C131" s="3" t="s">
        <v>53</v>
      </c>
      <c r="D131" s="3"/>
      <c r="E131" s="3" t="s">
        <v>21</v>
      </c>
      <c r="F131" s="14">
        <v>44203</v>
      </c>
      <c r="G131" s="14">
        <v>44204</v>
      </c>
      <c r="H131" s="3" t="s">
        <v>54</v>
      </c>
      <c r="I131" s="15" t="s">
        <v>55</v>
      </c>
      <c r="J131" s="3" t="s">
        <v>56</v>
      </c>
      <c r="K131" s="3" t="s">
        <v>57</v>
      </c>
      <c r="L131" s="15" t="s">
        <v>400</v>
      </c>
      <c r="M131" s="1"/>
      <c r="N131" s="1"/>
      <c r="O131" s="1"/>
      <c r="P131" s="1"/>
      <c r="Q131" s="1"/>
      <c r="R131" s="1"/>
      <c r="S131" s="1"/>
      <c r="T131" s="1"/>
      <c r="U131" s="1"/>
      <c r="V131" s="1"/>
    </row>
    <row r="132" spans="1:22" ht="51">
      <c r="A132" s="13" t="s">
        <v>58</v>
      </c>
      <c r="B132" s="3" t="s">
        <v>59</v>
      </c>
      <c r="C132" s="3" t="s">
        <v>53</v>
      </c>
      <c r="D132" s="3"/>
      <c r="E132" s="3" t="s">
        <v>21</v>
      </c>
      <c r="F132" s="14">
        <v>44203</v>
      </c>
      <c r="G132" s="14">
        <v>44204</v>
      </c>
      <c r="H132" s="3" t="s">
        <v>22</v>
      </c>
      <c r="I132" s="3" t="s">
        <v>401</v>
      </c>
      <c r="J132" s="15" t="s">
        <v>60</v>
      </c>
      <c r="K132" s="3" t="s">
        <v>45</v>
      </c>
      <c r="L132" s="3"/>
      <c r="M132" s="1"/>
      <c r="N132" s="1"/>
      <c r="O132" s="1"/>
      <c r="P132" s="1"/>
      <c r="Q132" s="1"/>
      <c r="R132" s="1"/>
      <c r="S132" s="1"/>
      <c r="T132" s="1"/>
      <c r="U132" s="1"/>
      <c r="V132" s="1"/>
    </row>
    <row r="133" spans="1:22" ht="323">
      <c r="A133" s="13" t="s">
        <v>61</v>
      </c>
      <c r="B133" s="3" t="s">
        <v>402</v>
      </c>
      <c r="C133" s="3" t="s">
        <v>64</v>
      </c>
      <c r="D133" s="3"/>
      <c r="E133" s="3" t="s">
        <v>21</v>
      </c>
      <c r="F133" s="14">
        <v>44210</v>
      </c>
      <c r="G133" s="14">
        <v>44211</v>
      </c>
      <c r="H133" s="3" t="s">
        <v>54</v>
      </c>
      <c r="I133" s="15" t="s">
        <v>403</v>
      </c>
      <c r="J133" s="15" t="s">
        <v>404</v>
      </c>
      <c r="K133" s="3" t="s">
        <v>405</v>
      </c>
      <c r="L133" s="3"/>
      <c r="M133" s="1"/>
      <c r="N133" s="1"/>
      <c r="O133" s="1"/>
      <c r="P133" s="1"/>
      <c r="Q133" s="1"/>
      <c r="R133" s="1"/>
      <c r="S133" s="1"/>
      <c r="T133" s="1"/>
      <c r="U133" s="1"/>
      <c r="V133" s="1"/>
    </row>
    <row r="134" spans="1:22" ht="323">
      <c r="A134" s="13" t="s">
        <v>62</v>
      </c>
      <c r="B134" s="3" t="s">
        <v>63</v>
      </c>
      <c r="C134" s="3" t="s">
        <v>64</v>
      </c>
      <c r="D134" s="3"/>
      <c r="E134" s="3" t="s">
        <v>21</v>
      </c>
      <c r="F134" s="14">
        <v>44202</v>
      </c>
      <c r="G134" s="14">
        <v>44203</v>
      </c>
      <c r="H134" s="3" t="s">
        <v>22</v>
      </c>
      <c r="I134" s="15" t="s">
        <v>406</v>
      </c>
      <c r="J134" s="3" t="s">
        <v>65</v>
      </c>
      <c r="K134" s="15" t="s">
        <v>66</v>
      </c>
      <c r="L134" s="3"/>
      <c r="M134" s="1"/>
      <c r="N134" s="1"/>
      <c r="O134" s="1"/>
      <c r="P134" s="1"/>
      <c r="Q134" s="1"/>
      <c r="R134" s="1"/>
      <c r="S134" s="1"/>
      <c r="T134" s="1"/>
      <c r="U134" s="1"/>
      <c r="V134" s="1"/>
    </row>
    <row r="135" spans="1:22">
      <c r="A135" s="13" t="s">
        <v>67</v>
      </c>
      <c r="B135" s="3" t="s">
        <v>68</v>
      </c>
      <c r="C135" s="3" t="s">
        <v>69</v>
      </c>
      <c r="D135" s="3"/>
      <c r="E135" s="3" t="s">
        <v>21</v>
      </c>
      <c r="F135" s="14">
        <v>44202</v>
      </c>
      <c r="G135" s="14">
        <v>44203</v>
      </c>
      <c r="H135" s="3" t="s">
        <v>22</v>
      </c>
      <c r="I135" s="3" t="s">
        <v>407</v>
      </c>
      <c r="J135" s="3" t="s">
        <v>408</v>
      </c>
      <c r="K135" s="3" t="s">
        <v>409</v>
      </c>
      <c r="L135" s="3"/>
      <c r="M135" s="1"/>
      <c r="N135" s="1"/>
      <c r="O135" s="1"/>
      <c r="P135" s="1"/>
      <c r="Q135" s="1"/>
      <c r="R135" s="1"/>
      <c r="S135" s="1"/>
      <c r="T135" s="1"/>
      <c r="U135" s="1"/>
      <c r="V135" s="1"/>
    </row>
    <row r="136" spans="1:22" ht="102">
      <c r="A136" s="13" t="s">
        <v>70</v>
      </c>
      <c r="B136" s="3" t="s">
        <v>71</v>
      </c>
      <c r="C136" s="3" t="s">
        <v>72</v>
      </c>
      <c r="D136" s="3" t="s">
        <v>536</v>
      </c>
      <c r="E136" s="3" t="s">
        <v>21</v>
      </c>
      <c r="F136" s="14">
        <v>44202</v>
      </c>
      <c r="G136" s="14">
        <v>44202</v>
      </c>
      <c r="H136" s="3" t="s">
        <v>22</v>
      </c>
      <c r="I136" s="3" t="s">
        <v>410</v>
      </c>
      <c r="J136" s="15" t="s">
        <v>411</v>
      </c>
      <c r="K136" s="3" t="s">
        <v>44</v>
      </c>
      <c r="L136" s="3"/>
      <c r="M136" s="1"/>
      <c r="N136" s="1"/>
      <c r="O136" s="1"/>
      <c r="P136" s="1"/>
      <c r="Q136" s="1"/>
      <c r="R136" s="1"/>
      <c r="S136" s="1"/>
      <c r="T136" s="1"/>
      <c r="U136" s="1"/>
      <c r="V136" s="1"/>
    </row>
    <row r="137" spans="1:22">
      <c r="A137" s="13" t="s">
        <v>73</v>
      </c>
      <c r="B137" s="3" t="s">
        <v>412</v>
      </c>
      <c r="C137" s="3" t="s">
        <v>72</v>
      </c>
      <c r="D137" s="3"/>
      <c r="E137" s="3" t="s">
        <v>21</v>
      </c>
      <c r="F137" s="14">
        <v>44202</v>
      </c>
      <c r="G137" s="14">
        <v>44208</v>
      </c>
      <c r="H137" s="3" t="s">
        <v>22</v>
      </c>
      <c r="I137" s="3" t="s">
        <v>413</v>
      </c>
      <c r="J137" s="3" t="s">
        <v>44</v>
      </c>
      <c r="K137" s="3" t="s">
        <v>44</v>
      </c>
      <c r="L137" s="3"/>
      <c r="M137" s="1"/>
      <c r="N137" s="1"/>
      <c r="O137" s="1"/>
      <c r="P137" s="1"/>
      <c r="Q137" s="1"/>
      <c r="R137" s="1"/>
      <c r="S137" s="1"/>
      <c r="T137" s="1"/>
      <c r="U137" s="1"/>
      <c r="V137" s="1"/>
    </row>
    <row r="138" spans="1:22" ht="170">
      <c r="A138" s="13" t="s">
        <v>74</v>
      </c>
      <c r="B138" s="3" t="s">
        <v>414</v>
      </c>
      <c r="C138" s="3" t="s">
        <v>72</v>
      </c>
      <c r="D138" s="3"/>
      <c r="E138" s="3" t="s">
        <v>21</v>
      </c>
      <c r="F138" s="14">
        <v>44202</v>
      </c>
      <c r="G138" s="14">
        <v>44216</v>
      </c>
      <c r="H138" s="3" t="s">
        <v>22</v>
      </c>
      <c r="I138" s="3" t="s">
        <v>415</v>
      </c>
      <c r="J138" s="15" t="s">
        <v>416</v>
      </c>
      <c r="K138" s="3" t="s">
        <v>44</v>
      </c>
      <c r="L138" s="3"/>
      <c r="M138" s="1"/>
      <c r="N138" s="1"/>
      <c r="O138" s="1"/>
      <c r="P138" s="1"/>
      <c r="Q138" s="1"/>
      <c r="R138" s="1"/>
      <c r="S138" s="1"/>
      <c r="T138" s="1"/>
      <c r="U138" s="1"/>
      <c r="V138" s="1"/>
    </row>
    <row r="139" spans="1:22" ht="85">
      <c r="A139" s="13" t="s">
        <v>75</v>
      </c>
      <c r="B139" s="3" t="s">
        <v>76</v>
      </c>
      <c r="C139" s="3" t="s">
        <v>29</v>
      </c>
      <c r="D139" s="3"/>
      <c r="E139" s="3" t="s">
        <v>21</v>
      </c>
      <c r="F139" s="14">
        <v>44202</v>
      </c>
      <c r="G139" s="14">
        <v>44207</v>
      </c>
      <c r="H139" s="3" t="s">
        <v>22</v>
      </c>
      <c r="I139" s="15" t="s">
        <v>77</v>
      </c>
      <c r="J139" s="3"/>
      <c r="K139" s="3"/>
      <c r="L139" s="3"/>
      <c r="M139" s="1"/>
      <c r="N139" s="1"/>
      <c r="O139" s="1"/>
      <c r="P139" s="1"/>
      <c r="Q139" s="1"/>
      <c r="R139" s="1"/>
      <c r="S139" s="1"/>
      <c r="T139" s="1"/>
      <c r="U139" s="1"/>
      <c r="V139" s="1"/>
    </row>
    <row r="140" spans="1:22" ht="409.6">
      <c r="A140" s="13" t="s">
        <v>78</v>
      </c>
      <c r="B140" s="3" t="s">
        <v>785</v>
      </c>
      <c r="C140" s="3" t="s">
        <v>38</v>
      </c>
      <c r="D140" s="3"/>
      <c r="E140" s="3" t="s">
        <v>21</v>
      </c>
      <c r="F140" s="14">
        <v>44202</v>
      </c>
      <c r="G140" s="14">
        <v>44204</v>
      </c>
      <c r="H140" s="3" t="s">
        <v>22</v>
      </c>
      <c r="I140" s="3" t="s">
        <v>786</v>
      </c>
      <c r="J140" s="15" t="s">
        <v>787</v>
      </c>
      <c r="K140" s="3" t="s">
        <v>788</v>
      </c>
      <c r="L140" s="3"/>
      <c r="M140" s="1"/>
      <c r="N140" s="1"/>
      <c r="O140" s="1"/>
      <c r="P140" s="1"/>
      <c r="Q140" s="1"/>
      <c r="R140" s="1"/>
      <c r="S140" s="1"/>
      <c r="T140" s="1"/>
      <c r="U140" s="1"/>
      <c r="V140" s="1"/>
    </row>
    <row r="141" spans="1:22" ht="409.6">
      <c r="A141" s="13" t="s">
        <v>79</v>
      </c>
      <c r="B141" s="3" t="s">
        <v>652</v>
      </c>
      <c r="C141" s="3" t="s">
        <v>309</v>
      </c>
      <c r="D141" s="3"/>
      <c r="E141" s="3" t="s">
        <v>579</v>
      </c>
      <c r="F141" s="14">
        <v>44202</v>
      </c>
      <c r="G141" s="3"/>
      <c r="H141" s="3" t="s">
        <v>22</v>
      </c>
      <c r="I141" s="15" t="s">
        <v>653</v>
      </c>
      <c r="J141" s="15" t="s">
        <v>654</v>
      </c>
      <c r="K141" s="15" t="s">
        <v>655</v>
      </c>
      <c r="L141" s="3"/>
      <c r="M141" s="1"/>
      <c r="N141" s="1"/>
      <c r="O141" s="1"/>
      <c r="P141" s="1"/>
      <c r="Q141" s="1"/>
      <c r="R141" s="1"/>
      <c r="S141" s="1"/>
      <c r="T141" s="1"/>
      <c r="U141" s="1"/>
      <c r="V141" s="1"/>
    </row>
    <row r="142" spans="1:22">
      <c r="A142" s="3"/>
      <c r="B142" s="3"/>
      <c r="C142" s="3"/>
      <c r="D142" s="3"/>
      <c r="E142" s="3"/>
      <c r="F142" s="3"/>
      <c r="G142" s="3"/>
      <c r="H142" s="3"/>
      <c r="I142" s="3"/>
      <c r="J142" s="3"/>
      <c r="K142" s="3"/>
      <c r="L142" s="3"/>
      <c r="M142" s="1"/>
      <c r="N142" s="1"/>
      <c r="O142" s="1"/>
      <c r="P142" s="1"/>
      <c r="Q142" s="1"/>
      <c r="R142" s="1"/>
      <c r="S142" s="1"/>
      <c r="T142" s="1"/>
      <c r="U142" s="1"/>
    </row>
    <row r="143" spans="1:22">
      <c r="I143"/>
      <c r="J143"/>
      <c r="K143"/>
    </row>
    <row r="144" spans="1:22">
      <c r="I144"/>
      <c r="J144"/>
      <c r="K144"/>
    </row>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41" xr:uid="{74DFAF9E-0219-45F1-9849-259CB8942152}"/>
  <mergeCells count="2">
    <mergeCell ref="B1:C1"/>
    <mergeCell ref="B2:C2"/>
  </mergeCells>
  <phoneticPr fontId="2"/>
  <hyperlinks>
    <hyperlink ref="A6" r:id="rId1" xr:uid="{5997C80A-ACEA-4718-86B4-007EA90EA53F}"/>
    <hyperlink ref="A7" r:id="rId2" xr:uid="{C818458C-7B90-4B42-A6C5-BD6FB6EE8B1C}"/>
    <hyperlink ref="A8" r:id="rId3" xr:uid="{4840644C-A195-4AAA-BB3A-AC8880B5C931}"/>
    <hyperlink ref="A9" r:id="rId4" xr:uid="{F09E9188-8611-4374-84B4-FA67EBBCBF97}"/>
    <hyperlink ref="A10" r:id="rId5" xr:uid="{FEFC468A-6EB0-401D-B1B0-725AD5BA02BA}"/>
    <hyperlink ref="A11" r:id="rId6" xr:uid="{6A3A51BF-6F9A-4620-A698-F4ACB6141396}"/>
    <hyperlink ref="A12" r:id="rId7" xr:uid="{D542A2E2-54CD-44AE-832C-5DF4C3D9DE34}"/>
    <hyperlink ref="A13" r:id="rId8" xr:uid="{6F47D2E0-6399-47C5-BD04-ABB2C20091DA}"/>
    <hyperlink ref="A14" r:id="rId9" xr:uid="{C9E85B81-DD54-4616-A107-CCAD3F87B41F}"/>
    <hyperlink ref="A15" r:id="rId10" xr:uid="{B5E77BFA-2A27-426D-AE1C-ACE48F2A48FD}"/>
    <hyperlink ref="A16" r:id="rId11" xr:uid="{50D9A199-C937-441A-8238-F3F0A6C5BF90}"/>
    <hyperlink ref="A17" r:id="rId12" xr:uid="{902F92BB-D1DF-4EAC-B4B7-11448BE6FF1B}"/>
    <hyperlink ref="A18" r:id="rId13" xr:uid="{60478EFD-8954-4133-9825-320276E81473}"/>
    <hyperlink ref="A19" r:id="rId14" xr:uid="{DB526F47-07FB-4F1C-92C9-8E64784F71E8}"/>
    <hyperlink ref="A20" r:id="rId15" xr:uid="{54B43CDB-E019-4DC8-B363-49B907125FD2}"/>
    <hyperlink ref="A21" r:id="rId16" xr:uid="{9EFD2005-4667-4030-B40E-DDED48434082}"/>
    <hyperlink ref="A22" r:id="rId17" xr:uid="{DD8D9EB3-00F7-422B-9A0D-0D95BA2F1026}"/>
    <hyperlink ref="A23" r:id="rId18" xr:uid="{4532D8E8-892C-483E-BCF1-AB94C0281F72}"/>
    <hyperlink ref="A24" r:id="rId19" xr:uid="{6966BB55-8276-4113-8C64-E96A1E374A14}"/>
    <hyperlink ref="A25" r:id="rId20" xr:uid="{FFD84615-2583-4444-8B35-3EF040CA85CF}"/>
    <hyperlink ref="A26" r:id="rId21" xr:uid="{285E7C2C-BBEE-49F8-8839-C2C98071DEA9}"/>
    <hyperlink ref="A27" r:id="rId22" xr:uid="{96B545E4-51C0-4A8A-8665-F2641BDAF563}"/>
    <hyperlink ref="A28" r:id="rId23" xr:uid="{FD2827E3-946C-4874-8E28-B0914A168E97}"/>
    <hyperlink ref="A29" r:id="rId24" xr:uid="{1FA3E2E5-9DB0-425D-A4F4-DA99B94BEDCC}"/>
    <hyperlink ref="A30" r:id="rId25" xr:uid="{41BDD064-3EC9-4C9B-9B37-79DE00C5113D}"/>
    <hyperlink ref="A31" r:id="rId26" xr:uid="{1196B68D-0696-4D91-9611-5787F48357F3}"/>
    <hyperlink ref="A32" r:id="rId27" xr:uid="{E167E4C1-D33B-4FBF-8709-9465BF5A1BEC}"/>
    <hyperlink ref="A33" r:id="rId28" xr:uid="{513DA39D-DD2A-4A28-AA88-C29F49AE5572}"/>
    <hyperlink ref="A34" r:id="rId29" xr:uid="{9DE66C1F-B0AE-4736-8DB5-23A28FAE60F5}"/>
    <hyperlink ref="A35" r:id="rId30" xr:uid="{4D8627B3-44D5-4638-8131-985CB48CD9FC}"/>
    <hyperlink ref="A36" r:id="rId31" xr:uid="{E5CBD709-2FBC-49AC-A724-D7C89B2D856A}"/>
    <hyperlink ref="A37" r:id="rId32" xr:uid="{42C766CD-4860-4EC4-BBDB-24B2F3C2A7BC}"/>
    <hyperlink ref="A38" r:id="rId33" xr:uid="{21A3BFEF-45C8-4943-9DE1-52518B274B41}"/>
    <hyperlink ref="A39" r:id="rId34" xr:uid="{8D339455-D714-41AB-A635-F61897803711}"/>
    <hyperlink ref="A40" r:id="rId35" xr:uid="{09D28DD2-3BAB-446A-80E7-0D3B864DAB77}"/>
    <hyperlink ref="A41" r:id="rId36" xr:uid="{5A8B9C6B-91DD-4CFA-B6B3-F7F88F9FBC10}"/>
    <hyperlink ref="A42" r:id="rId37" xr:uid="{EA8C160F-7043-4E84-942A-20BBC535E1A1}"/>
    <hyperlink ref="A43" r:id="rId38" xr:uid="{1AB38F8D-3C10-4C1A-AB23-5309EA13965A}"/>
    <hyperlink ref="A44" r:id="rId39" xr:uid="{E69604B6-BD5A-450D-9431-963958BCAA41}"/>
    <hyperlink ref="A45" r:id="rId40" xr:uid="{51AB64EE-B7C3-45AA-B3C2-219CEA35275E}"/>
    <hyperlink ref="A46" r:id="rId41" xr:uid="{AE15E16A-8D47-4FBE-82C1-660C3F4DE5B7}"/>
    <hyperlink ref="A47" r:id="rId42" xr:uid="{5C148528-C5F1-4EBE-AFA2-231F6214D6DE}"/>
    <hyperlink ref="A48" r:id="rId43" xr:uid="{99071A09-10B0-44A1-91EE-0DEF707C03AB}"/>
    <hyperlink ref="A49" r:id="rId44" xr:uid="{90297BBA-14AF-4A59-B72B-83FB71788CB6}"/>
    <hyperlink ref="A50" r:id="rId45" xr:uid="{FCAA3533-F60D-4429-BC62-00D023F0997E}"/>
    <hyperlink ref="A51" r:id="rId46" xr:uid="{7269EAC2-F3B1-4519-8450-CBC27D42938F}"/>
    <hyperlink ref="A52" r:id="rId47" xr:uid="{6E950278-32A0-41B2-A09A-C089121CA212}"/>
    <hyperlink ref="A53" r:id="rId48" xr:uid="{3E133A56-B7BE-47BB-9656-3817838E0AAA}"/>
    <hyperlink ref="A54" r:id="rId49" xr:uid="{784F9F59-8FE2-467E-B8F1-36261A38E636}"/>
    <hyperlink ref="A55" r:id="rId50" xr:uid="{2AA08E38-A49F-4008-A269-2AE7179116DF}"/>
    <hyperlink ref="A56" r:id="rId51" xr:uid="{03FF4014-8DF0-482B-95D0-6ADEAE5C7DDB}"/>
    <hyperlink ref="A57" r:id="rId52" xr:uid="{85E45AA5-464B-48E1-B1DB-6579AC14C4E2}"/>
    <hyperlink ref="A58" r:id="rId53" xr:uid="{18D86DB1-B59B-45A4-9DB2-2DADC5DB78DC}"/>
    <hyperlink ref="A59" r:id="rId54" xr:uid="{4E232A29-5280-41C2-8153-C9F7A7B789B4}"/>
    <hyperlink ref="A60" r:id="rId55" xr:uid="{9CA2EC9D-F34B-4284-A9EE-9D529B6120AD}"/>
    <hyperlink ref="A61" r:id="rId56" xr:uid="{19CAC0F0-4B20-4A3B-8B36-B56A439ECB61}"/>
    <hyperlink ref="A62" r:id="rId57" xr:uid="{B902477B-DB8A-43ED-9614-DD9430202373}"/>
    <hyperlink ref="A63" r:id="rId58" xr:uid="{14503794-0CAB-4A29-8A3A-D5DBDD58B7CE}"/>
    <hyperlink ref="A64" r:id="rId59" xr:uid="{15D553CA-09C2-43FE-ACD1-BE27C7A2C19E}"/>
    <hyperlink ref="A65" r:id="rId60" xr:uid="{2ED4B4F9-4119-4290-BD13-62B36AFB480C}"/>
    <hyperlink ref="A66" r:id="rId61" xr:uid="{5D12F48D-DE0B-4A3F-84FC-9F11ECD09EFB}"/>
    <hyperlink ref="A67" r:id="rId62" xr:uid="{D9C7821A-39EC-491A-B684-29680242A227}"/>
    <hyperlink ref="A68" r:id="rId63" xr:uid="{72FD3B88-F67D-4189-8719-92F3D11554DB}"/>
    <hyperlink ref="A69" r:id="rId64" xr:uid="{B1F872B2-24CE-4DCE-9B77-97DF189FF0A6}"/>
    <hyperlink ref="A70" r:id="rId65" xr:uid="{88CAE77F-D3B8-457B-92B6-F0A876C317AB}"/>
    <hyperlink ref="A71" r:id="rId66" xr:uid="{3B173EE8-4786-41DD-B6CA-83AAA86A3BF2}"/>
    <hyperlink ref="A72" r:id="rId67" xr:uid="{18398A97-35F4-451B-A2B4-9D87ADA84DEA}"/>
    <hyperlink ref="A73" r:id="rId68" xr:uid="{DF1E66F4-B074-4E7A-98F0-40035E22DAE5}"/>
    <hyperlink ref="A74" r:id="rId69" xr:uid="{50324168-3194-42B9-BE0D-3D2D11598EA0}"/>
    <hyperlink ref="A75" r:id="rId70" xr:uid="{3E2F74AB-5BAF-40F5-A054-25DFBC8CC777}"/>
    <hyperlink ref="A76" r:id="rId71" xr:uid="{4797110E-854F-4D32-B04C-DF7B76091653}"/>
    <hyperlink ref="A77" r:id="rId72" xr:uid="{EF2FFEBE-1BD5-4EB9-9791-2C893013BA17}"/>
    <hyperlink ref="A78" r:id="rId73" xr:uid="{F42C717A-AB16-4654-82EB-5E45A89D5B13}"/>
    <hyperlink ref="A79" r:id="rId74" xr:uid="{58A1070E-879A-4790-9581-89DF954CD4F3}"/>
    <hyperlink ref="A80" r:id="rId75" xr:uid="{92BD1F53-0481-4087-B7A9-1E2FFF13F9B3}"/>
    <hyperlink ref="A81" r:id="rId76" xr:uid="{81A3E33B-BB31-4278-A62F-D1D622EA33FE}"/>
    <hyperlink ref="A82" r:id="rId77" xr:uid="{9DA0B847-1A1B-4BA5-9EFF-FF2F078ABCDF}"/>
    <hyperlink ref="A83" r:id="rId78" xr:uid="{639F6182-4B9F-4206-91FC-86F6CB968711}"/>
    <hyperlink ref="A84" r:id="rId79" xr:uid="{A4FA88AC-E5E3-420B-8DE1-D4B0E8F36D5F}"/>
    <hyperlink ref="A85" r:id="rId80" xr:uid="{23183880-8EF8-4F04-B978-B3B103E2BD92}"/>
    <hyperlink ref="A86" r:id="rId81" xr:uid="{A76AB170-8D76-4AB9-9CE9-6BBA7303B96F}"/>
    <hyperlink ref="A87" r:id="rId82" xr:uid="{261BCC40-B1F2-4CA2-BCA5-65FAC21E62C6}"/>
    <hyperlink ref="A88" r:id="rId83" xr:uid="{6B7744E1-BD11-46C9-AFC6-CF2BA747D88C}"/>
    <hyperlink ref="A89" r:id="rId84" xr:uid="{1A4F83B9-EBE3-43B9-9374-82CB5DDFBAC7}"/>
    <hyperlink ref="A90" r:id="rId85" xr:uid="{DAD6C6C7-6ACC-40B8-B0E5-5C4218555B43}"/>
    <hyperlink ref="A91" r:id="rId86" xr:uid="{31217664-DFAB-4481-ACDC-983777545389}"/>
    <hyperlink ref="A92" r:id="rId87" xr:uid="{67D92284-C366-487A-8B99-BDC62E1096D6}"/>
    <hyperlink ref="A93" r:id="rId88" xr:uid="{785D7361-AF7E-4C44-9D53-44DCCB118D45}"/>
    <hyperlink ref="A94" r:id="rId89" xr:uid="{BF525AB4-0B8C-4773-9B9A-7DE31EA14C9B}"/>
    <hyperlink ref="A95" r:id="rId90" xr:uid="{C1DD83AB-4BC5-4667-A017-34FDAEEA460E}"/>
    <hyperlink ref="A96" r:id="rId91" xr:uid="{E4EB8603-FAE3-4D29-B7A2-7051613A96B0}"/>
    <hyperlink ref="A97" r:id="rId92" xr:uid="{94A6AF98-E3F8-43BC-9586-8B5E5DF24ADC}"/>
    <hyperlink ref="A98" r:id="rId93" xr:uid="{99D52F94-3CB5-4FE0-8547-21076A24CE00}"/>
    <hyperlink ref="A99" r:id="rId94" xr:uid="{2E73B177-D6EF-4138-A162-76AE87B13667}"/>
    <hyperlink ref="A100" r:id="rId95" xr:uid="{649ECF40-A4E6-4794-B831-159E1B47B965}"/>
    <hyperlink ref="A101" r:id="rId96" xr:uid="{ABD36671-7EA9-4991-B31D-39E2686A7535}"/>
    <hyperlink ref="A102" r:id="rId97" xr:uid="{4A2CC75F-E0A3-4074-8AE3-4F04C4D27F9B}"/>
    <hyperlink ref="A103" r:id="rId98" xr:uid="{87FA9503-E2D2-4A52-BB1A-BD8802E9ED5B}"/>
    <hyperlink ref="A104" r:id="rId99" xr:uid="{E6EE1DA9-96D3-416E-AC9D-78238CA17C83}"/>
    <hyperlink ref="A105" r:id="rId100" xr:uid="{44BF18EC-1A61-4460-8328-69FB714E2906}"/>
    <hyperlink ref="A106" r:id="rId101" xr:uid="{C3053396-9FDC-4CC2-8631-A1A6BFF350B6}"/>
    <hyperlink ref="A107" r:id="rId102" xr:uid="{B2807F0E-FF46-4351-9F55-EE1BA1BCF976}"/>
    <hyperlink ref="A108" r:id="rId103" xr:uid="{B624524B-1D64-4292-84A6-36829CF3B44D}"/>
    <hyperlink ref="A109" r:id="rId104" xr:uid="{96E568CB-B5EB-4434-9E4D-155E0C9F378D}"/>
    <hyperlink ref="A110" r:id="rId105" xr:uid="{34AA3E92-1DFA-435B-AFE5-AA8A73C475BA}"/>
    <hyperlink ref="A111" r:id="rId106" xr:uid="{E89BA2B5-8AEC-41C5-95EA-74F078ED9524}"/>
    <hyperlink ref="A112" r:id="rId107" xr:uid="{C7DE1504-F294-4984-8CB2-546A708E123D}"/>
    <hyperlink ref="A113" r:id="rId108" xr:uid="{2B270446-FF17-44CD-8ABE-274018F72443}"/>
    <hyperlink ref="A114" r:id="rId109" xr:uid="{F3A74642-A88A-4480-95B9-DC036E1062F6}"/>
    <hyperlink ref="A115" r:id="rId110" xr:uid="{64382721-6A82-44E9-9A61-7EE74BD28FCA}"/>
    <hyperlink ref="A116" r:id="rId111" xr:uid="{6E28678B-8654-4098-8C08-3F7D5B5DE980}"/>
    <hyperlink ref="A117" r:id="rId112" xr:uid="{8237866F-73E9-4C03-94B0-7B1AA58C98BA}"/>
    <hyperlink ref="A118" r:id="rId113" xr:uid="{0D161DCF-77BB-48C8-8069-F44C14E5BF2E}"/>
    <hyperlink ref="A119" r:id="rId114" xr:uid="{C52368CE-E5C7-4E06-BDDD-A9DC076FB142}"/>
    <hyperlink ref="A120" r:id="rId115" xr:uid="{5DBAA50E-B71C-4595-9F7F-9648F8EDCC27}"/>
    <hyperlink ref="A121" r:id="rId116" xr:uid="{DCAD3179-AEA5-4609-8AEC-7AC850D92C86}"/>
    <hyperlink ref="A122" r:id="rId117" xr:uid="{84D1DF60-2BAA-4B09-B83A-CCBF6C2A3C55}"/>
    <hyperlink ref="A123" r:id="rId118" xr:uid="{E1DC7FF7-18B4-476F-B557-5282DFEBE59B}"/>
    <hyperlink ref="A124" r:id="rId119" xr:uid="{2F403A4D-3457-4D41-A538-06EB59AEDDBA}"/>
    <hyperlink ref="A125" r:id="rId120" xr:uid="{CA58E162-74D1-4466-BD18-1A963A712AB4}"/>
    <hyperlink ref="A126" r:id="rId121" xr:uid="{32CB5CFA-4B43-482A-A6CB-165C2CB06274}"/>
    <hyperlink ref="A127" r:id="rId122" xr:uid="{E83D1B9C-C190-40DF-96F5-F52D5EA4E696}"/>
    <hyperlink ref="A128" r:id="rId123" xr:uid="{CDCA696D-DC15-4281-9923-4DA8497280C1}"/>
    <hyperlink ref="A129" r:id="rId124" xr:uid="{E02673FB-9F71-470A-AD44-EA0933FB0B2F}"/>
    <hyperlink ref="A130" r:id="rId125" xr:uid="{C33F2054-4CFD-4FB3-823D-5C373AB91FAC}"/>
    <hyperlink ref="A131" r:id="rId126" xr:uid="{15FA7822-116D-4188-A761-7CF90C7B95E0}"/>
    <hyperlink ref="A132" r:id="rId127" xr:uid="{ED112DD7-A0B5-473F-8253-C7B89FED61E3}"/>
    <hyperlink ref="A133" r:id="rId128" xr:uid="{F871BC65-79E3-45C6-912B-CBFF34054B7C}"/>
    <hyperlink ref="A134" r:id="rId129" xr:uid="{5EB8BCF3-3E39-4838-832D-C76FBAE957A7}"/>
    <hyperlink ref="A135" r:id="rId130" xr:uid="{AEAB9A29-3890-479D-B621-71AAEAA64AAB}"/>
    <hyperlink ref="A136" r:id="rId131" xr:uid="{4046B5E1-4536-40D6-8716-6F95D1DCBCDD}"/>
    <hyperlink ref="A137" r:id="rId132" xr:uid="{498FDC7E-6B5E-4E9C-8540-8B8EFE1FBE9A}"/>
    <hyperlink ref="A138" r:id="rId133" xr:uid="{B391A383-0DA4-4781-9909-0C911D15827B}"/>
    <hyperlink ref="A139" r:id="rId134" xr:uid="{539FA5B0-84A9-48DE-A8DC-C03E6AD47898}"/>
    <hyperlink ref="A140" r:id="rId135" xr:uid="{DB18206A-027E-4133-B8F6-0ABF11FD8C78}"/>
    <hyperlink ref="A141" r:id="rId136" xr:uid="{D8138624-554D-4A2E-8F2E-FFB76BB84A66}"/>
  </hyperlinks>
  <pageMargins left="0.7" right="0.7" top="0.75" bottom="0.75" header="0.3" footer="0.3"/>
  <pageSetup paperSize="9" orientation="portrait" r:id="rId137"/>
  <drawing r:id="rId138"/>
  <legacyDrawing r:id="rId139"/>
  <mc:AlternateContent xmlns:mc="http://schemas.openxmlformats.org/markup-compatibility/2006">
    <mc:Choice Requires="x14">
      <controls>
        <mc:AlternateContent xmlns:mc="http://schemas.openxmlformats.org/markup-compatibility/2006">
          <mc:Choice Requires="x14">
            <control shapeId="18433" r:id="rId140"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84</v>
      </c>
      <c r="C1" s="102"/>
      <c r="D1" s="52"/>
    </row>
    <row r="2" spans="1:22">
      <c r="A2" s="10" t="s">
        <v>2</v>
      </c>
      <c r="B2" s="102">
        <f>VLOOKUP(B1,親課題リスト!D4:E6,2)</f>
        <v>10929022</v>
      </c>
      <c r="C2" s="102"/>
      <c r="D2" s="52"/>
    </row>
    <row r="3" spans="1:22">
      <c r="A3" s="12" t="s">
        <v>789</v>
      </c>
      <c r="B3" s="12"/>
    </row>
    <row r="4" spans="1:22" ht="6.75" customHeight="1"/>
    <row r="5" spans="1:22" ht="40.5" customHeight="1">
      <c r="A5" s="17" t="s">
        <v>11</v>
      </c>
      <c r="B5" s="17" t="s">
        <v>3</v>
      </c>
      <c r="C5" s="17" t="s">
        <v>12</v>
      </c>
      <c r="D5" s="16" t="s">
        <v>535</v>
      </c>
      <c r="E5" s="17" t="s">
        <v>13</v>
      </c>
      <c r="F5" s="17" t="s">
        <v>14</v>
      </c>
      <c r="G5" s="17" t="s">
        <v>15</v>
      </c>
      <c r="H5" s="16" t="s">
        <v>19</v>
      </c>
      <c r="I5" s="17" t="s">
        <v>16</v>
      </c>
      <c r="J5" s="16" t="s">
        <v>17</v>
      </c>
      <c r="K5" s="16" t="s">
        <v>18</v>
      </c>
      <c r="L5" s="16" t="s">
        <v>25</v>
      </c>
    </row>
    <row r="6" spans="1:22" ht="409.6">
      <c r="A6" s="13" t="s">
        <v>417</v>
      </c>
      <c r="B6" s="3" t="s">
        <v>104</v>
      </c>
      <c r="C6" s="3" t="s">
        <v>90</v>
      </c>
      <c r="D6" s="3"/>
      <c r="E6" s="3" t="s">
        <v>20</v>
      </c>
      <c r="F6" s="14">
        <v>44216</v>
      </c>
      <c r="G6" s="3"/>
      <c r="H6" s="3" t="s">
        <v>22</v>
      </c>
      <c r="I6" s="15" t="s">
        <v>418</v>
      </c>
      <c r="J6" s="3"/>
      <c r="K6" s="3"/>
      <c r="L6" s="3"/>
      <c r="M6" s="1"/>
      <c r="N6" s="1"/>
      <c r="O6" s="1"/>
      <c r="P6" s="1"/>
      <c r="Q6" s="1"/>
      <c r="R6" s="1"/>
      <c r="S6" s="1"/>
      <c r="T6" s="1"/>
      <c r="U6" s="1"/>
      <c r="V6" s="1"/>
    </row>
    <row r="7" spans="1:22" ht="119">
      <c r="A7" s="13" t="s">
        <v>419</v>
      </c>
      <c r="B7" s="3" t="s">
        <v>420</v>
      </c>
      <c r="C7" s="3" t="s">
        <v>64</v>
      </c>
      <c r="D7" s="3"/>
      <c r="E7" s="3" t="s">
        <v>21</v>
      </c>
      <c r="F7" s="14">
        <v>44215</v>
      </c>
      <c r="G7" s="14">
        <v>44217</v>
      </c>
      <c r="H7" s="3" t="s">
        <v>22</v>
      </c>
      <c r="I7" s="15" t="s">
        <v>421</v>
      </c>
      <c r="J7" s="3"/>
      <c r="K7" s="3"/>
      <c r="L7" s="3"/>
      <c r="M7" s="1"/>
      <c r="N7" s="1"/>
      <c r="O7" s="1"/>
      <c r="P7" s="1"/>
      <c r="Q7" s="1"/>
      <c r="R7" s="1"/>
      <c r="S7" s="1"/>
      <c r="T7" s="1"/>
      <c r="U7" s="1"/>
      <c r="V7" s="1"/>
    </row>
    <row r="8" spans="1:22" ht="119">
      <c r="A8" s="13" t="s">
        <v>422</v>
      </c>
      <c r="B8" s="3" t="s">
        <v>423</v>
      </c>
      <c r="C8" s="3" t="s">
        <v>90</v>
      </c>
      <c r="D8" s="3"/>
      <c r="E8" s="3" t="s">
        <v>20</v>
      </c>
      <c r="F8" s="14">
        <v>44215</v>
      </c>
      <c r="G8" s="3"/>
      <c r="H8" s="3" t="s">
        <v>54</v>
      </c>
      <c r="I8" s="15" t="s">
        <v>421</v>
      </c>
      <c r="J8" s="3"/>
      <c r="K8" s="3"/>
      <c r="L8" s="3" t="s">
        <v>424</v>
      </c>
      <c r="M8" s="1"/>
      <c r="N8" s="1"/>
      <c r="O8" s="1"/>
      <c r="P8" s="1"/>
      <c r="Q8" s="1"/>
      <c r="R8" s="1"/>
      <c r="S8" s="1"/>
      <c r="T8" s="1"/>
      <c r="U8" s="1"/>
      <c r="V8" s="1"/>
    </row>
    <row r="9" spans="1:22" ht="372">
      <c r="A9" s="13" t="s">
        <v>425</v>
      </c>
      <c r="B9" s="3" t="s">
        <v>426</v>
      </c>
      <c r="C9" s="3" t="s">
        <v>90</v>
      </c>
      <c r="D9" s="3"/>
      <c r="E9" s="3" t="s">
        <v>20</v>
      </c>
      <c r="F9" s="14">
        <v>44216</v>
      </c>
      <c r="G9" s="3"/>
      <c r="H9" s="3" t="s">
        <v>22</v>
      </c>
      <c r="I9" s="15" t="s">
        <v>427</v>
      </c>
      <c r="J9" s="3"/>
      <c r="K9" s="3"/>
      <c r="L9" s="3"/>
      <c r="M9" s="1"/>
      <c r="N9" s="1"/>
      <c r="O9" s="1"/>
      <c r="P9" s="1"/>
      <c r="Q9" s="1"/>
      <c r="R9" s="1"/>
      <c r="S9" s="1"/>
      <c r="T9" s="1"/>
      <c r="U9" s="1"/>
      <c r="V9" s="1"/>
    </row>
    <row r="10" spans="1:22" ht="170">
      <c r="A10" s="13" t="s">
        <v>428</v>
      </c>
      <c r="B10" s="3" t="s">
        <v>429</v>
      </c>
      <c r="C10" s="3" t="s">
        <v>90</v>
      </c>
      <c r="D10" s="3"/>
      <c r="E10" s="3" t="s">
        <v>20</v>
      </c>
      <c r="F10" s="14">
        <v>44216</v>
      </c>
      <c r="G10" s="3"/>
      <c r="H10" s="3" t="s">
        <v>22</v>
      </c>
      <c r="I10" s="15" t="s">
        <v>430</v>
      </c>
      <c r="J10" s="3"/>
      <c r="K10" s="3"/>
      <c r="L10" s="3"/>
      <c r="M10" s="1"/>
      <c r="N10" s="1"/>
      <c r="O10" s="1"/>
      <c r="P10" s="1"/>
      <c r="Q10" s="1"/>
      <c r="R10" s="1"/>
      <c r="S10" s="1"/>
      <c r="T10" s="1"/>
      <c r="U10" s="1"/>
      <c r="V10" s="1"/>
    </row>
    <row r="11" spans="1:22" ht="187">
      <c r="A11" s="13" t="s">
        <v>431</v>
      </c>
      <c r="B11" s="3" t="s">
        <v>432</v>
      </c>
      <c r="C11" s="3" t="s">
        <v>64</v>
      </c>
      <c r="D11" s="3"/>
      <c r="E11" s="3" t="s">
        <v>21</v>
      </c>
      <c r="F11" s="14">
        <v>44215</v>
      </c>
      <c r="G11" s="14">
        <v>44217</v>
      </c>
      <c r="H11" s="3" t="s">
        <v>22</v>
      </c>
      <c r="I11" s="15" t="s">
        <v>433</v>
      </c>
      <c r="J11" s="3"/>
      <c r="K11" s="3"/>
      <c r="L11" s="3"/>
      <c r="M11" s="1"/>
      <c r="N11" s="1"/>
      <c r="O11" s="1"/>
      <c r="P11" s="1"/>
      <c r="Q11" s="1"/>
      <c r="R11" s="1"/>
      <c r="S11" s="1"/>
      <c r="T11" s="1"/>
      <c r="U11" s="1"/>
      <c r="V11" s="1"/>
    </row>
    <row r="12" spans="1:22" ht="153">
      <c r="A12" s="13" t="s">
        <v>434</v>
      </c>
      <c r="B12" s="3" t="s">
        <v>435</v>
      </c>
      <c r="C12" s="3" t="s">
        <v>90</v>
      </c>
      <c r="D12" s="3"/>
      <c r="E12" s="3" t="s">
        <v>20</v>
      </c>
      <c r="F12" s="14">
        <v>44215</v>
      </c>
      <c r="G12" s="3"/>
      <c r="H12" s="3" t="s">
        <v>54</v>
      </c>
      <c r="I12" s="15" t="s">
        <v>436</v>
      </c>
      <c r="J12" s="3"/>
      <c r="K12" s="3"/>
      <c r="L12" s="3" t="s">
        <v>437</v>
      </c>
      <c r="M12" s="1"/>
      <c r="N12" s="1"/>
      <c r="O12" s="1"/>
      <c r="P12" s="1"/>
      <c r="Q12" s="1"/>
      <c r="R12" s="1"/>
      <c r="S12" s="1"/>
      <c r="T12" s="1"/>
      <c r="U12" s="1"/>
      <c r="V12" s="1"/>
    </row>
    <row r="13" spans="1:22" ht="409.6">
      <c r="A13" s="13" t="s">
        <v>438</v>
      </c>
      <c r="B13" s="3" t="s">
        <v>439</v>
      </c>
      <c r="C13" s="3" t="s">
        <v>271</v>
      </c>
      <c r="D13" s="3"/>
      <c r="E13" s="3" t="s">
        <v>21</v>
      </c>
      <c r="F13" s="14">
        <v>44215</v>
      </c>
      <c r="G13" s="14">
        <v>44216</v>
      </c>
      <c r="H13" s="3" t="s">
        <v>54</v>
      </c>
      <c r="I13" s="15" t="s">
        <v>440</v>
      </c>
      <c r="J13" s="15" t="s">
        <v>441</v>
      </c>
      <c r="K13" s="15" t="s">
        <v>442</v>
      </c>
      <c r="L13" s="3" t="s">
        <v>443</v>
      </c>
      <c r="M13" s="1"/>
      <c r="N13" s="1"/>
      <c r="O13" s="1"/>
      <c r="P13" s="1"/>
      <c r="Q13" s="1"/>
      <c r="R13" s="1"/>
      <c r="S13" s="1"/>
      <c r="T13" s="1"/>
      <c r="U13" s="1"/>
      <c r="V13" s="1"/>
    </row>
    <row r="14" spans="1:22">
      <c r="A14" s="3"/>
      <c r="B14" s="3"/>
      <c r="C14" s="3"/>
      <c r="D14" s="3"/>
      <c r="E14" s="3"/>
      <c r="F14" s="3"/>
      <c r="G14" s="3"/>
      <c r="H14" s="3"/>
      <c r="I14" s="3"/>
      <c r="J14" s="3"/>
      <c r="K14" s="3"/>
      <c r="L14" s="3"/>
      <c r="M14" s="1"/>
      <c r="N14" s="1"/>
      <c r="O14" s="1"/>
      <c r="P14" s="1"/>
      <c r="Q14" s="1"/>
      <c r="R14" s="1"/>
      <c r="S14" s="1"/>
      <c r="T14" s="1"/>
      <c r="U14" s="1"/>
      <c r="V14" s="1"/>
    </row>
    <row r="15" spans="1:22">
      <c r="I15"/>
      <c r="J15"/>
      <c r="K15"/>
    </row>
    <row r="16" spans="1:22">
      <c r="I16"/>
      <c r="J16"/>
      <c r="K16"/>
    </row>
    <row r="17" customFormat="1"/>
    <row r="18" customFormat="1"/>
    <row r="19" customFormat="1"/>
    <row r="20" customFormat="1"/>
    <row r="21" customFormat="1"/>
    <row r="22" customFormat="1"/>
    <row r="23" customFormat="1"/>
    <row r="24" customFormat="1"/>
    <row r="25" customFormat="1"/>
    <row r="26" customFormat="1"/>
    <row r="27" customFormat="1"/>
    <row r="28" customFormat="1"/>
    <row r="29" customFormat="1"/>
    <row r="30" customFormat="1"/>
    <row r="31" customFormat="1"/>
    <row r="32"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2"/>
  <hyperlinks>
    <hyperlink ref="A6" r:id="rId1" xr:uid="{769289D0-8A4A-4564-A950-866BDA54B569}"/>
    <hyperlink ref="A7" r:id="rId2" xr:uid="{AD48EC8B-0263-400B-8434-D30601A24471}"/>
    <hyperlink ref="A8" r:id="rId3" xr:uid="{E4F57373-207F-4104-B3AC-973D95837BE5}"/>
    <hyperlink ref="A9" r:id="rId4" xr:uid="{6D7FCE74-1B40-49A1-BFA9-19EC49ABF455}"/>
    <hyperlink ref="A10" r:id="rId5" xr:uid="{E190B620-4AD4-46DE-81D9-E8E91DDEDF07}"/>
    <hyperlink ref="A11" r:id="rId6" xr:uid="{BBC0C82B-4669-4592-84F5-9CE3BBE769BC}"/>
    <hyperlink ref="A12" r:id="rId7" xr:uid="{27709426-C59D-46A4-BAB9-0FAEE861FB0F}"/>
    <hyperlink ref="A13" r:id="rId8" xr:uid="{E39B74F9-07FD-4E26-B69D-868420CAA6AB}"/>
  </hyperlinks>
  <pageMargins left="0.7" right="0.7" top="0.75" bottom="0.75" header="0.3" footer="0.3"/>
  <pageSetup paperSize="9"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481" r:id="rId12"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E180AC-4AC5-45E6-98AD-B6862CD830FB}">
  <sheetPr codeName="Sheet7">
    <tabColor theme="9" tint="0.79998168889431442"/>
  </sheetPr>
  <dimension ref="A1:V1000"/>
  <sheetViews>
    <sheetView showGridLines="0" zoomScale="72" zoomScaleNormal="55" workbookViewId="0"/>
  </sheetViews>
  <sheetFormatPr baseColWidth="10" defaultColWidth="8.83203125" defaultRowHeight="18"/>
  <cols>
    <col min="1" max="1" width="20.6640625" customWidth="1"/>
    <col min="2" max="2" width="34.6640625" bestFit="1" customWidth="1"/>
    <col min="3" max="3" width="9.1640625" bestFit="1" customWidth="1"/>
    <col min="4" max="4" width="9.1640625" customWidth="1"/>
    <col min="5" max="5" width="11.1640625" bestFit="1" customWidth="1"/>
    <col min="6" max="6" width="10" bestFit="1" customWidth="1"/>
    <col min="7" max="7" width="10.1640625" bestFit="1" customWidth="1"/>
    <col min="8" max="8" width="10.1640625" customWidth="1"/>
    <col min="9" max="11" width="34.83203125" style="11" customWidth="1"/>
    <col min="12" max="12" width="40.6640625" customWidth="1"/>
  </cols>
  <sheetData>
    <row r="1" spans="1:22">
      <c r="A1" s="10" t="s">
        <v>8</v>
      </c>
      <c r="B1" s="102" t="s">
        <v>85</v>
      </c>
      <c r="C1" s="102"/>
      <c r="D1" s="52"/>
    </row>
    <row r="2" spans="1:22">
      <c r="A2" s="10" t="s">
        <v>2</v>
      </c>
      <c r="B2" s="102">
        <v>10971683</v>
      </c>
      <c r="C2" s="102"/>
      <c r="D2" s="52"/>
    </row>
    <row r="3" spans="1:22">
      <c r="A3" s="12" t="s">
        <v>790</v>
      </c>
      <c r="B3" s="12"/>
    </row>
    <row r="4" spans="1:22" ht="6.75" customHeight="1"/>
    <row r="5" spans="1:22" ht="40.5" customHeight="1">
      <c r="A5" s="17" t="s">
        <v>11</v>
      </c>
      <c r="B5" s="17" t="s">
        <v>3</v>
      </c>
      <c r="C5" s="17" t="s">
        <v>12</v>
      </c>
      <c r="D5" s="16" t="s">
        <v>535</v>
      </c>
      <c r="E5" s="17" t="s">
        <v>13</v>
      </c>
      <c r="F5" s="17" t="s">
        <v>14</v>
      </c>
      <c r="G5" s="17" t="s">
        <v>15</v>
      </c>
      <c r="H5" s="16" t="s">
        <v>19</v>
      </c>
      <c r="I5" s="17" t="s">
        <v>16</v>
      </c>
      <c r="J5" s="16" t="s">
        <v>17</v>
      </c>
      <c r="K5" s="16" t="s">
        <v>18</v>
      </c>
      <c r="L5" s="16" t="s">
        <v>25</v>
      </c>
    </row>
    <row r="6" spans="1:22">
      <c r="A6" s="13" t="s">
        <v>656</v>
      </c>
      <c r="B6" s="3" t="s">
        <v>657</v>
      </c>
      <c r="C6" s="3" t="s">
        <v>202</v>
      </c>
      <c r="D6" s="3"/>
      <c r="E6" s="3" t="s">
        <v>20</v>
      </c>
      <c r="F6" s="14">
        <v>44228</v>
      </c>
      <c r="G6" s="14">
        <v>44229</v>
      </c>
      <c r="H6" s="3"/>
      <c r="I6" s="3"/>
      <c r="J6" s="3"/>
      <c r="K6" s="3"/>
      <c r="L6" s="3"/>
      <c r="M6" s="1"/>
      <c r="N6" s="1"/>
      <c r="O6" s="1"/>
      <c r="P6" s="1"/>
      <c r="Q6" s="1"/>
      <c r="R6" s="1"/>
      <c r="S6" s="1"/>
      <c r="T6" s="1"/>
      <c r="U6" s="1"/>
      <c r="V6" s="1"/>
    </row>
    <row r="7" spans="1:22" ht="119">
      <c r="A7" s="13" t="s">
        <v>444</v>
      </c>
      <c r="B7" s="3" t="s">
        <v>445</v>
      </c>
      <c r="C7" s="3" t="s">
        <v>309</v>
      </c>
      <c r="D7" s="3"/>
      <c r="E7" s="3" t="s">
        <v>20</v>
      </c>
      <c r="F7" s="14">
        <v>44214</v>
      </c>
      <c r="G7" s="3"/>
      <c r="H7" s="3" t="s">
        <v>23</v>
      </c>
      <c r="I7" s="15" t="s">
        <v>446</v>
      </c>
      <c r="J7" s="3"/>
      <c r="K7" s="3"/>
      <c r="L7" s="3"/>
      <c r="M7" s="1"/>
      <c r="N7" s="1"/>
      <c r="O7" s="1"/>
      <c r="P7" s="1"/>
      <c r="Q7" s="1"/>
      <c r="R7" s="1"/>
      <c r="S7" s="1"/>
      <c r="T7" s="1"/>
      <c r="U7" s="1"/>
      <c r="V7" s="1"/>
    </row>
    <row r="8" spans="1:22" ht="238">
      <c r="A8" s="13" t="s">
        <v>447</v>
      </c>
      <c r="B8" s="3" t="s">
        <v>448</v>
      </c>
      <c r="C8" s="3" t="s">
        <v>90</v>
      </c>
      <c r="D8" s="3"/>
      <c r="E8" s="3" t="s">
        <v>20</v>
      </c>
      <c r="F8" s="14">
        <v>44216</v>
      </c>
      <c r="G8" s="3"/>
      <c r="H8" s="3" t="s">
        <v>22</v>
      </c>
      <c r="I8" s="15" t="s">
        <v>449</v>
      </c>
      <c r="J8" s="3"/>
      <c r="K8" s="3"/>
      <c r="L8" s="3"/>
      <c r="M8" s="1"/>
      <c r="N8" s="1"/>
      <c r="O8" s="1"/>
      <c r="P8" s="1"/>
      <c r="Q8" s="1"/>
      <c r="R8" s="1"/>
      <c r="S8" s="1"/>
      <c r="T8" s="1"/>
      <c r="U8" s="1"/>
      <c r="V8" s="1"/>
    </row>
    <row r="9" spans="1:22" ht="238">
      <c r="A9" s="13" t="s">
        <v>450</v>
      </c>
      <c r="B9" s="3" t="s">
        <v>451</v>
      </c>
      <c r="C9" s="3" t="s">
        <v>198</v>
      </c>
      <c r="D9" s="3"/>
      <c r="E9" s="3" t="s">
        <v>20</v>
      </c>
      <c r="F9" s="14">
        <v>44214</v>
      </c>
      <c r="G9" s="3"/>
      <c r="H9" s="3" t="s">
        <v>23</v>
      </c>
      <c r="I9" s="15" t="s">
        <v>452</v>
      </c>
      <c r="J9" s="3"/>
      <c r="K9" s="3"/>
      <c r="L9" s="3"/>
      <c r="M9" s="1"/>
      <c r="N9" s="1"/>
      <c r="O9" s="1"/>
      <c r="P9" s="1"/>
      <c r="Q9" s="1"/>
      <c r="R9" s="1"/>
      <c r="S9" s="1"/>
      <c r="T9" s="1"/>
      <c r="U9" s="1"/>
      <c r="V9" s="1"/>
    </row>
    <row r="10" spans="1:22" ht="85">
      <c r="A10" s="13" t="s">
        <v>453</v>
      </c>
      <c r="B10" s="3" t="s">
        <v>454</v>
      </c>
      <c r="C10" s="3" t="s">
        <v>198</v>
      </c>
      <c r="D10" s="3"/>
      <c r="E10" s="3" t="s">
        <v>20</v>
      </c>
      <c r="F10" s="14">
        <v>44211</v>
      </c>
      <c r="G10" s="3"/>
      <c r="H10" s="3" t="s">
        <v>23</v>
      </c>
      <c r="I10" s="15" t="s">
        <v>455</v>
      </c>
      <c r="J10" s="3"/>
      <c r="K10" s="3"/>
      <c r="L10" s="3"/>
      <c r="M10" s="1"/>
      <c r="N10" s="1"/>
      <c r="O10" s="1"/>
      <c r="P10" s="1"/>
      <c r="Q10" s="1"/>
      <c r="R10" s="1"/>
      <c r="S10" s="1"/>
      <c r="T10" s="1"/>
      <c r="U10" s="1"/>
      <c r="V10" s="1"/>
    </row>
    <row r="11" spans="1:22">
      <c r="A11" s="13" t="s">
        <v>456</v>
      </c>
      <c r="B11" s="3" t="s">
        <v>457</v>
      </c>
      <c r="C11" s="3" t="s">
        <v>198</v>
      </c>
      <c r="D11" s="3"/>
      <c r="E11" s="3" t="s">
        <v>20</v>
      </c>
      <c r="F11" s="14">
        <v>44211</v>
      </c>
      <c r="G11" s="3"/>
      <c r="H11" s="3" t="s">
        <v>22</v>
      </c>
      <c r="I11" s="3"/>
      <c r="J11" s="3"/>
      <c r="K11" s="3"/>
      <c r="L11" s="3"/>
      <c r="M11" s="1"/>
      <c r="N11" s="1"/>
      <c r="O11" s="1"/>
      <c r="P11" s="1"/>
      <c r="Q11" s="1"/>
      <c r="R11" s="1"/>
      <c r="S11" s="1"/>
      <c r="T11" s="1"/>
      <c r="U11" s="1"/>
      <c r="V11" s="1"/>
    </row>
    <row r="12" spans="1:22" ht="68">
      <c r="A12" s="13" t="s">
        <v>458</v>
      </c>
      <c r="B12" s="3" t="s">
        <v>459</v>
      </c>
      <c r="C12" s="3" t="s">
        <v>198</v>
      </c>
      <c r="D12" s="3"/>
      <c r="E12" s="3" t="s">
        <v>20</v>
      </c>
      <c r="F12" s="14">
        <v>44208</v>
      </c>
      <c r="G12" s="3"/>
      <c r="H12" s="3" t="s">
        <v>122</v>
      </c>
      <c r="I12" s="15" t="s">
        <v>460</v>
      </c>
      <c r="J12" s="3"/>
      <c r="K12" s="3"/>
      <c r="L12" s="3"/>
      <c r="M12" s="1"/>
      <c r="N12" s="1"/>
      <c r="O12" s="1"/>
      <c r="P12" s="1"/>
      <c r="Q12" s="1"/>
      <c r="R12" s="1"/>
      <c r="S12" s="1"/>
      <c r="T12" s="1"/>
      <c r="U12" s="1"/>
      <c r="V12" s="1"/>
    </row>
    <row r="13" spans="1:22" ht="68">
      <c r="A13" s="13" t="s">
        <v>461</v>
      </c>
      <c r="B13" s="3" t="s">
        <v>462</v>
      </c>
      <c r="C13" s="3" t="s">
        <v>38</v>
      </c>
      <c r="D13" s="3"/>
      <c r="E13" s="3" t="s">
        <v>20</v>
      </c>
      <c r="F13" s="14">
        <v>44207</v>
      </c>
      <c r="G13" s="3"/>
      <c r="H13" s="3" t="s">
        <v>23</v>
      </c>
      <c r="I13" s="15" t="s">
        <v>463</v>
      </c>
      <c r="J13" s="3"/>
      <c r="K13" s="3"/>
      <c r="L13" s="3" t="s">
        <v>100</v>
      </c>
      <c r="M13" s="1"/>
      <c r="N13" s="1"/>
      <c r="O13" s="1"/>
      <c r="P13" s="1"/>
      <c r="Q13" s="1"/>
      <c r="R13" s="1"/>
      <c r="S13" s="1"/>
      <c r="T13" s="1"/>
      <c r="U13" s="1"/>
      <c r="V13" s="1"/>
    </row>
    <row r="14" spans="1:22" ht="187">
      <c r="A14" s="13" t="s">
        <v>464</v>
      </c>
      <c r="B14" s="3" t="s">
        <v>465</v>
      </c>
      <c r="C14" s="3" t="s">
        <v>198</v>
      </c>
      <c r="D14" s="3"/>
      <c r="E14" s="3" t="s">
        <v>20</v>
      </c>
      <c r="F14" s="14">
        <v>44207</v>
      </c>
      <c r="G14" s="3"/>
      <c r="H14" s="3" t="s">
        <v>112</v>
      </c>
      <c r="I14" s="15" t="s">
        <v>466</v>
      </c>
      <c r="J14" s="3"/>
      <c r="K14" s="3"/>
      <c r="L14" s="3" t="s">
        <v>100</v>
      </c>
      <c r="M14" s="1"/>
      <c r="N14" s="1"/>
      <c r="O14" s="1"/>
      <c r="P14" s="1"/>
      <c r="Q14" s="1"/>
      <c r="R14" s="1"/>
      <c r="S14" s="1"/>
      <c r="T14" s="1"/>
      <c r="U14" s="1"/>
      <c r="V14" s="1"/>
    </row>
    <row r="15" spans="1:22">
      <c r="A15" s="13" t="s">
        <v>467</v>
      </c>
      <c r="B15" s="3" t="s">
        <v>468</v>
      </c>
      <c r="C15" s="3" t="s">
        <v>198</v>
      </c>
      <c r="D15" s="3"/>
      <c r="E15" s="3" t="s">
        <v>20</v>
      </c>
      <c r="F15" s="14">
        <v>44207</v>
      </c>
      <c r="G15" s="3"/>
      <c r="H15" s="3" t="s">
        <v>23</v>
      </c>
      <c r="I15" s="3" t="s">
        <v>469</v>
      </c>
      <c r="J15" s="3"/>
      <c r="K15" s="3"/>
      <c r="L15" s="3"/>
      <c r="M15" s="1"/>
      <c r="N15" s="1"/>
      <c r="O15" s="1"/>
      <c r="P15" s="1"/>
      <c r="Q15" s="1"/>
      <c r="R15" s="1"/>
      <c r="S15" s="1"/>
      <c r="T15" s="1"/>
      <c r="U15" s="1"/>
      <c r="V15" s="1"/>
    </row>
    <row r="16" spans="1:22" ht="85">
      <c r="A16" s="13" t="s">
        <v>470</v>
      </c>
      <c r="B16" s="3" t="s">
        <v>471</v>
      </c>
      <c r="C16" s="3" t="s">
        <v>198</v>
      </c>
      <c r="D16" s="3"/>
      <c r="E16" s="3" t="s">
        <v>20</v>
      </c>
      <c r="F16" s="14">
        <v>44207</v>
      </c>
      <c r="G16" s="3"/>
      <c r="H16" s="3" t="s">
        <v>22</v>
      </c>
      <c r="I16" s="15" t="s">
        <v>472</v>
      </c>
      <c r="J16" s="3"/>
      <c r="K16" s="3"/>
      <c r="L16" s="3" t="s">
        <v>351</v>
      </c>
      <c r="M16" s="1"/>
      <c r="N16" s="1"/>
      <c r="O16" s="1"/>
      <c r="P16" s="1"/>
      <c r="Q16" s="1"/>
      <c r="R16" s="1"/>
      <c r="S16" s="1"/>
      <c r="T16" s="1"/>
      <c r="U16" s="1"/>
      <c r="V16" s="1"/>
    </row>
    <row r="17" spans="1:22" ht="221">
      <c r="A17" s="13" t="s">
        <v>473</v>
      </c>
      <c r="B17" s="3" t="s">
        <v>474</v>
      </c>
      <c r="C17" s="3" t="s">
        <v>475</v>
      </c>
      <c r="D17" s="3"/>
      <c r="E17" s="3" t="s">
        <v>20</v>
      </c>
      <c r="F17" s="14">
        <v>44206</v>
      </c>
      <c r="G17" s="3"/>
      <c r="H17" s="3" t="s">
        <v>23</v>
      </c>
      <c r="I17" s="15" t="s">
        <v>476</v>
      </c>
      <c r="J17" s="15" t="s">
        <v>477</v>
      </c>
      <c r="K17" s="15" t="s">
        <v>478</v>
      </c>
      <c r="L17" s="3"/>
      <c r="M17" s="1"/>
      <c r="N17" s="1"/>
      <c r="O17" s="1"/>
      <c r="P17" s="1"/>
      <c r="Q17" s="1"/>
      <c r="R17" s="1"/>
      <c r="S17" s="1"/>
      <c r="T17" s="1"/>
      <c r="U17" s="1"/>
      <c r="V17" s="1"/>
    </row>
    <row r="18" spans="1:22" ht="153">
      <c r="A18" s="13" t="s">
        <v>479</v>
      </c>
      <c r="B18" s="3" t="s">
        <v>480</v>
      </c>
      <c r="C18" s="3" t="s">
        <v>198</v>
      </c>
      <c r="D18" s="3"/>
      <c r="E18" s="3" t="s">
        <v>20</v>
      </c>
      <c r="F18" s="14">
        <v>44206</v>
      </c>
      <c r="G18" s="3"/>
      <c r="H18" s="3" t="s">
        <v>23</v>
      </c>
      <c r="I18" s="3" t="s">
        <v>481</v>
      </c>
      <c r="J18" s="3" t="s">
        <v>92</v>
      </c>
      <c r="K18" s="15" t="s">
        <v>482</v>
      </c>
      <c r="L18" s="3"/>
      <c r="M18" s="1"/>
      <c r="N18" s="1"/>
      <c r="O18" s="1"/>
      <c r="P18" s="1"/>
      <c r="Q18" s="1"/>
      <c r="R18" s="1"/>
      <c r="S18" s="1"/>
      <c r="T18" s="1"/>
      <c r="U18" s="1"/>
      <c r="V18" s="1"/>
    </row>
    <row r="19" spans="1:22" ht="51">
      <c r="A19" s="13" t="s">
        <v>483</v>
      </c>
      <c r="B19" s="3" t="s">
        <v>484</v>
      </c>
      <c r="C19" s="3" t="s">
        <v>198</v>
      </c>
      <c r="D19" s="3"/>
      <c r="E19" s="3" t="s">
        <v>20</v>
      </c>
      <c r="F19" s="14">
        <v>44206</v>
      </c>
      <c r="G19" s="3"/>
      <c r="H19" s="3" t="s">
        <v>23</v>
      </c>
      <c r="I19" s="15" t="s">
        <v>485</v>
      </c>
      <c r="J19" s="3"/>
      <c r="K19" s="3"/>
      <c r="L19" s="3"/>
      <c r="M19" s="1"/>
      <c r="N19" s="1"/>
      <c r="O19" s="1"/>
      <c r="P19" s="1"/>
      <c r="Q19" s="1"/>
      <c r="R19" s="1"/>
      <c r="S19" s="1"/>
      <c r="T19" s="1"/>
      <c r="U19" s="1"/>
      <c r="V19" s="1"/>
    </row>
    <row r="20" spans="1:22">
      <c r="A20" s="13" t="s">
        <v>486</v>
      </c>
      <c r="B20" s="3" t="s">
        <v>487</v>
      </c>
      <c r="C20" s="3" t="s">
        <v>198</v>
      </c>
      <c r="D20" s="3"/>
      <c r="E20" s="3" t="s">
        <v>20</v>
      </c>
      <c r="F20" s="14">
        <v>44206</v>
      </c>
      <c r="G20" s="3"/>
      <c r="H20" s="3" t="s">
        <v>23</v>
      </c>
      <c r="I20" s="3" t="s">
        <v>488</v>
      </c>
      <c r="J20" s="3"/>
      <c r="K20" s="3"/>
      <c r="L20" s="3"/>
      <c r="M20" s="1"/>
      <c r="N20" s="1"/>
      <c r="O20" s="1"/>
      <c r="P20" s="1"/>
      <c r="Q20" s="1"/>
      <c r="R20" s="1"/>
      <c r="S20" s="1"/>
      <c r="T20" s="1"/>
      <c r="U20" s="1"/>
      <c r="V20" s="1"/>
    </row>
    <row r="21" spans="1:22">
      <c r="A21" s="13" t="s">
        <v>489</v>
      </c>
      <c r="B21" s="3" t="s">
        <v>490</v>
      </c>
      <c r="C21" s="3" t="s">
        <v>198</v>
      </c>
      <c r="D21" s="3"/>
      <c r="E21" s="3" t="s">
        <v>20</v>
      </c>
      <c r="F21" s="14">
        <v>44206</v>
      </c>
      <c r="G21" s="3"/>
      <c r="H21" s="3" t="s">
        <v>23</v>
      </c>
      <c r="I21" s="3"/>
      <c r="J21" s="3"/>
      <c r="K21" s="3"/>
      <c r="L21" s="3"/>
      <c r="M21" s="1"/>
      <c r="N21" s="1"/>
      <c r="O21" s="1"/>
      <c r="P21" s="1"/>
      <c r="Q21" s="1"/>
      <c r="R21" s="1"/>
      <c r="S21" s="1"/>
      <c r="T21" s="1"/>
      <c r="U21" s="1"/>
      <c r="V21" s="1"/>
    </row>
    <row r="22" spans="1:22" ht="85">
      <c r="A22" s="13" t="s">
        <v>491</v>
      </c>
      <c r="B22" s="3" t="s">
        <v>492</v>
      </c>
      <c r="C22" s="3" t="s">
        <v>198</v>
      </c>
      <c r="D22" s="3"/>
      <c r="E22" s="3" t="s">
        <v>20</v>
      </c>
      <c r="F22" s="14">
        <v>44206</v>
      </c>
      <c r="G22" s="3"/>
      <c r="H22" s="3" t="s">
        <v>22</v>
      </c>
      <c r="I22" s="15" t="s">
        <v>493</v>
      </c>
      <c r="J22" s="3"/>
      <c r="K22" s="3"/>
      <c r="L22" s="3"/>
      <c r="M22" s="1"/>
      <c r="N22" s="1"/>
      <c r="O22" s="1"/>
      <c r="P22" s="1"/>
      <c r="Q22" s="1"/>
      <c r="R22" s="1"/>
      <c r="S22" s="1"/>
      <c r="T22" s="1"/>
      <c r="U22" s="1"/>
      <c r="V22" s="1"/>
    </row>
    <row r="23" spans="1:22" ht="51">
      <c r="A23" s="13" t="s">
        <v>494</v>
      </c>
      <c r="B23" s="3" t="s">
        <v>495</v>
      </c>
      <c r="C23" s="3" t="s">
        <v>198</v>
      </c>
      <c r="D23" s="3"/>
      <c r="E23" s="3" t="s">
        <v>20</v>
      </c>
      <c r="F23" s="14">
        <v>44206</v>
      </c>
      <c r="G23" s="3"/>
      <c r="H23" s="3" t="s">
        <v>122</v>
      </c>
      <c r="I23" s="15" t="s">
        <v>496</v>
      </c>
      <c r="J23" s="3"/>
      <c r="K23" s="3"/>
      <c r="L23" s="3" t="s">
        <v>497</v>
      </c>
      <c r="M23" s="1"/>
      <c r="N23" s="1"/>
      <c r="O23" s="1"/>
      <c r="P23" s="1"/>
      <c r="Q23" s="1"/>
      <c r="R23" s="1"/>
      <c r="S23" s="1"/>
      <c r="T23" s="1"/>
      <c r="U23" s="1"/>
      <c r="V23" s="1"/>
    </row>
    <row r="24" spans="1:22" ht="153">
      <c r="A24" s="13" t="s">
        <v>498</v>
      </c>
      <c r="B24" s="3" t="s">
        <v>499</v>
      </c>
      <c r="C24" s="3" t="s">
        <v>198</v>
      </c>
      <c r="D24" s="3"/>
      <c r="E24" s="3" t="s">
        <v>20</v>
      </c>
      <c r="F24" s="14">
        <v>44206</v>
      </c>
      <c r="G24" s="3"/>
      <c r="H24" s="3" t="s">
        <v>122</v>
      </c>
      <c r="I24" s="15" t="s">
        <v>500</v>
      </c>
      <c r="J24" s="3"/>
      <c r="K24" s="3"/>
      <c r="L24" s="3" t="s">
        <v>497</v>
      </c>
      <c r="M24" s="1"/>
      <c r="N24" s="1"/>
      <c r="O24" s="1"/>
      <c r="P24" s="1"/>
      <c r="Q24" s="1"/>
      <c r="R24" s="1"/>
      <c r="S24" s="1"/>
      <c r="T24" s="1"/>
      <c r="U24" s="1"/>
      <c r="V24" s="1"/>
    </row>
    <row r="25" spans="1:22" ht="119">
      <c r="A25" s="13" t="s">
        <v>501</v>
      </c>
      <c r="B25" s="3" t="s">
        <v>502</v>
      </c>
      <c r="C25" s="3" t="s">
        <v>29</v>
      </c>
      <c r="D25" s="3"/>
      <c r="E25" s="3" t="s">
        <v>20</v>
      </c>
      <c r="F25" s="14">
        <v>44206</v>
      </c>
      <c r="G25" s="3"/>
      <c r="H25" s="3" t="s">
        <v>22</v>
      </c>
      <c r="I25" s="15" t="s">
        <v>503</v>
      </c>
      <c r="J25" s="3"/>
      <c r="K25" s="3"/>
      <c r="L25" s="3"/>
      <c r="M25" s="1"/>
      <c r="N25" s="1"/>
      <c r="O25" s="1"/>
      <c r="P25" s="1"/>
      <c r="Q25" s="1"/>
      <c r="R25" s="1"/>
      <c r="S25" s="1"/>
      <c r="T25" s="1"/>
      <c r="U25" s="1"/>
      <c r="V25" s="1"/>
    </row>
    <row r="26" spans="1:22">
      <c r="A26" s="13" t="s">
        <v>43</v>
      </c>
      <c r="B26" s="3" t="s">
        <v>504</v>
      </c>
      <c r="C26" s="3" t="s">
        <v>29</v>
      </c>
      <c r="D26" s="3"/>
      <c r="E26" s="3" t="s">
        <v>20</v>
      </c>
      <c r="F26" s="14">
        <v>44204</v>
      </c>
      <c r="G26" s="3"/>
      <c r="H26" s="3" t="s">
        <v>22</v>
      </c>
      <c r="I26" s="3" t="s">
        <v>505</v>
      </c>
      <c r="J26" s="3" t="s">
        <v>44</v>
      </c>
      <c r="K26" s="3" t="s">
        <v>45</v>
      </c>
      <c r="L26" s="3"/>
      <c r="M26" s="1"/>
      <c r="N26" s="1"/>
      <c r="O26" s="1"/>
      <c r="P26" s="1"/>
      <c r="Q26" s="1"/>
      <c r="R26" s="1"/>
      <c r="S26" s="1"/>
      <c r="T26" s="1"/>
      <c r="U26" s="1"/>
      <c r="V26" s="1"/>
    </row>
    <row r="27" spans="1:22">
      <c r="A27" s="3"/>
      <c r="B27" s="3"/>
      <c r="C27" s="3"/>
      <c r="D27" s="3"/>
      <c r="E27" s="3"/>
      <c r="F27" s="3"/>
      <c r="G27" s="3"/>
      <c r="H27" s="3"/>
      <c r="I27" s="3"/>
      <c r="J27" s="3"/>
      <c r="K27" s="3"/>
      <c r="L27" s="3"/>
      <c r="M27" s="1"/>
      <c r="N27" s="1"/>
      <c r="O27" s="1"/>
      <c r="P27" s="1"/>
      <c r="Q27" s="1"/>
      <c r="R27" s="1"/>
      <c r="S27" s="1"/>
      <c r="T27" s="1"/>
      <c r="U27" s="1"/>
    </row>
    <row r="28" spans="1:22">
      <c r="I28"/>
      <c r="J28"/>
      <c r="K28"/>
    </row>
    <row r="29" spans="1:22">
      <c r="I29"/>
      <c r="J29"/>
      <c r="K29"/>
    </row>
    <row r="30" spans="1:22">
      <c r="I30"/>
      <c r="J30"/>
      <c r="K30"/>
    </row>
    <row r="31" spans="1:22">
      <c r="I31"/>
      <c r="J31"/>
      <c r="K31"/>
    </row>
    <row r="32" spans="1:22">
      <c r="I32"/>
      <c r="J32"/>
      <c r="K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mergeCells count="2">
    <mergeCell ref="B1:C1"/>
    <mergeCell ref="B2:C2"/>
  </mergeCells>
  <phoneticPr fontId="2"/>
  <hyperlinks>
    <hyperlink ref="A6" r:id="rId1" xr:uid="{D9A528B9-85F3-4957-9D34-17F969AB6A76}"/>
    <hyperlink ref="A7" r:id="rId2" xr:uid="{AB0E25E8-24F2-49E0-A581-3EEBA8B09B49}"/>
    <hyperlink ref="A8" r:id="rId3" xr:uid="{CF023B0D-52D4-4B50-B97A-C3A98E5054F3}"/>
    <hyperlink ref="A9" r:id="rId4" xr:uid="{69126430-F42E-4ABB-8EE4-2441284A6E36}"/>
    <hyperlink ref="A10" r:id="rId5" xr:uid="{54E252F6-40FB-4738-9769-4A05DB373820}"/>
    <hyperlink ref="A11" r:id="rId6" xr:uid="{CF11B3FF-6DB8-4297-B908-31F80A56DCE6}"/>
    <hyperlink ref="A12" r:id="rId7" xr:uid="{7BA198FE-6CBC-40D5-AF5D-4D4C18803D31}"/>
    <hyperlink ref="A13" r:id="rId8" xr:uid="{A6B66FDC-CCFF-4852-A185-472B8C89C700}"/>
    <hyperlink ref="A14" r:id="rId9" xr:uid="{31F70636-1B1F-40D5-BDD7-690D6DC78BF0}"/>
    <hyperlink ref="A15" r:id="rId10" xr:uid="{56670466-90F8-4BD1-AB2E-4D77983117CC}"/>
    <hyperlink ref="A16" r:id="rId11" xr:uid="{CC3B8EA8-95FD-45AD-BD0E-20097C170572}"/>
    <hyperlink ref="A17" r:id="rId12" xr:uid="{7348DDE1-9B1B-4E6E-9F9D-296AFE7888B6}"/>
    <hyperlink ref="A18" r:id="rId13" xr:uid="{3D2FA026-9928-4A71-BD9A-93E2F722D487}"/>
    <hyperlink ref="A19" r:id="rId14" xr:uid="{E5D09C51-DB2F-4616-9EEB-096FC273FF37}"/>
    <hyperlink ref="A20" r:id="rId15" xr:uid="{44F30310-BB77-48D9-BB0E-B44404164B82}"/>
    <hyperlink ref="A21" r:id="rId16" xr:uid="{9155994A-F8D6-4110-A3C9-B88A2295B699}"/>
    <hyperlink ref="A22" r:id="rId17" xr:uid="{6688DDDC-370C-45D1-A804-79B4BFEF1694}"/>
    <hyperlink ref="A23" r:id="rId18" xr:uid="{7F174A2A-AC09-4355-B264-33B5F119B66A}"/>
    <hyperlink ref="A24" r:id="rId19" xr:uid="{17D91175-4360-457F-8E7C-B0D8031AEEEE}"/>
    <hyperlink ref="A25" r:id="rId20" xr:uid="{E414B9C1-A169-4EBF-9280-D3097C67283F}"/>
    <hyperlink ref="A26" r:id="rId21" xr:uid="{108CA5B5-5E9B-405C-9C52-38CC3A203794}"/>
  </hyperlinks>
  <pageMargins left="0.7" right="0.7" top="0.75" bottom="0.75" header="0.3" footer="0.3"/>
  <pageSetup paperSize="9" orientation="portrait" r:id="rId22"/>
  <drawing r:id="rId23"/>
  <legacyDrawing r:id="rId24"/>
  <mc:AlternateContent xmlns:mc="http://schemas.openxmlformats.org/markup-compatibility/2006">
    <mc:Choice Requires="x14">
      <controls>
        <mc:AlternateContent xmlns:mc="http://schemas.openxmlformats.org/markup-compatibility/2006">
          <mc:Choice Requires="x14">
            <control shapeId="21505" r:id="rId25" name="Button 1">
              <controlPr defaultSize="0" print="0" autoFill="0" autoPict="0" macro="[0]!Action_TaskMng2.backlog">
                <anchor moveWithCells="1" sizeWithCells="1">
                  <from>
                    <xdr:col>4</xdr:col>
                    <xdr:colOff>25400</xdr:colOff>
                    <xdr:row>0</xdr:row>
                    <xdr:rowOff>25400</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591DEBD-914B-4F9D-B77B-1F5ABF10377C}">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D36" sqref="D36"/>
    </sheetView>
  </sheetViews>
  <sheetFormatPr baseColWidth="10" defaultColWidth="9" defaultRowHeight="16"/>
  <cols>
    <col min="1" max="1" width="2" style="1" customWidth="1"/>
    <col min="2" max="2" width="21.6640625" style="1" bestFit="1" customWidth="1"/>
    <col min="3" max="3" width="10.33203125" style="1" customWidth="1"/>
    <col min="4" max="4" width="49.83203125" style="1" bestFit="1" customWidth="1"/>
    <col min="5" max="5" width="14.5" style="1" customWidth="1"/>
    <col min="6" max="16384" width="9" style="1"/>
  </cols>
  <sheetData>
    <row r="1" spans="2:5" ht="18">
      <c r="B1" s="5"/>
    </row>
    <row r="3" spans="2:5">
      <c r="B3" s="8" t="s">
        <v>9</v>
      </c>
      <c r="C3" s="4" t="s">
        <v>1</v>
      </c>
      <c r="D3" s="4" t="s">
        <v>3</v>
      </c>
      <c r="E3" s="4" t="s">
        <v>2</v>
      </c>
    </row>
    <row r="4" spans="2:5" ht="18">
      <c r="B4" s="3" t="s">
        <v>26</v>
      </c>
      <c r="C4" s="9" t="s">
        <v>7</v>
      </c>
      <c r="D4" s="3" t="s">
        <v>83</v>
      </c>
      <c r="E4" s="3">
        <v>10597942</v>
      </c>
    </row>
    <row r="5" spans="2:5" ht="18">
      <c r="B5" s="3" t="s">
        <v>80</v>
      </c>
      <c r="C5" s="9" t="s">
        <v>7</v>
      </c>
      <c r="D5" s="3" t="s">
        <v>86</v>
      </c>
      <c r="E5" s="3">
        <v>10929022</v>
      </c>
    </row>
    <row r="6" spans="2:5" ht="18">
      <c r="B6" s="3" t="s">
        <v>81</v>
      </c>
      <c r="C6" s="9" t="s">
        <v>7</v>
      </c>
      <c r="D6" s="3" t="s">
        <v>87</v>
      </c>
      <c r="E6" s="3">
        <v>10971683</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2"/>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101600</xdr:rowOff>
                  </from>
                  <to>
                    <xdr:col>2</xdr:col>
                    <xdr:colOff>114300</xdr:colOff>
                    <xdr:row>1</xdr:row>
                    <xdr:rowOff>139700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baseColWidth="10" defaultColWidth="9" defaultRowHeight="16"/>
  <cols>
    <col min="1" max="2" width="7.5" style="1" hidden="1" customWidth="1"/>
    <col min="3" max="3" width="14.6640625" style="1" hidden="1" customWidth="1"/>
    <col min="4" max="4" width="0" style="1" hidden="1" customWidth="1"/>
    <col min="5" max="5" width="15.33203125" style="1" customWidth="1"/>
    <col min="6" max="6" width="63.1640625" style="1" bestFit="1" customWidth="1"/>
    <col min="7" max="16384" width="9" style="1"/>
  </cols>
  <sheetData>
    <row r="1" spans="5:6">
      <c r="E1" s="7" t="s">
        <v>0</v>
      </c>
      <c r="F1" s="2" t="s">
        <v>24</v>
      </c>
    </row>
    <row r="2" spans="5:6" ht="18">
      <c r="E2" s="7" t="s">
        <v>6</v>
      </c>
      <c r="F2" s="6" t="s">
        <v>5</v>
      </c>
    </row>
    <row r="3" spans="5:6" ht="18">
      <c r="E3" s="7" t="s">
        <v>4</v>
      </c>
      <c r="F3" s="6" t="s">
        <v>10</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優先度低</vt:lpstr>
      <vt:lpstr>親課題リスト</vt:lpstr>
      <vt:lpstr>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木部</cp:lastModifiedBy>
  <dcterms:created xsi:type="dcterms:W3CDTF">2015-06-05T18:19:34Z</dcterms:created>
  <dcterms:modified xsi:type="dcterms:W3CDTF">2021-01-25T11:46:26Z</dcterms:modified>
</cp:coreProperties>
</file>