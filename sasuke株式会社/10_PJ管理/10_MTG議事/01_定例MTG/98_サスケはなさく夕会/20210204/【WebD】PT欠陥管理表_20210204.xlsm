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codeName="{6BE1CDB9-6C1C-A5B6-3FC1-E231EC3C600E}"/>
  <workbookPr codeName="ThisWorkbook"/>
  <mc:AlternateContent xmlns:mc="http://schemas.openxmlformats.org/markup-compatibility/2006">
    <mc:Choice Requires="x15">
      <x15ac:absPath xmlns:x15ac="http://schemas.microsoft.com/office/spreadsheetml/2010/11/ac" url="/Volumes/GoogleDrive/共有ドライブ/はなさく案件【外部連携】/71_連携資料/from Sasuke社/10_PJ管理/10_MTG議事/01_定例MTG/98_サスケはなさく夕会/20210204/"/>
    </mc:Choice>
  </mc:AlternateContent>
  <xr:revisionPtr revIDLastSave="0" documentId="13_ncr:1_{09CF9734-298E-4D49-9EDE-A4309F6D227C}" xr6:coauthVersionLast="46" xr6:coauthVersionMax="46" xr10:uidLastSave="{00000000-0000-0000-0000-000000000000}"/>
  <bookViews>
    <workbookView xWindow="0" yWindow="0" windowWidth="33600" windowHeight="21000"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親課題リスト" sheetId="6" state="hidden" r:id="rId9"/>
    <sheet name="設定" sheetId="1" r:id="rId10"/>
  </sheets>
  <functionGroups builtInGroupCount="19"/>
  <definedNames>
    <definedName name="_xlnm._FilterDatabase" localSheetId="6" hidden="1">'SP1～SP5'!$A$5:$V$157</definedName>
    <definedName name="_xlnm._FilterDatabase" localSheetId="7" hidden="1">'SP6'!$A$5:$V$25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A25" i="15" l="1"/>
  <c r="AZ25" i="15"/>
  <c r="AY25" i="15"/>
  <c r="AX25" i="15"/>
  <c r="AW25" i="15"/>
  <c r="AV25" i="15"/>
  <c r="AU25" i="15"/>
  <c r="AT25" i="15"/>
  <c r="AS25" i="15"/>
  <c r="AR25" i="15"/>
  <c r="AQ25" i="15"/>
  <c r="AP25" i="15"/>
  <c r="AO25" i="15"/>
  <c r="AN25" i="15"/>
  <c r="AM25" i="15"/>
  <c r="AL25" i="15"/>
  <c r="AK25" i="15"/>
  <c r="AJ25" i="15"/>
  <c r="AI25" i="15"/>
  <c r="AH25" i="15"/>
  <c r="AG25" i="15"/>
  <c r="AF25" i="15"/>
  <c r="AE25" i="15"/>
  <c r="AD25" i="15"/>
  <c r="AC25" i="15"/>
  <c r="BA24" i="15"/>
  <c r="BA26" i="15" s="1"/>
  <c r="AZ24" i="15"/>
  <c r="AY24" i="15"/>
  <c r="AY26" i="15" s="1"/>
  <c r="AX24" i="15"/>
  <c r="AW24" i="15"/>
  <c r="AW26" i="15" s="1"/>
  <c r="AV24" i="15"/>
  <c r="AU24" i="15"/>
  <c r="AU26" i="15" s="1"/>
  <c r="AT24" i="15"/>
  <c r="AS24" i="15"/>
  <c r="AS26" i="15" s="1"/>
  <c r="AR24" i="15"/>
  <c r="AQ24" i="15"/>
  <c r="AQ26" i="15" s="1"/>
  <c r="AP24" i="15"/>
  <c r="AO24" i="15"/>
  <c r="AO26" i="15" s="1"/>
  <c r="AN24" i="15"/>
  <c r="AM24" i="15"/>
  <c r="AM26" i="15" s="1"/>
  <c r="AL24" i="15"/>
  <c r="AK24" i="15"/>
  <c r="AK26" i="15" s="1"/>
  <c r="AJ24" i="15"/>
  <c r="AI24" i="15"/>
  <c r="AI26" i="15" s="1"/>
  <c r="AH24" i="15"/>
  <c r="AG24" i="15"/>
  <c r="AG26" i="15" s="1"/>
  <c r="AF24" i="15"/>
  <c r="AE24" i="15"/>
  <c r="AE26" i="15" s="1"/>
  <c r="AD24" i="15"/>
  <c r="AC24" i="15"/>
  <c r="BA23" i="15"/>
  <c r="AZ23" i="15"/>
  <c r="AY23" i="15"/>
  <c r="AX23" i="15"/>
  <c r="AW23" i="15"/>
  <c r="AV23" i="15"/>
  <c r="AU23" i="15"/>
  <c r="AT23" i="15"/>
  <c r="AS23" i="15"/>
  <c r="AR23" i="15"/>
  <c r="AQ23" i="15"/>
  <c r="AP23" i="15"/>
  <c r="AO23" i="15"/>
  <c r="AN23" i="15"/>
  <c r="AM23" i="15"/>
  <c r="AL23" i="15"/>
  <c r="AK23" i="15"/>
  <c r="AJ23" i="15"/>
  <c r="AI23" i="15"/>
  <c r="AH23" i="15"/>
  <c r="AG23" i="15"/>
  <c r="AF23" i="15"/>
  <c r="AE23" i="15"/>
  <c r="AD23" i="15"/>
  <c r="AC23" i="15"/>
  <c r="BA17" i="15"/>
  <c r="AZ17" i="15"/>
  <c r="AY17" i="15"/>
  <c r="AX17" i="15"/>
  <c r="AW17" i="15"/>
  <c r="BA16" i="15"/>
  <c r="AZ16" i="15"/>
  <c r="AY16" i="15"/>
  <c r="AY18" i="15" s="1"/>
  <c r="AX16" i="15"/>
  <c r="AX18" i="15" s="1"/>
  <c r="AW16" i="15"/>
  <c r="BA15" i="15"/>
  <c r="AZ15" i="15"/>
  <c r="AY15" i="15"/>
  <c r="AX15" i="15"/>
  <c r="AW15" i="15"/>
  <c r="AV17" i="15"/>
  <c r="AU17" i="15"/>
  <c r="AT17" i="15"/>
  <c r="AS17" i="15"/>
  <c r="AR17" i="15"/>
  <c r="AQ17" i="15"/>
  <c r="AP17" i="15"/>
  <c r="AO17" i="15"/>
  <c r="AN17" i="15"/>
  <c r="AM17" i="15"/>
  <c r="AL17" i="15"/>
  <c r="AK17" i="15"/>
  <c r="AJ17" i="15"/>
  <c r="AI17" i="15"/>
  <c r="AH17" i="15"/>
  <c r="AG17" i="15"/>
  <c r="AV16" i="15"/>
  <c r="AV18" i="15" s="1"/>
  <c r="AU16" i="15"/>
  <c r="AU18" i="15" s="1"/>
  <c r="AT16" i="15"/>
  <c r="AT18" i="15" s="1"/>
  <c r="AS16" i="15"/>
  <c r="AS18" i="15" s="1"/>
  <c r="AR16" i="15"/>
  <c r="AR18" i="15" s="1"/>
  <c r="AQ16" i="15"/>
  <c r="AQ18" i="15" s="1"/>
  <c r="AP16" i="15"/>
  <c r="AP18" i="15" s="1"/>
  <c r="AO16" i="15"/>
  <c r="AO18" i="15" s="1"/>
  <c r="AN16" i="15"/>
  <c r="AN18" i="15" s="1"/>
  <c r="AM16" i="15"/>
  <c r="AM18" i="15" s="1"/>
  <c r="AL16" i="15"/>
  <c r="AL18" i="15" s="1"/>
  <c r="AK16" i="15"/>
  <c r="AK18" i="15" s="1"/>
  <c r="AJ16" i="15"/>
  <c r="AI16" i="15"/>
  <c r="AH16" i="15"/>
  <c r="AH18" i="15" s="1"/>
  <c r="AG16" i="15"/>
  <c r="AG18" i="15" s="1"/>
  <c r="AV15" i="15"/>
  <c r="AU15" i="15"/>
  <c r="AT15" i="15"/>
  <c r="AS15" i="15"/>
  <c r="AR15" i="15"/>
  <c r="AQ15" i="15"/>
  <c r="AP15" i="15"/>
  <c r="AO15" i="15"/>
  <c r="AN15" i="15"/>
  <c r="AM15" i="15"/>
  <c r="AL15" i="15"/>
  <c r="AK15" i="15"/>
  <c r="AJ15" i="15"/>
  <c r="AI15" i="15"/>
  <c r="AH15" i="15"/>
  <c r="AG15" i="15"/>
  <c r="AF17" i="15"/>
  <c r="AF16" i="15"/>
  <c r="AF18" i="15" s="1"/>
  <c r="AF15" i="15"/>
  <c r="AE17" i="15"/>
  <c r="AE16" i="15"/>
  <c r="AE15" i="15"/>
  <c r="AD17" i="15"/>
  <c r="AD16" i="15"/>
  <c r="AD15" i="15"/>
  <c r="AC17" i="15"/>
  <c r="AC16" i="15"/>
  <c r="AC15" i="15"/>
  <c r="AB16" i="15"/>
  <c r="C9" i="17"/>
  <c r="C8" i="17"/>
  <c r="C7" i="17"/>
  <c r="C6" i="17"/>
  <c r="C5" i="17"/>
  <c r="C4" i="17"/>
  <c r="C3" i="17"/>
  <c r="C2" i="17"/>
  <c r="B2" i="17"/>
  <c r="C17" i="14"/>
  <c r="B17" i="14"/>
  <c r="C16" i="14"/>
  <c r="B16" i="14"/>
  <c r="C15" i="14"/>
  <c r="B15" i="14"/>
  <c r="C14" i="14"/>
  <c r="B14" i="14"/>
  <c r="C13" i="14"/>
  <c r="B13" i="14"/>
  <c r="A2" i="15"/>
  <c r="B9" i="17"/>
  <c r="B8" i="17"/>
  <c r="B7" i="17"/>
  <c r="B6" i="17"/>
  <c r="B5" i="17"/>
  <c r="B4" i="17"/>
  <c r="B3" i="17"/>
  <c r="D24"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5" i="15"/>
  <c r="AA25" i="15"/>
  <c r="Z25" i="15"/>
  <c r="Y25" i="15"/>
  <c r="X25" i="15"/>
  <c r="W25" i="15"/>
  <c r="V25" i="15"/>
  <c r="U25" i="15"/>
  <c r="T25" i="15"/>
  <c r="S25" i="15"/>
  <c r="R25" i="15"/>
  <c r="Q25" i="15"/>
  <c r="P25" i="15"/>
  <c r="O25" i="15"/>
  <c r="N25" i="15"/>
  <c r="M25" i="15"/>
  <c r="L25" i="15"/>
  <c r="K25" i="15"/>
  <c r="J25" i="15"/>
  <c r="I25" i="15"/>
  <c r="H25" i="15"/>
  <c r="G25" i="15"/>
  <c r="F25" i="15"/>
  <c r="E25" i="15"/>
  <c r="D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C24" i="15"/>
  <c r="B24" i="15"/>
  <c r="AB23" i="15"/>
  <c r="AA23" i="15"/>
  <c r="Z23" i="15"/>
  <c r="Y23" i="15"/>
  <c r="X23" i="15"/>
  <c r="W23" i="15"/>
  <c r="V23" i="15"/>
  <c r="U23" i="15"/>
  <c r="T23" i="15"/>
  <c r="S23" i="15"/>
  <c r="R23" i="15"/>
  <c r="Q23" i="15"/>
  <c r="P23" i="15"/>
  <c r="O23" i="15"/>
  <c r="N23" i="15"/>
  <c r="M23" i="15"/>
  <c r="L23" i="15"/>
  <c r="K23" i="15"/>
  <c r="J23" i="15"/>
  <c r="I23" i="15"/>
  <c r="H23" i="15"/>
  <c r="G23" i="15"/>
  <c r="F23" i="15"/>
  <c r="E23" i="15"/>
  <c r="D23" i="15"/>
  <c r="B6" i="13"/>
  <c r="B3" i="14"/>
  <c r="B4" i="14"/>
  <c r="B5" i="14"/>
  <c r="B6" i="14"/>
  <c r="B7" i="14"/>
  <c r="B8" i="14"/>
  <c r="B9" i="14"/>
  <c r="B10" i="14"/>
  <c r="B11" i="14"/>
  <c r="B12" i="14"/>
  <c r="B18" i="14"/>
  <c r="B19" i="14"/>
  <c r="B20" i="14"/>
  <c r="B21" i="14"/>
  <c r="B22" i="14"/>
  <c r="C3" i="14"/>
  <c r="C4" i="14"/>
  <c r="C5" i="14"/>
  <c r="C6" i="14"/>
  <c r="C7" i="14"/>
  <c r="C8" i="14"/>
  <c r="C9" i="14"/>
  <c r="C10" i="14"/>
  <c r="C11" i="14"/>
  <c r="C12" i="14"/>
  <c r="C18" i="14"/>
  <c r="C19" i="14"/>
  <c r="C20" i="14"/>
  <c r="C21" i="14"/>
  <c r="C22" i="14"/>
  <c r="C2" i="14"/>
  <c r="B2" i="14"/>
  <c r="C6" i="13"/>
  <c r="C5" i="13"/>
  <c r="C4" i="13"/>
  <c r="C3" i="13"/>
  <c r="B3" i="13"/>
  <c r="B4" i="13"/>
  <c r="B5" i="13"/>
  <c r="D5" i="12"/>
  <c r="E5" i="12" s="1"/>
  <c r="F5" i="12" s="1"/>
  <c r="G5" i="12" s="1"/>
  <c r="H5" i="12" s="1"/>
  <c r="I5" i="12" s="1"/>
  <c r="J5" i="12" s="1"/>
  <c r="K5" i="12" s="1"/>
  <c r="L5" i="12" s="1"/>
  <c r="M5" i="12" s="1"/>
  <c r="E7" i="12"/>
  <c r="E12" i="12" s="1"/>
  <c r="C11" i="12"/>
  <c r="D11" i="12"/>
  <c r="D24" i="12" s="1"/>
  <c r="F11" i="12"/>
  <c r="F24" i="12" s="1"/>
  <c r="C12" i="12"/>
  <c r="D12" i="12"/>
  <c r="F12" i="12"/>
  <c r="D14" i="12"/>
  <c r="E14" i="12"/>
  <c r="F14" i="12"/>
  <c r="G24" i="12"/>
  <c r="H24" i="12"/>
  <c r="I24" i="12"/>
  <c r="J24" i="12"/>
  <c r="K24" i="12"/>
  <c r="L24" i="12"/>
  <c r="M24" i="12"/>
  <c r="N24" i="12"/>
  <c r="O24" i="12"/>
  <c r="AJ18" i="15" l="1"/>
  <c r="AI18" i="15"/>
  <c r="AC26" i="15"/>
  <c r="AD26" i="15"/>
  <c r="AH26" i="15"/>
  <c r="AL26" i="15"/>
  <c r="AP26" i="15"/>
  <c r="AT26" i="15"/>
  <c r="AX26" i="15"/>
  <c r="AD18" i="15"/>
  <c r="AZ18" i="15"/>
  <c r="AF26" i="15"/>
  <c r="AJ26" i="15"/>
  <c r="AN26" i="15"/>
  <c r="AR26" i="15"/>
  <c r="AV26" i="15"/>
  <c r="AZ26" i="15"/>
  <c r="AE18" i="15"/>
  <c r="AC18" i="15"/>
  <c r="AW18" i="15"/>
  <c r="BA18" i="15"/>
  <c r="F13" i="12"/>
  <c r="E11" i="12"/>
  <c r="E24" i="12" s="1"/>
  <c r="O26" i="15"/>
  <c r="S26" i="15"/>
  <c r="D13" i="14"/>
  <c r="D17" i="14"/>
  <c r="D14" i="14"/>
  <c r="D16" i="14"/>
  <c r="D15" i="14"/>
  <c r="M26" i="15"/>
  <c r="N26" i="15"/>
  <c r="R26" i="15"/>
  <c r="V26" i="15"/>
  <c r="Z26" i="15"/>
  <c r="P26" i="15"/>
  <c r="X26" i="15"/>
  <c r="AB26" i="15"/>
  <c r="B4" i="15" s="1"/>
  <c r="Q26" i="15"/>
  <c r="U26" i="15"/>
  <c r="Y26" i="15"/>
  <c r="W26" i="15"/>
  <c r="AA26" i="15"/>
  <c r="E26" i="15"/>
  <c r="G26" i="15"/>
  <c r="T26" i="15"/>
  <c r="F26" i="15"/>
  <c r="H26" i="15"/>
  <c r="I26" i="15"/>
  <c r="J26" i="15"/>
  <c r="B26" i="15"/>
  <c r="B27" i="15" s="1"/>
  <c r="K26" i="15"/>
  <c r="C26" i="15"/>
  <c r="L26" i="15"/>
  <c r="J18" i="15"/>
  <c r="R18" i="15"/>
  <c r="Z18" i="15"/>
  <c r="B23" i="14"/>
  <c r="B18" i="15"/>
  <c r="B19" i="15" s="1"/>
  <c r="D26" i="15"/>
  <c r="B10" i="17"/>
  <c r="C18" i="15"/>
  <c r="K18" i="15"/>
  <c r="S18" i="15"/>
  <c r="AA18" i="15"/>
  <c r="D18" i="15"/>
  <c r="L18" i="15"/>
  <c r="T18" i="15"/>
  <c r="AB18" i="15"/>
  <c r="B3" i="15" s="1"/>
  <c r="E18" i="15"/>
  <c r="M18" i="15"/>
  <c r="U18" i="15"/>
  <c r="F18" i="15"/>
  <c r="N18" i="15"/>
  <c r="V18" i="15"/>
  <c r="G18" i="15"/>
  <c r="O18" i="15"/>
  <c r="W18" i="15"/>
  <c r="H18" i="15"/>
  <c r="P18" i="15"/>
  <c r="X18" i="15"/>
  <c r="I18" i="15"/>
  <c r="Q18" i="15"/>
  <c r="Y18" i="15"/>
  <c r="D13" i="12"/>
  <c r="D15" i="12" s="1"/>
  <c r="D21" i="12" s="1"/>
  <c r="E13" i="12"/>
  <c r="E15" i="12" s="1"/>
  <c r="E21" i="12" s="1"/>
  <c r="F15" i="12"/>
  <c r="F21" i="12" s="1"/>
  <c r="C23" i="14"/>
  <c r="D22" i="14"/>
  <c r="D9" i="14"/>
  <c r="D21" i="14"/>
  <c r="D8" i="14"/>
  <c r="D20" i="14"/>
  <c r="D7" i="14"/>
  <c r="D19" i="14"/>
  <c r="D6" i="14"/>
  <c r="D18" i="14"/>
  <c r="D5" i="14"/>
  <c r="D12" i="14"/>
  <c r="D4" i="14"/>
  <c r="D11" i="14"/>
  <c r="D3" i="14"/>
  <c r="D10" i="14"/>
  <c r="D2" i="14"/>
  <c r="D6" i="13"/>
  <c r="D5" i="13"/>
  <c r="D4" i="13"/>
  <c r="D3" i="13"/>
  <c r="C7" i="13"/>
  <c r="B10" i="15" l="1"/>
  <c r="B9" i="15"/>
  <c r="C27" i="15"/>
  <c r="D27" i="15" s="1"/>
  <c r="E27" i="15" s="1"/>
  <c r="F27" i="15" s="1"/>
  <c r="G27" i="15" s="1"/>
  <c r="H27" i="15" s="1"/>
  <c r="I27" i="15" s="1"/>
  <c r="J27" i="15" s="1"/>
  <c r="K27" i="15" s="1"/>
  <c r="L27" i="15" s="1"/>
  <c r="M27" i="15" s="1"/>
  <c r="N27" i="15" s="1"/>
  <c r="O27" i="15" s="1"/>
  <c r="P27" i="15" s="1"/>
  <c r="Q27" i="15" s="1"/>
  <c r="R27" i="15" s="1"/>
  <c r="S27" i="15" s="1"/>
  <c r="T27" i="15" s="1"/>
  <c r="U27" i="15" s="1"/>
  <c r="V27" i="15" s="1"/>
  <c r="W27" i="15" s="1"/>
  <c r="X27" i="15" s="1"/>
  <c r="Y27" i="15" s="1"/>
  <c r="Z27" i="15" s="1"/>
  <c r="D9" i="17"/>
  <c r="C10" i="17"/>
  <c r="D8" i="17"/>
  <c r="D6" i="17"/>
  <c r="D7" i="17"/>
  <c r="D5" i="17"/>
  <c r="D4" i="17"/>
  <c r="D3" i="17"/>
  <c r="F17" i="12"/>
  <c r="F18" i="12" s="1"/>
  <c r="D17" i="12"/>
  <c r="D18" i="12" s="1"/>
  <c r="E17" i="12"/>
  <c r="E18" i="12" s="1"/>
  <c r="C19" i="15"/>
  <c r="D19" i="15" s="1"/>
  <c r="E19" i="15" s="1"/>
  <c r="F19" i="15" s="1"/>
  <c r="G19" i="15" s="1"/>
  <c r="H19" i="15" s="1"/>
  <c r="I19" i="15" s="1"/>
  <c r="J19" i="15" s="1"/>
  <c r="K19" i="15" s="1"/>
  <c r="L19" i="15" s="1"/>
  <c r="M19" i="15" s="1"/>
  <c r="N19" i="15" s="1"/>
  <c r="O19" i="15" s="1"/>
  <c r="P19" i="15" s="1"/>
  <c r="Q19" i="15" s="1"/>
  <c r="R19" i="15" s="1"/>
  <c r="S19" i="15" s="1"/>
  <c r="T19" i="15" s="1"/>
  <c r="U19" i="15" s="1"/>
  <c r="V19" i="15" s="1"/>
  <c r="W19" i="15" s="1"/>
  <c r="X19" i="15" s="1"/>
  <c r="Y19" i="15" s="1"/>
  <c r="Z19" i="15" s="1"/>
  <c r="D23" i="14"/>
  <c r="D7" i="13"/>
  <c r="B7" i="13"/>
  <c r="AA19" i="15" l="1"/>
  <c r="AB19" i="15" s="1"/>
  <c r="AC19" i="15" s="1"/>
  <c r="AD19" i="15" s="1"/>
  <c r="AE19" i="15" s="1"/>
  <c r="AF19" i="15" s="1"/>
  <c r="AG19" i="15" s="1"/>
  <c r="AH19" i="15" s="1"/>
  <c r="AI19" i="15" s="1"/>
  <c r="AJ19" i="15" s="1"/>
  <c r="AK19" i="15" s="1"/>
  <c r="AL19" i="15" s="1"/>
  <c r="AM19" i="15" s="1"/>
  <c r="AN19" i="15" s="1"/>
  <c r="AO19" i="15" s="1"/>
  <c r="AP19" i="15" s="1"/>
  <c r="AQ19" i="15" s="1"/>
  <c r="AR19" i="15" s="1"/>
  <c r="AS19" i="15" s="1"/>
  <c r="AT19" i="15" s="1"/>
  <c r="AU19" i="15" s="1"/>
  <c r="AV19" i="15" s="1"/>
  <c r="AW19" i="15" s="1"/>
  <c r="AX19" i="15" s="1"/>
  <c r="AY19" i="15" s="1"/>
  <c r="AZ19" i="15" s="1"/>
  <c r="BA19" i="15" s="1"/>
  <c r="AA27" i="15"/>
  <c r="AB27" i="15" s="1"/>
  <c r="AC27" i="15" s="1"/>
  <c r="AD27" i="15" s="1"/>
  <c r="AE27" i="15" s="1"/>
  <c r="AF27" i="15" s="1"/>
  <c r="AG27" i="15" s="1"/>
  <c r="AH27" i="15" s="1"/>
  <c r="AI27" i="15" s="1"/>
  <c r="AJ27" i="15" s="1"/>
  <c r="AK27" i="15" s="1"/>
  <c r="AL27" i="15" s="1"/>
  <c r="AM27" i="15" s="1"/>
  <c r="AN27" i="15" s="1"/>
  <c r="AO27" i="15" s="1"/>
  <c r="AP27" i="15" s="1"/>
  <c r="AQ27" i="15" s="1"/>
  <c r="AR27" i="15" s="1"/>
  <c r="AS27" i="15" s="1"/>
  <c r="AT27" i="15" s="1"/>
  <c r="AU27" i="15" s="1"/>
  <c r="AV27" i="15" s="1"/>
  <c r="AW27" i="15" s="1"/>
  <c r="AX27" i="15" s="1"/>
  <c r="AY27" i="15" s="1"/>
  <c r="AZ27" i="15" s="1"/>
  <c r="BA27" i="15" s="1"/>
  <c r="D2" i="17"/>
  <c r="D10" i="17" s="1"/>
  <c r="B2" i="10"/>
  <c r="B2" i="9"/>
  <c r="B5" i="15" l="1"/>
</calcChain>
</file>

<file path=xl/sharedStrings.xml><?xml version="1.0" encoding="utf-8"?>
<sst xmlns="http://schemas.openxmlformats.org/spreadsheetml/2006/main" count="1886" uniqueCount="1101">
  <si>
    <t>個人 API Key</t>
    <rPh sb="0" eb="2">
      <t>コジン</t>
    </rPh>
    <phoneticPr fontId="7"/>
  </si>
  <si>
    <t>リンク</t>
    <phoneticPr fontId="7"/>
  </si>
  <si>
    <t>IssueID</t>
    <phoneticPr fontId="7"/>
  </si>
  <si>
    <t>タイトル</t>
    <phoneticPr fontId="7"/>
  </si>
  <si>
    <t>Backlog API URL</t>
    <phoneticPr fontId="7"/>
  </si>
  <si>
    <t>https://sasuke-fl.backlog.com/view/</t>
    <phoneticPr fontId="7"/>
  </si>
  <si>
    <t>Backlog URL</t>
    <phoneticPr fontId="7"/>
  </si>
  <si>
    <t>OPEN</t>
  </si>
  <si>
    <t>親課題</t>
    <rPh sb="0" eb="1">
      <t>オヤ</t>
    </rPh>
    <rPh sb="1" eb="3">
      <t>カダイ</t>
    </rPh>
    <phoneticPr fontId="7"/>
  </si>
  <si>
    <t>バックログID</t>
    <phoneticPr fontId="7"/>
  </si>
  <si>
    <t>https://sasuke-fl.backlog.com/api/v2/issues</t>
    <phoneticPr fontId="7"/>
  </si>
  <si>
    <t>backlog</t>
    <phoneticPr fontId="7"/>
  </si>
  <si>
    <t>現担当者</t>
    <rPh sb="0" eb="4">
      <t>ゲンタントウシャ</t>
    </rPh>
    <phoneticPr fontId="7"/>
  </si>
  <si>
    <t>ステータス</t>
    <phoneticPr fontId="7"/>
  </si>
  <si>
    <t>開始日</t>
    <rPh sb="0" eb="3">
      <t>カイシビ</t>
    </rPh>
    <phoneticPr fontId="7"/>
  </si>
  <si>
    <t>終了日</t>
    <rPh sb="0" eb="3">
      <t>シュウリョウビ</t>
    </rPh>
    <phoneticPr fontId="7"/>
  </si>
  <si>
    <t>事象内容</t>
    <rPh sb="0" eb="2">
      <t>ジショウ</t>
    </rPh>
    <rPh sb="2" eb="4">
      <t>ナイヨウ</t>
    </rPh>
    <phoneticPr fontId="7"/>
  </si>
  <si>
    <t>障害原因</t>
    <rPh sb="0" eb="2">
      <t>ショウガイ</t>
    </rPh>
    <rPh sb="2" eb="4">
      <t>ゲンイン</t>
    </rPh>
    <phoneticPr fontId="7"/>
  </si>
  <si>
    <t>対応内容</t>
    <rPh sb="0" eb="2">
      <t>タイオウ</t>
    </rPh>
    <rPh sb="2" eb="4">
      <t>ナイヨウ</t>
    </rPh>
    <phoneticPr fontId="7"/>
  </si>
  <si>
    <t>障害分類</t>
    <rPh sb="0" eb="2">
      <t>ショウガイ</t>
    </rPh>
    <rPh sb="2" eb="4">
      <t>ブンルイ</t>
    </rPh>
    <phoneticPr fontId="7"/>
  </si>
  <si>
    <t>未対応</t>
  </si>
  <si>
    <t>完了</t>
  </si>
  <si>
    <t>実装不備</t>
  </si>
  <si>
    <t>その他</t>
  </si>
  <si>
    <t xml:space="preserve">kz94UACQFS002bGiYmEjPb3lJHiLHOk1jig9Q1jtvOW2dk5OySaPDkWlOSAqoD9B </t>
    <phoneticPr fontId="7"/>
  </si>
  <si>
    <t>障害対象設計書</t>
    <phoneticPr fontId="7"/>
  </si>
  <si>
    <t>SASUKE_PROJ_H8739-511</t>
    <phoneticPr fontId="7"/>
  </si>
  <si>
    <t>SASUKE_PROJ_H8739-554</t>
  </si>
  <si>
    <t>家塚晃慈</t>
  </si>
  <si>
    <t>SASUKE_PROJ_H8739-553</t>
  </si>
  <si>
    <t>SASUKE_PROJ_H8739-552</t>
  </si>
  <si>
    <t>中道信行</t>
  </si>
  <si>
    <t>SASUKE_PROJ_H8739-551</t>
  </si>
  <si>
    <t>ー</t>
  </si>
  <si>
    <t>SASUKE_PROJ_H8739-543</t>
  </si>
  <si>
    <t>SASUKE_PROJ_H8739-542</t>
  </si>
  <si>
    <t>SS設計不備</t>
  </si>
  <si>
    <t>SASUKE_PROJ_H8739-541</t>
  </si>
  <si>
    <t>SASUKE_PROJ_H8739-534</t>
  </si>
  <si>
    <t>SASUKE_PROJ_H8739-529</t>
  </si>
  <si>
    <t>inouchi</t>
  </si>
  <si>
    <t>SASUKE_PROJ_H8739-528</t>
  </si>
  <si>
    <t>t.taguchi</t>
  </si>
  <si>
    <t>SASUKE_PROJ_H8739-527</t>
  </si>
  <si>
    <t>SASUKE_PROJ_H8739-526</t>
  </si>
  <si>
    <t>SASUKE_PROJ_H8739-525</t>
  </si>
  <si>
    <t>SASUKE_PROJ_H8739-524</t>
  </si>
  <si>
    <t>SASUKE_PROJ_H8739-522</t>
  </si>
  <si>
    <t>SASUKE_PROJ_H8739-521</t>
  </si>
  <si>
    <t>SASUKE_PROJ_H8739-711</t>
    <phoneticPr fontId="7"/>
  </si>
  <si>
    <t>SASUKE_PROJ_H8739-756</t>
    <phoneticPr fontId="7"/>
  </si>
  <si>
    <t>【親課題】単体テストで発見された不具合・障害報告(SP1～SP5)</t>
  </si>
  <si>
    <t>【親課題】単体テストで発見された不具合・障害報告(SP1～SP5)</t>
    <phoneticPr fontId="7"/>
  </si>
  <si>
    <t>【親課題】単体テストで発見された不具合・障害報告(SP6)</t>
  </si>
  <si>
    <t>【親課題】単体テストで発見された不具合・障害報告(SP6)</t>
    <phoneticPr fontId="7"/>
  </si>
  <si>
    <t>【親課題】単体テストで発見された横断対応(優先度低)</t>
    <phoneticPr fontId="7"/>
  </si>
  <si>
    <t>SP1～SP5</t>
    <phoneticPr fontId="7"/>
  </si>
  <si>
    <t>SASUKE_PROJ_H8739-817</t>
  </si>
  <si>
    <t>川村和英</t>
  </si>
  <si>
    <t>SASUKE_PROJ_H8739-810</t>
  </si>
  <si>
    <t>SASUKE_PROJ_H8739-802</t>
  </si>
  <si>
    <t>SASUKE_PROJ_H8739-787</t>
  </si>
  <si>
    <t>SASUKE_PROJ_H8739-784</t>
  </si>
  <si>
    <t>詳細設計書のファイル名を記載する。</t>
  </si>
  <si>
    <t>SASUKE_PROJ_H8739-783</t>
  </si>
  <si>
    <t>SASUKE_PROJ_H8739-781</t>
  </si>
  <si>
    <t>SASUKE_PROJ_H8739-773</t>
  </si>
  <si>
    <t>SASUKE_PROJ_H8739-771</t>
  </si>
  <si>
    <t>SASUKE_PROJ_H8739-765</t>
  </si>
  <si>
    <t>SASUKE_PROJ_H8739-762</t>
  </si>
  <si>
    <t>SASUKE_PROJ_H8739-761</t>
  </si>
  <si>
    <t>SASUKE_PROJ_H8739-758</t>
  </si>
  <si>
    <t>SASUKE_PROJ_H8739-743</t>
  </si>
  <si>
    <t>SA/UI設計不備</t>
  </si>
  <si>
    <t>SASUKE_PROJ_H8739-729</t>
  </si>
  <si>
    <t>SASUKE_PROJ_H8739-728</t>
  </si>
  <si>
    <t>SASUKE_PROJ_H8739-727</t>
  </si>
  <si>
    <t>SASUKE_PROJ_H8739-726</t>
  </si>
  <si>
    <t>SASUKE_PROJ_H8739-724</t>
  </si>
  <si>
    <t>SASUKE_PROJ_H8739-723</t>
  </si>
  <si>
    <t>SASUKE_PROJ_H8739-722</t>
  </si>
  <si>
    <t>SASUKE_PROJ_H8739-721</t>
  </si>
  <si>
    <t>SASUKE_PROJ_H8739-720</t>
  </si>
  <si>
    <t>SASUKE_PROJ_H8739-717</t>
  </si>
  <si>
    <t>SASUKE_PROJ_H8739-716</t>
  </si>
  <si>
    <t>SASUKE_PROJ_H8739-713</t>
  </si>
  <si>
    <t>SASUKE_PROJ_H8739-712</t>
  </si>
  <si>
    <t>SASUKE_PROJ_H8739-710</t>
  </si>
  <si>
    <t>SASUKE_PROJ_H8739-709</t>
  </si>
  <si>
    <t>SASUKE_PROJ_H8739-708</t>
  </si>
  <si>
    <t>SASUKE_PROJ_H8739-707</t>
  </si>
  <si>
    <t>SASUKE_PROJ_H8739-705</t>
  </si>
  <si>
    <t>SASUKE_PROJ_H8739-704</t>
  </si>
  <si>
    <t>SASUKE_PROJ_H8739-702</t>
  </si>
  <si>
    <t>SASUKE_PROJ_H8739-700</t>
  </si>
  <si>
    <t>SASUKE_PROJ_H8739-698</t>
  </si>
  <si>
    <t>SASUKE_PROJ_H8739-697</t>
  </si>
  <si>
    <t>処理済み</t>
  </si>
  <si>
    <t>SASUKE_PROJ_H8739-694</t>
  </si>
  <si>
    <t>SASUKE_PROJ_H8739-692</t>
  </si>
  <si>
    <t>SASUKE_PROJ_H8739-691</t>
  </si>
  <si>
    <t>SASUKE_PROJ_H8739-687</t>
  </si>
  <si>
    <t>SASUKE_PROJ_H8739-682</t>
  </si>
  <si>
    <t>SASUKE_PROJ_H8739-681</t>
  </si>
  <si>
    <t>SASUKE_PROJ_H8739-679</t>
  </si>
  <si>
    <t>SASUKE_PROJ_H8739-678</t>
  </si>
  <si>
    <t>SASUKE_PROJ_H8739-676</t>
  </si>
  <si>
    <t>SASUKE_PROJ_H8739-675</t>
  </si>
  <si>
    <t>SASUKE_PROJ_H8739-674</t>
  </si>
  <si>
    <t>TM薬袋</t>
  </si>
  <si>
    <t>SASUKE_PROJ_H8739-673</t>
  </si>
  <si>
    <t>SASUKE_PROJ_H8739-672</t>
  </si>
  <si>
    <t>SASUKE_PROJ_H8739-671</t>
  </si>
  <si>
    <t>SASUKE_PROJ_H8739-670</t>
  </si>
  <si>
    <t>SASUKE_PROJ_H8739-669</t>
  </si>
  <si>
    <t>SASUKE_PROJ_H8739-668</t>
  </si>
  <si>
    <t>SASUKE_PROJ_H8739-665</t>
  </si>
  <si>
    <t>SASUKE_PROJ_H8739-664</t>
  </si>
  <si>
    <t>SASUKE_PROJ_H8739-659</t>
  </si>
  <si>
    <t>SASUKE_PROJ_H8739-658</t>
  </si>
  <si>
    <t>SASUKE_PROJ_H8739-657</t>
  </si>
  <si>
    <t>SASUKE_PROJ_H8739-656</t>
  </si>
  <si>
    <t>SASUKE_PROJ_H8739-655</t>
  </si>
  <si>
    <t>SASUKE_PROJ_H8739-654</t>
  </si>
  <si>
    <t>SASUKE_PROJ_H8739-653</t>
  </si>
  <si>
    <t>SASUKE_PROJ_H8739-652</t>
  </si>
  <si>
    <t>SASUKE_PROJ_H8739-651</t>
  </si>
  <si>
    <t>SASUKE_PROJ_H8739-650</t>
  </si>
  <si>
    <t>SASUKE_PROJ_H8739-649</t>
  </si>
  <si>
    <t>SASUKE_PROJ_H8739-648</t>
  </si>
  <si>
    <t>川上祐輝</t>
  </si>
  <si>
    <t>SASUKE_PROJ_H8739-647</t>
  </si>
  <si>
    <t>SASUKE_PROJ_H8739-643</t>
  </si>
  <si>
    <t>SASUKE_PROJ_H8739-641</t>
  </si>
  <si>
    <t>SASUKE_PROJ_H8739-640</t>
  </si>
  <si>
    <t>SASUKE_PROJ_H8739-639</t>
  </si>
  <si>
    <t>SASUKE_PROJ_H8739-638</t>
  </si>
  <si>
    <t>SASUKE_PROJ_H8739-636</t>
  </si>
  <si>
    <t>SASUKE_PROJ_H8739-635</t>
  </si>
  <si>
    <t>SASUKE_PROJ_H8739-633</t>
  </si>
  <si>
    <t>SASUKE_PROJ_H8739-632</t>
  </si>
  <si>
    <t>SASUKE_PROJ_H8739-628</t>
  </si>
  <si>
    <t>SASUKE_PROJ_H8739-625</t>
  </si>
  <si>
    <t>SASUKE_PROJ_H8739-624</t>
  </si>
  <si>
    <t>SASUKE_PROJ_H8739-623</t>
  </si>
  <si>
    <t>SASUKE_PROJ_H8739-622</t>
  </si>
  <si>
    <t>SASUKE_PROJ_H8739-619</t>
  </si>
  <si>
    <t>テスト環境不備</t>
  </si>
  <si>
    <t>SASUKE_PROJ_H8739-618</t>
  </si>
  <si>
    <t>SASUKE_PROJ_H8739-616</t>
  </si>
  <si>
    <t>SASUKE_PROJ_H8739-615</t>
  </si>
  <si>
    <t>SASUKE_PROJ_H8739-613</t>
  </si>
  <si>
    <t>SASUKE_PROJ_H8739-612</t>
  </si>
  <si>
    <t>SASUKE_PROJ_H8739-611</t>
  </si>
  <si>
    <t>SASUKE_PROJ_H8739-610</t>
  </si>
  <si>
    <t>SASUKE_PROJ_H8739-608</t>
  </si>
  <si>
    <t>SASUKE_PROJ_H8739-607</t>
  </si>
  <si>
    <t>SASUKE_PROJ_H8739-604</t>
  </si>
  <si>
    <t>SASUKE_PROJ_H8739-601</t>
  </si>
  <si>
    <t>SASUKE_PROJ_H8739-600</t>
  </si>
  <si>
    <t>SASUKE_PROJ_H8739-599</t>
  </si>
  <si>
    <t>SASUKE_PROJ_H8739-596</t>
  </si>
  <si>
    <t>SASUKE_PROJ_H8739-593</t>
  </si>
  <si>
    <t>SASUKE_PROJ_H8739-592</t>
  </si>
  <si>
    <t>SASUKE_PROJ_H8739-591</t>
  </si>
  <si>
    <t>SASUKE_PROJ_H8739-580</t>
  </si>
  <si>
    <t>SASUKE_PROJ_H8739-578</t>
  </si>
  <si>
    <t>SASUKE_PROJ_H8739-575</t>
  </si>
  <si>
    <t>SASUKE_PROJ_H8739-574</t>
  </si>
  <si>
    <t>SASUKE_PROJ_H8739-573</t>
  </si>
  <si>
    <t>詳細設計書_G0109_申込内容確認画面.xlsx</t>
  </si>
  <si>
    <t>SASUKE_PROJ_H8739-572</t>
  </si>
  <si>
    <t>SASUKE_PROJ_H8739-571</t>
  </si>
  <si>
    <t>SASUKE_PROJ_H8739-569</t>
  </si>
  <si>
    <t>SASUKE_PROJ_H8739-568</t>
  </si>
  <si>
    <t>SASUKE_PROJ_H8739-567</t>
  </si>
  <si>
    <t>SASUKE_PROJ_H8739-566</t>
  </si>
  <si>
    <t>SASUKE_PROJ_H8739-565</t>
  </si>
  <si>
    <t>SASUKE_PROJ_H8739-776</t>
  </si>
  <si>
    <t>SASUKE_PROJ_H8739-770</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</si>
  <si>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</si>
  <si>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SASUKE_PROJ_H8739-769</t>
  </si>
  <si>
    <t>SASUKE_PROJ_H8739-768</t>
  </si>
  <si>
    <t>SASUKE_PROJ_H8739-766</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</si>
  <si>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</si>
  <si>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</si>
  <si>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</si>
  <si>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</si>
  <si>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</si>
  <si>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</si>
  <si>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</si>
  <si>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</si>
  <si>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</si>
  <si>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</si>
  <si>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定性コメント：</t>
    <rPh sb="0" eb="2">
      <t>テイセイ</t>
    </rPh>
    <phoneticPr fontId="17"/>
  </si>
  <si>
    <t>一人当たり予定消化件数</t>
    <rPh sb="0" eb="2">
      <t>ヒトリ</t>
    </rPh>
    <rPh sb="2" eb="3">
      <t>ア</t>
    </rPh>
    <rPh sb="5" eb="7">
      <t>ヨテイ</t>
    </rPh>
    <rPh sb="7" eb="9">
      <t>ショウカ</t>
    </rPh>
    <rPh sb="9" eb="11">
      <t>ケンスウ</t>
    </rPh>
    <phoneticPr fontId="17"/>
  </si>
  <si>
    <t>対応メンバ数</t>
    <rPh sb="0" eb="2">
      <t>タイオウ</t>
    </rPh>
    <rPh sb="5" eb="6">
      <t>スウ</t>
    </rPh>
    <phoneticPr fontId="17"/>
  </si>
  <si>
    <t>残日数
(翌日～1月末の営業日数)</t>
    <rPh sb="0" eb="1">
      <t>ザン</t>
    </rPh>
    <rPh sb="1" eb="3">
      <t>ニッスウ</t>
    </rPh>
    <rPh sb="5" eb="7">
      <t>ヨクジツ</t>
    </rPh>
    <rPh sb="9" eb="11">
      <t>ガツマツ</t>
    </rPh>
    <rPh sb="12" eb="14">
      <t>エイギョウ</t>
    </rPh>
    <rPh sb="14" eb="16">
      <t>ニッスウ</t>
    </rPh>
    <phoneticPr fontId="17"/>
  </si>
  <si>
    <t>対応件数予実差分</t>
    <rPh sb="0" eb="4">
      <t xml:space="preserve">タイオウケンスウ </t>
    </rPh>
    <rPh sb="4" eb="6">
      <t xml:space="preserve">ヨジツ </t>
    </rPh>
    <rPh sb="6" eb="8">
      <t xml:space="preserve">サブン </t>
    </rPh>
    <phoneticPr fontId="17"/>
  </si>
  <si>
    <t>参考数値</t>
    <rPh sb="0" eb="4">
      <t xml:space="preserve">サンコウスウチ </t>
    </rPh>
    <phoneticPr fontId="17"/>
  </si>
  <si>
    <t>見込み完了日</t>
    <rPh sb="0" eb="2">
      <t xml:space="preserve">ミコミ </t>
    </rPh>
    <rPh sb="3" eb="6">
      <t xml:space="preserve">カンリョウビ </t>
    </rPh>
    <phoneticPr fontId="17"/>
  </si>
  <si>
    <t>見込み残日数
（未完了/平均減少件数）</t>
    <rPh sb="0" eb="2">
      <t xml:space="preserve">ミコミ </t>
    </rPh>
    <rPh sb="3" eb="4">
      <t xml:space="preserve">ザンケンスウ </t>
    </rPh>
    <rPh sb="4" eb="6">
      <t xml:space="preserve">ニッスウ </t>
    </rPh>
    <phoneticPr fontId="17"/>
  </si>
  <si>
    <t>-</t>
    <phoneticPr fontId="17"/>
  </si>
  <si>
    <t>チケット減少件数</t>
    <rPh sb="4" eb="6">
      <t xml:space="preserve">ゲンショウ </t>
    </rPh>
    <rPh sb="6" eb="8">
      <t xml:space="preserve">ケンスウ </t>
    </rPh>
    <phoneticPr fontId="17"/>
  </si>
  <si>
    <t>完了前日比</t>
    <rPh sb="0" eb="2">
      <t xml:space="preserve">カンリョウ </t>
    </rPh>
    <rPh sb="2" eb="4">
      <t xml:space="preserve">ゼンジツヒ </t>
    </rPh>
    <rPh sb="4" eb="5">
      <t xml:space="preserve">ヒ </t>
    </rPh>
    <phoneticPr fontId="17"/>
  </si>
  <si>
    <t>追加チケット数</t>
    <rPh sb="0" eb="2">
      <t xml:space="preserve">ツイカ </t>
    </rPh>
    <rPh sb="6" eb="7">
      <t xml:space="preserve">スウ </t>
    </rPh>
    <phoneticPr fontId="17"/>
  </si>
  <si>
    <t>チケット</t>
    <phoneticPr fontId="17"/>
  </si>
  <si>
    <t>合計：全件数</t>
    <rPh sb="0" eb="2">
      <t>ゴウケイ</t>
    </rPh>
    <rPh sb="2" eb="3">
      <t>：</t>
    </rPh>
    <rPh sb="3" eb="6">
      <t xml:space="preserve">ゼンケンスウ </t>
    </rPh>
    <phoneticPr fontId="7"/>
  </si>
  <si>
    <t>合計：未完了件数</t>
    <rPh sb="0" eb="2">
      <t>ゴウケイ</t>
    </rPh>
    <rPh sb="3" eb="8">
      <t xml:space="preserve">ミカンリョウケンスウ </t>
    </rPh>
    <phoneticPr fontId="7"/>
  </si>
  <si>
    <t>合計</t>
    <rPh sb="0" eb="2">
      <t>ゴウケイ</t>
    </rPh>
    <phoneticPr fontId="7"/>
  </si>
  <si>
    <t>合計</t>
    <rPh sb="0" eb="2">
      <t>ゴウケイ</t>
    </rPh>
    <phoneticPr fontId="17"/>
  </si>
  <si>
    <t>完了</t>
    <rPh sb="0" eb="2">
      <t>カンリョウ</t>
    </rPh>
    <phoneticPr fontId="7"/>
  </si>
  <si>
    <t>処理中</t>
    <rPh sb="0" eb="3">
      <t>ショリチュウ</t>
    </rPh>
    <phoneticPr fontId="7"/>
  </si>
  <si>
    <t>未対応</t>
    <rPh sb="0" eb="3">
      <t>ミタイオウ</t>
    </rPh>
    <phoneticPr fontId="7"/>
  </si>
  <si>
    <t>ステータス</t>
    <phoneticPr fontId="17"/>
  </si>
  <si>
    <t>未完了件数見込み
（総量は仮置き）</t>
    <rPh sb="0" eb="3">
      <t xml:space="preserve">ミカンリョウ </t>
    </rPh>
    <rPh sb="3" eb="5">
      <t xml:space="preserve">ケンスウ </t>
    </rPh>
    <rPh sb="5" eb="7">
      <t xml:space="preserve">ミコミ </t>
    </rPh>
    <rPh sb="10" eb="12">
      <t xml:space="preserve">ソウリョウ </t>
    </rPh>
    <phoneticPr fontId="17"/>
  </si>
  <si>
    <t>予定対応件数</t>
    <rPh sb="0" eb="2">
      <t xml:space="preserve">ヨテイ </t>
    </rPh>
    <rPh sb="2" eb="4">
      <t xml:space="preserve">タイオウ </t>
    </rPh>
    <rPh sb="4" eb="6">
      <t xml:space="preserve">ケンスウ </t>
    </rPh>
    <phoneticPr fontId="17"/>
  </si>
  <si>
    <t>予定</t>
    <rPh sb="0" eb="1">
      <t xml:space="preserve">ヨテイ </t>
    </rPh>
    <phoneticPr fontId="17"/>
  </si>
  <si>
    <t>日付</t>
    <rPh sb="0" eb="2">
      <t>ヒヅケ</t>
    </rPh>
    <phoneticPr fontId="17"/>
  </si>
  <si>
    <t>＜SP1〜5のPTサマリ＞</t>
    <phoneticPr fontId="17"/>
  </si>
  <si>
    <t>＜計算用＞</t>
    <rPh sb="1" eb="4">
      <t>ケイサンヨウ</t>
    </rPh>
    <phoneticPr fontId="7"/>
  </si>
  <si>
    <t>SP6</t>
    <phoneticPr fontId="7"/>
  </si>
  <si>
    <t>修正
担当者</t>
    <rPh sb="0" eb="2">
      <t>シュウセイ</t>
    </rPh>
    <rPh sb="3" eb="6">
      <t>タントウシャ</t>
    </rPh>
    <phoneticPr fontId="7"/>
  </si>
  <si>
    <t>森山</t>
  </si>
  <si>
    <t>担当者</t>
    <rPh sb="0" eb="3">
      <t>タントウシャ</t>
    </rPh>
    <phoneticPr fontId="7"/>
  </si>
  <si>
    <t>消化</t>
    <rPh sb="0" eb="2">
      <t>ショウカ</t>
    </rPh>
    <phoneticPr fontId="7"/>
  </si>
  <si>
    <t>空欄</t>
    <rPh sb="0" eb="2">
      <t>クウラン</t>
    </rPh>
    <phoneticPr fontId="7"/>
  </si>
  <si>
    <t>＜発生＞</t>
    <rPh sb="1" eb="3">
      <t>ハッセイ</t>
    </rPh>
    <phoneticPr fontId="7"/>
  </si>
  <si>
    <t>～1/10</t>
    <phoneticPr fontId="7"/>
  </si>
  <si>
    <t>発生</t>
    <rPh sb="0" eb="2">
      <t>ハッセイ</t>
    </rPh>
    <phoneticPr fontId="7"/>
  </si>
  <si>
    <t>要件不備</t>
  </si>
  <si>
    <t>テスト仕様書不備</t>
  </si>
  <si>
    <t>テスト実施不備</t>
  </si>
  <si>
    <t>原因分類</t>
    <rPh sb="0" eb="4">
      <t>ゲンインブンルイ</t>
    </rPh>
    <phoneticPr fontId="7"/>
  </si>
  <si>
    <t>＜日付指定＞</t>
    <rPh sb="1" eb="5">
      <t>ヒヅケシテイ</t>
    </rPh>
    <phoneticPr fontId="7"/>
  </si>
  <si>
    <t>分類</t>
    <rPh sb="0" eb="2">
      <t>ブンルイ</t>
    </rPh>
    <phoneticPr fontId="7"/>
  </si>
  <si>
    <t>＜完了＞</t>
    <rPh sb="1" eb="3">
      <t>カンリョウ</t>
    </rPh>
    <phoneticPr fontId="7"/>
  </si>
  <si>
    <t>増減</t>
    <rPh sb="0" eb="2">
      <t>ゾウゲン</t>
    </rPh>
    <phoneticPr fontId="7"/>
  </si>
  <si>
    <t>＜収束予定日＞</t>
    <rPh sb="1" eb="3">
      <t>シュウソク</t>
    </rPh>
    <rPh sb="3" eb="6">
      <t>ヨテイビ</t>
    </rPh>
    <phoneticPr fontId="7"/>
  </si>
  <si>
    <t>01/18～現在</t>
    <rPh sb="6" eb="8">
      <t>ゲンザイ</t>
    </rPh>
    <phoneticPr fontId="7"/>
  </si>
  <si>
    <t>小川</t>
  </si>
  <si>
    <t>SASUKE_PROJ_H8739-822</t>
  </si>
  <si>
    <t>家塚</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</si>
  <si>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</si>
  <si>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</si>
  <si>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</si>
  <si>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</si>
  <si>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集計日</t>
    <rPh sb="0" eb="2">
      <t>シュウケイホンブン</t>
    </rPh>
    <phoneticPr fontId="7"/>
  </si>
  <si>
    <t>SASUKE_PROJ_H8739-829</t>
  </si>
  <si>
    <t>未対応</t>
    <phoneticPr fontId="7"/>
  </si>
  <si>
    <t>実装不備</t>
    <phoneticPr fontId="7"/>
  </si>
  <si>
    <t>【単体テスト・不具合】G0118_告知情報確認画面(AURA)_修正するボタン押下してモーダル開くとコンソールにエラーが出ている</t>
    <phoneticPr fontId="7"/>
  </si>
  <si>
    <t>inouchi</t>
    <phoneticPr fontId="7"/>
  </si>
  <si>
    <t>完了</t>
    <phoneticPr fontId="7"/>
  </si>
  <si>
    <t>修正するボタン押下してモーダル開くとコンソールにエラーが出ている
以下添付参照
![image][スクリーンショット 2021-01-21 11.19.31.png]</t>
    <phoneticPr fontId="7"/>
  </si>
  <si>
    <t>tm-s_teramoto</t>
    <phoneticPr fontId="7"/>
  </si>
  <si>
    <t>t.taguchi</t>
    <phoneticPr fontId="7"/>
  </si>
  <si>
    <t>TM_y-ishigaki</t>
    <phoneticPr fontId="7"/>
  </si>
  <si>
    <t>TM森山</t>
    <phoneticPr fontId="7"/>
  </si>
  <si>
    <t>SS設計不備</t>
    <phoneticPr fontId="7"/>
  </si>
  <si>
    <t>詳細設計書_G0128_Web申込み専用ページログイン画面（仮登録後）.xlsx
https://drive.google.com/file/d/17FsWMQyY9xLFEOz3DQbbqFsJpwIlMciS/view?usp=sharing</t>
    <phoneticPr fontId="7"/>
  </si>
  <si>
    <t>処理中</t>
    <phoneticPr fontId="7"/>
  </si>
  <si>
    <t>TM有友</t>
    <phoneticPr fontId="7"/>
  </si>
  <si>
    <t>井内</t>
  </si>
  <si>
    <t>SASUKE_PROJ_H8739-833</t>
  </si>
  <si>
    <t>SASUKE_PROJ_H8739-832</t>
  </si>
  <si>
    <t>家塚晃慈</t>
    <phoneticPr fontId="7"/>
  </si>
  <si>
    <t>Justin</t>
  </si>
  <si>
    <t>須永</t>
  </si>
  <si>
    <t>対応なし</t>
  </si>
  <si>
    <t>中道</t>
  </si>
  <si>
    <t>石川</t>
  </si>
  <si>
    <t>薬袋</t>
  </si>
  <si>
    <t>TM薬袋</t>
    <phoneticPr fontId="7"/>
  </si>
  <si>
    <t>寺本</t>
  </si>
  <si>
    <t>川上</t>
  </si>
  <si>
    <t>詳細設計書_G0116_ご職業・年収入力画面</t>
    <phoneticPr fontId="7"/>
  </si>
  <si>
    <t>川村</t>
  </si>
  <si>
    <t>対応なし（重複）</t>
  </si>
  <si>
    <t>松橋</t>
  </si>
  <si>
    <t>対応なし（他チケットにて対応）</t>
  </si>
  <si>
    <t>田口</t>
  </si>
  <si>
    <t>伊東</t>
  </si>
  <si>
    <t>SASUKE_PROJ_H8739-857</t>
  </si>
  <si>
    <t>actionと定義する部分がrouteとなっている
G0202.blade.php
85行名
```
&lt;form method="POST" route="{{route('G0202ResumeProcedure')}}"&gt;
```</t>
  </si>
  <si>
    <t>SASUKE_PROJ_H8739-856</t>
  </si>
  <si>
    <t>SASUKE_PROJ_H8739-854</t>
  </si>
  <si>
    <t>【単体テスト・不具合】G0128_Web申込み専用ページログイン画面（仮登録後）_ハッシュが無いURLへアクセスすると9991画面ではなく、Laravelのエラー画面に遷移</t>
    <phoneticPr fontId="7"/>
  </si>
  <si>
    <t>ハッシュ値が含まれないURLへアクセスした際には「G9991_画面遷移エラー画面に遷移する」が想定されるが、
Laravelのエラー画面に遷移している。
G0128_Web申込み専用ページログイン画面（仮登録後）において以前起票した課題と同じ現象が起こっている。
https://sasuke-fl.backlog.com/view/SASUKE_PROJ_H8739-672</t>
    <phoneticPr fontId="7"/>
  </si>
  <si>
    <t>SASUKE_PROJ_H8739-853</t>
  </si>
  <si>
    <t>【単体テスト・不具合】G0123_本人確認書類提出画面の「書類の種類を選ぶ」プルダウンが常に初期表示になっている</t>
    <phoneticPr fontId="7"/>
  </si>
  <si>
    <t>薬袋</t>
    <phoneticPr fontId="7"/>
  </si>
  <si>
    <t>「書類の種類を選ぶ」プルダウンが常に「運転免許証」になっている</t>
    <phoneticPr fontId="7"/>
  </si>
  <si>
    <t>SASUKE_PROJ_H8739-852</t>
  </si>
  <si>
    <t>SASUKE_PROJ_H8739-849</t>
  </si>
  <si>
    <t>SASUKE_PROJ_H8739-847</t>
  </si>
  <si>
    <t>SASUKE_PROJ_H8739-844</t>
  </si>
  <si>
    <t>その他</t>
    <phoneticPr fontId="7"/>
  </si>
  <si>
    <t>SASUKE_PROJ_H8739-841</t>
  </si>
  <si>
    <t>SASUKE_PROJ_H8739-807</t>
  </si>
  <si>
    <t>小川</t>
    <phoneticPr fontId="7"/>
  </si>
  <si>
    <t>有友</t>
  </si>
  <si>
    <t>森山</t>
    <phoneticPr fontId="7"/>
  </si>
  <si>
    <t>【単体テスト・不具合】G0128_Web申込専用ページログイン画面（仮登録後） 外部認証ログインの設計不備</t>
    <phoneticPr fontId="7"/>
  </si>
  <si>
    <t>基本設計不備</t>
    <phoneticPr fontId="7"/>
  </si>
  <si>
    <t>【未実装】G0128_Web申込み専用ページログイン画面（仮登録後）_外部認証ログイン画面が表示されない</t>
    <phoneticPr fontId="7"/>
  </si>
  <si>
    <t>下記3種類の外部認証ログイン画面が表示されない
・LINE
・dアカウント
・Yahoo!</t>
    <phoneticPr fontId="7"/>
  </si>
  <si>
    <t>対応なし</t>
    <phoneticPr fontId="7"/>
  </si>
  <si>
    <t>家塚</t>
    <phoneticPr fontId="7"/>
  </si>
  <si>
    <t>SASUKE_PROJ_H8739-843</t>
  </si>
  <si>
    <t>SASUKE_PROJ_H8739-876</t>
  </si>
  <si>
    <t>【単体テスト・不具合】G0117_告知情報入力画面(AURA)_チェックが１つも入ってない状態だが「次へ」が押せる状態になる</t>
    <phoneticPr fontId="7"/>
  </si>
  <si>
    <t>チェックボックス質問で戻った後にチェックボックスを外すと「次へ」が押せてしまう
（添付動画も参照）</t>
    <phoneticPr fontId="7"/>
  </si>
  <si>
    <t>SASUKE_PROJ_H8739-873</t>
  </si>
  <si>
    <t>SASUKE_PROJ_H8739-872</t>
  </si>
  <si>
    <t>SASUKE_PROJ_H8739-871</t>
  </si>
  <si>
    <t>有友</t>
    <phoneticPr fontId="7"/>
  </si>
  <si>
    <t>未実装</t>
    <phoneticPr fontId="7"/>
  </si>
  <si>
    <t>SASUKE_PROJ_H8739-869</t>
  </si>
  <si>
    <t>SASUKE_PROJ_H8739-863</t>
  </si>
  <si>
    <t>v-if ではなく v-show による表示制御に変更しました。
PDFとHeifのプレビューが動的に&lt;canvas&gt;を追加しているため、シンプルな「style="display: 」を使用</t>
    <phoneticPr fontId="7"/>
  </si>
  <si>
    <t>【SS設計不備】G0123_本人確認書類提出画面_初期表示、及びチェックボックス変更時の表示非表示制御の記述</t>
    <phoneticPr fontId="7"/>
  </si>
  <si>
    <t>初期表示、及びチェックボックス変更時の表示非表示制御の記述に誤りがある
（経緯）
以下、HTMLモックの実装漏れをカバーするために以下チケットで実装が修正されているが、詳細設計書が未修正
https://sasuke-fl.backlog.com/view/SASUKE_PROJ_H8739-817
![image][スクリーンショット 2021-01-27 10.11.20.png]
![image][スクリーンショット 2021-01-27 10.16.03.png]</t>
    <phoneticPr fontId="7"/>
  </si>
  <si>
    <t>【単体テスト・不具合】G0123_本人確認書類提出画面_外部認証でbirthDateを格納する際にタイプエラーが起こる</t>
    <phoneticPr fontId="7"/>
  </si>
  <si>
    <t>【単体テスト・不具合】G0117_告知情報入力画面(AURA)_先の質問から前の質問に戻ると先の質問で入力した値が保持されていない</t>
    <phoneticPr fontId="7"/>
  </si>
  <si>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phoneticPr fontId="7"/>
  </si>
  <si>
    <t>【単体テスト・不具合】G0128_Web申込み専用ページログイン画面（仮登録後）_パスワードのバリデーションが表示されてしまう</t>
    <phoneticPr fontId="7"/>
  </si>
  <si>
    <t>パスワード入力時にパスワードに関するバリデーションエラーが表示されている</t>
    <phoneticPr fontId="7"/>
  </si>
  <si>
    <t>【単体テスト・不具合】G0116_ご職業・年収入力画面_文言（各職業配下全ての）職種「サービス業」</t>
    <phoneticPr fontId="7"/>
  </si>
  <si>
    <t>川上祐輝</t>
    <phoneticPr fontId="7"/>
  </si>
  <si>
    <t>文言（各職業配下全ての）職種「サービス業」
【誤】サービス業
【正】サービス業(他に分類されないもの)
![image][スクリーンショット 2021-01-13 18.42.18.png]</t>
    <phoneticPr fontId="7"/>
  </si>
  <si>
    <t>川村</t>
    <phoneticPr fontId="7"/>
  </si>
  <si>
    <t>【単体テスト・不具合】 バックエンドAPIの共有部分で返却値改修後の対応に漏れがある</t>
    <phoneticPr fontId="7"/>
  </si>
  <si>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phoneticPr fontId="7"/>
  </si>
  <si>
    <t>返却値の型をarrayからstringに修正しました。</t>
    <phoneticPr fontId="7"/>
  </si>
  <si>
    <t>PCレイアウト修正時にセレクトボックスのデザイン修正</t>
    <phoneticPr fontId="7"/>
  </si>
  <si>
    <t>SASUKE_PROJ_H8739-877</t>
  </si>
  <si>
    <t>SASUKE_PROJ_H8739-875</t>
  </si>
  <si>
    <t>SASUKE_PROJ_H8739-874</t>
  </si>
  <si>
    <t>SASUKE_PROJ_H8739-868</t>
  </si>
  <si>
    <t>SASUKE_PROJ_H8739-867</t>
  </si>
  <si>
    <t>詳細設計書_G0202_Web申込み専用ページトップ画面</t>
  </si>
  <si>
    <t>SASUKE_PROJ_H8739-866</t>
  </si>
  <si>
    <t>SASUKE_PROJ_H8739-864</t>
  </si>
  <si>
    <t>SASUKE_PROJ_H8739-862</t>
  </si>
  <si>
    <t>SASUKE_PROJ_H8739-861</t>
  </si>
  <si>
    <t>SASUKE_PROJ_H8739-860</t>
  </si>
  <si>
    <t>【単体テスト・不具合】G0202_Web申込み専用ページトップ画面_手続き再開ボタン押下時エラーとなる</t>
  </si>
  <si>
    <t>手続き再開ボタンを押下時、エラー画面に遷移する。</t>
  </si>
  <si>
    <t>障害原因に記載してある通り、formタグ内の route= を action= に修正しました。</t>
  </si>
  <si>
    <t>SASUKE_PROJ_H8739-878</t>
  </si>
  <si>
    <t>川村和英</t>
    <phoneticPr fontId="7"/>
  </si>
  <si>
    <t>【単体テスト・不具合】G0123_本人確認書類提出画面_画像をドラッグ&amp;ドロップした時に次画面へ遷移できない</t>
    <phoneticPr fontId="7"/>
  </si>
  <si>
    <t>Justin</t>
    <phoneticPr fontId="7"/>
  </si>
  <si>
    <t>処理済み</t>
    <phoneticPr fontId="7"/>
  </si>
  <si>
    <t>G0123_本人確認書類提出画面でこの画面でアップロードを選択し、
画像をドラッグ&amp;ドロップし、次へボタンを押下しても、次画面へ遷移しない</t>
    <phoneticPr fontId="7"/>
  </si>
  <si>
    <t>OnDropのFunctionの中にファイルをObjectの中に入れている処理がなかったです。</t>
    <phoneticPr fontId="7"/>
  </si>
  <si>
    <t>OnDropのfunctionにValidateUploadsを入れ込みました。</t>
    <phoneticPr fontId="7"/>
  </si>
  <si>
    <t>詳細設計書_G0123_本人確認書類提出画面</t>
    <phoneticPr fontId="7"/>
  </si>
  <si>
    <t>【単体テスト・不具合】G0119_受取人・請求人入力画面_入力情報の確認へ押下時に、日付のエラーが表示される</t>
    <phoneticPr fontId="7"/>
  </si>
  <si>
    <t>正しく日付を選択しているのに、入力情報の確認へボタンを押下後エラーが表示される。
期待結果：次の画面に遷移する</t>
    <phoneticPr fontId="7"/>
  </si>
  <si>
    <t>詳細設計書_G0119_受取人・請求人入力画面.xlsx</t>
    <phoneticPr fontId="7"/>
  </si>
  <si>
    <t>【単体テスト・不具合】G0128_Web申込み専用ページログイン画面（仮登録後）_外部認証コードと表示内容が異なる</t>
    <phoneticPr fontId="7"/>
  </si>
  <si>
    <t>外部認証コードに対して表示される内容が異なる。
![image][外部認証コード.png]</t>
    <phoneticPr fontId="7"/>
  </si>
  <si>
    <t>詳細設計書_G0128_Web申込み専用ページログイン画面（仮登録後）.xlsx</t>
    <phoneticPr fontId="7"/>
  </si>
  <si>
    <t>【単体テスト・不具合】G0201_Web申込み専用ページログイン画面_戻るボタンがない。</t>
    <phoneticPr fontId="7"/>
  </si>
  <si>
    <t>詳細設計書のファイル名を記載する。</t>
    <phoneticPr fontId="7"/>
  </si>
  <si>
    <t>【単体テスト・不具合】アカウントセッションの電話番号の構造改善</t>
    <phoneticPr fontId="7"/>
  </si>
  <si>
    <t>Justin 、家塚</t>
    <phoneticPr fontId="7"/>
  </si>
  <si>
    <t>電話番号のセッションに関して、実装が「アカウントセッションの電話番号オブジェクト」の変更分（※）を取り込めていない。
　※セッション仕様書の2021/01/09の変更点
・詳細
申込[x].商品グループ[x].契約者.電話番号と申込[x].商品グループ[x].受取人.電話番号は
セッション仕様書の変更分を取り込みできている事を確認済み。
アカウント.電話番号の項目のみセッション仕様書と実装で乖離している。
・実装
アカウント.電話番号.携帯
アカウント.電話番号.自宅
・セッション仕様書
アカウント.電話番号[x].電話番号　
アカウント.電話番号[x].電話番号タイプ　（1:携帯、2:自宅）
セッション仕様書の場合　電話番号のオブジェクトの配列になっている。</t>
    <phoneticPr fontId="7"/>
  </si>
  <si>
    <t>【単体テスト・不具合】G0201_Web申込み専用ページログイン画面_性別か生年月日が異なる場合のエラー画面が存在しない</t>
    <phoneticPr fontId="7"/>
  </si>
  <si>
    <t>【単体テスト・不具合】G0123_本人確認書類提出画面_同じファイルを一度アップロードして削除して再アップロードするとプレビューが表示されない</t>
    <phoneticPr fontId="7"/>
  </si>
  <si>
    <t>【単体テスト・不具合】G0121_保険料払込方法選択画面_sbps不具合、保険商品チェックApiの実装漏れ</t>
    <phoneticPr fontId="7"/>
  </si>
  <si>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phoneticPr fontId="7"/>
  </si>
  <si>
    <t>【単体テスト・不具合】G0201_Web申込み専用ページログイン画面 ログイン後、G0202画面にリダイレクトされない。</t>
    <phoneticPr fontId="7"/>
  </si>
  <si>
    <t xml:space="preserve"> ~~実装不備~~ テスト実施不備</t>
    <phoneticPr fontId="7"/>
  </si>
  <si>
    <t>G0107_Web申込み専用ページログイン画面 でメールアドレスでログイン後、`/webdirect/login`のURLに遷移しても、G0202画面にリダイレクトされない。
G9990_エラー画面に遷移されてしまう。</t>
    <phoneticPr fontId="7"/>
  </si>
  <si>
    <t>【SA/UI設計不備】G0124_申込内容最終確認画面_先進医療特約の表示がfigmaと異なる</t>
    <phoneticPr fontId="7"/>
  </si>
  <si>
    <t>【未実装】G0123_本人確認書類提出画面の「この画面でアップロードする」ラジオボタン押下時の機能未実装</t>
    <phoneticPr fontId="7"/>
  </si>
  <si>
    <t>この画面でアップロードするラジオボタンの押下前から、
アップロードUIが表示されている</t>
    <phoneticPr fontId="7"/>
  </si>
  <si>
    <t>【デザイン変更】G0109_申込内容確認画面_特約の文字色出し分け</t>
    <phoneticPr fontId="7"/>
  </si>
  <si>
    <t>野寺樹</t>
    <phoneticPr fontId="7"/>
  </si>
  <si>
    <t>【単体テスト・不具合】G0107_個人情報入力画面_外部認証コードの設定値が違う</t>
    <phoneticPr fontId="7"/>
  </si>
  <si>
    <t>外部認証の共通ビジネスロジックで設定されている、外部認証コード(extAuthCode)が違う
下記のように設定されている。
Yahoo：1
LINE：2
dアカウント：3</t>
    <phoneticPr fontId="7"/>
  </si>
  <si>
    <t>【単体テスト・不具合】G0117_告知情報入力画面(AURA)_フリーワード検索から選択して入力後も必須バリデーションエラーメッセージが消えない</t>
    <phoneticPr fontId="7"/>
  </si>
  <si>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phoneticPr fontId="7"/>
  </si>
  <si>
    <t>【単体テスト・不具合】G0117_告知情報入力画面(AURA)_子質問で「戻る」を押下すると質問回答済みだが「次へ」が押せない</t>
    <phoneticPr fontId="7"/>
  </si>
  <si>
    <t>子質問で「戻る」を押下すると質問回答済みだが「次へ」が押せない
![image][スクリーンショット 2021-01-21 12.30.50.png]
　↓
![image][スクリーンショット 2021-01-21 12.31.03.png]
　↓
![image][スクリーンショット 2021-01-21 12.31.12.png]</t>
    <phoneticPr fontId="7"/>
  </si>
  <si>
    <t>【単体テスト・不具合】G0117_告知情報入力画面(AURA)_テキストエリア入力のUI</t>
    <phoneticPr fontId="7"/>
  </si>
  <si>
    <t>野寺</t>
    <phoneticPr fontId="7"/>
  </si>
  <si>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phoneticPr fontId="7"/>
  </si>
  <si>
    <t>【単体テスト・不具合】全画面共通_「次へ」系の遷移ボタンの多重押下防止処理の対応</t>
    <phoneticPr fontId="7"/>
  </si>
  <si>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|済 | | @click="validateCheckBox"|
| G0107  個人情報入力画面 | |済 | 未実装 | 実装済 sasuketmにマージされれば完了 | 
| G0108  個人情報確認画面 | |済 | 未実装 | 関数はあったが未実装 v-on:click.prevent="clickNextButton()"| 
| G0109  申込内容確認画面 | |済 | 未実装 | |
| G0110 重要事項確認画面 | |済 | 対応済 | v-on:click="checkEnableElements" | 
| G0111  意向確認画面 |  井内(確認)|済 | | v-on:click="checkEnableElements" |
| G0112	 告知情報事前確認画面 | |済 | 対応済 | @click="pushBtn()" | 
| G0116	ご職業・年収入力画面   | 井内(確認) |済 | | |
| G0117	告知情報入力画面(AURA)  | |済 | 実装済 | |  
| G0118	告知情報確認画面(AURA)  | |済 | 未実装 |  |  
| G0119	受取人・請求人入力画面 | |済 | 対応済 | @click="pushBtn()" |
| G0120	受取人・請求人確認画面 | |済 | 対応済 | @click="pushBtn()" |  
| G0121	保険料払込方法選択画面 | |済 | 対応済 | | 
| G0123	本人確認書類提出画面 | |済 | 未実装 | | 
| G0124	申込内容最終確認画面 | |済 | 未実装 | 関数はあったが未実装 onNextSubmit()|
| G0125	申込完了画面 | |済 |  未実装 | | 
| G0127	Web申込み専用ページ仮登録完了画面 | |ー | 実装不要| 戻るボタンしかないため | 
| G0128	Web申込み専用ページログイン画面（仮登録後） | |済 | 一部未実装 | システムエラー （認証するボタンは（@click="pushBtn()"）、次へボタンがbladeにない）| 
| G0201	Web申込み専用ページログイン画面 | |済 | 未実装 | | </t>
    <phoneticPr fontId="7"/>
  </si>
  <si>
    <t>【単体テスト・不具合】G0125_申込完了画面_セッションが削除されていない</t>
    <phoneticPr fontId="7"/>
  </si>
  <si>
    <t>TM石川</t>
    <phoneticPr fontId="7"/>
  </si>
  <si>
    <t>石川</t>
    <phoneticPr fontId="7"/>
  </si>
  <si>
    <t>セッション削除処理が未実装なため、画面描画後、画面リフレッシュすると申込完了画面が再表示される</t>
    <phoneticPr fontId="7"/>
  </si>
  <si>
    <t>須永</t>
    <phoneticPr fontId="7"/>
  </si>
  <si>
    <t>SA/UI設計不備</t>
    <phoneticPr fontId="7"/>
  </si>
  <si>
    <t>【単体テスト・不具合】G0117_告知情報入力画面(AURA)_３問目の初期表示の際に「次へ」ボタンの色が薄い</t>
    <phoneticPr fontId="7"/>
  </si>
  <si>
    <t>３問目の初期表示の際に「次へ」ボタンの色が薄い
２問目
![image][スクリーンショット 2021-01-18 17.05.26.png]
↓
３問目
![image][スクリーンショット 2021-01-18 17.05.37.png]</t>
    <phoneticPr fontId="7"/>
  </si>
  <si>
    <t>【単体テスト・不具合】G0117_告知情報入力画面(AURA)_次へで質問を進めていくとシステムエラー</t>
    <phoneticPr fontId="7"/>
  </si>
  <si>
    <t>次へで質問を進めていくとシステムエラーが発生して先に進めなくなる</t>
    <phoneticPr fontId="7"/>
  </si>
  <si>
    <t>【単体テスト・不具合】G0116_ご職業・年収入力画面_職業が無職の人が一時金じゃない商品を申し込んだ際のバリデーションが効かない</t>
    <phoneticPr fontId="7"/>
  </si>
  <si>
    <t>職業が無職の人が一時金じゃない商品を申し込んだ際のバリデーションが効かない</t>
    <phoneticPr fontId="7"/>
  </si>
  <si>
    <t>【単体テスト・不具合】G0124_申込内容最終確認画面_請求人・受取人情報の見出しが設計書と異なる</t>
    <phoneticPr fontId="7"/>
  </si>
  <si>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phoneticPr fontId="7"/>
  </si>
  <si>
    <t>詳細設計書_G0124_申込内容最終確認画面</t>
    <phoneticPr fontId="7"/>
  </si>
  <si>
    <t>【単体テスト・不具合】G0124_申込内容最終確認画面_特則ありなしで切り替わる表示関連の処理が行われていない</t>
    <phoneticPr fontId="7"/>
  </si>
  <si>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phoneticPr fontId="7"/>
  </si>
  <si>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phoneticPr fontId="7"/>
  </si>
  <si>
    <t>【単体テスト・不具合】G0121_保険料払込方法選択画面_口座振替モーダルの×ボタンが非表示</t>
    <phoneticPr fontId="7"/>
  </si>
  <si>
    <t>中道信行</t>
    <phoneticPr fontId="7"/>
  </si>
  <si>
    <t>中道</t>
    <phoneticPr fontId="7"/>
  </si>
  <si>
    <t>口座振替を選択した際に表示されるモーダルの×ボタンが非表示になっている。
![image][口座振替モーダルの×ボタンが非表示.png]</t>
    <phoneticPr fontId="7"/>
  </si>
  <si>
    <t>詳細には確認できていませんが、クレジットカードのモーダルとdiv構造が異なっているように感じました。</t>
    <phoneticPr fontId="7"/>
  </si>
  <si>
    <t>【単体テスト・不具合】詳細設計書_G0121_保険料払込方法選択画面.xlsx
https://docs.google.com/spreadsheets/d/1yz8WC-mIkkmnPHbe1dGw_bFlZsuHjbnN/edit#gid=1692270551</t>
    <phoneticPr fontId="7"/>
  </si>
  <si>
    <t>【単体テスト・不具合】G0124_申込内容最終確認画面_保険料払込免除特約の給付金額・日額等に「付加する」が表示されない</t>
    <phoneticPr fontId="7"/>
  </si>
  <si>
    <t>【未実装】G0105_申込前確認画面_商品付加バージョン１の商品を複写する</t>
    <phoneticPr fontId="7"/>
  </si>
  <si>
    <t>詳細設計書_G0105_申込前確認画面.xlsx
　→https://docs.google.com/spreadsheets/d/1vfRgJpXYhrNNFllllc5LllSvjJFnepyQ/edit#gid=1719533969</t>
    <phoneticPr fontId="7"/>
  </si>
  <si>
    <t>【単体テスト・不具合】G0124_申込内容最終確認画面_セッションに値がない項目「-」が表示されない</t>
    <phoneticPr fontId="7"/>
  </si>
  <si>
    <t>値がない場合は"-"ハイフン表示される場所に"-"ハイフンが表示されない
![image][2021-01-15_14h40_08.png]
![image][2021-01-15_14h40_16.png]
対象項目
1. 自宅電話番号
2. 仕事の内容
3. 勤務先</t>
    <phoneticPr fontId="7"/>
  </si>
  <si>
    <t>【単体テスト・不具合】G0107_個人情報入力画面_二重押下出来てしまう</t>
    <phoneticPr fontId="7"/>
  </si>
  <si>
    <t>【単体テスト・不具合】G0121_保険料払込方法選択画面_SBPS外部サイトからの戻りのメソッドがGETになっている</t>
    <phoneticPr fontId="7"/>
  </si>
  <si>
    <t>【詳細設計不備】G0121_保険料払込方法選択画面_「あとで入力を行う」押下時のPOSTパラメタ名が詳細設計書と実装で異なる</t>
    <phoneticPr fontId="7"/>
  </si>
  <si>
    <t>あとで入力を行う処理時のPOSTパラメタ名が詳細設計書と実装で異なる。
詳細設計書：paymentMethod　　　
実装：paymentChannel
paymentMethodは、払込方法（回数）で
paymentChannelが、払込経路であると思います。</t>
    <phoneticPr fontId="7"/>
  </si>
  <si>
    <t>【単体テスト・不具合】G0107_個人情報入力画面_各入力フォームのバリデーションチェック</t>
    <phoneticPr fontId="7"/>
  </si>
  <si>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phoneticPr fontId="7"/>
  </si>
  <si>
    <t>【単体テスト・不具合】G0107_個人情報入力画面_セレクトボックスにプリセットする値が異なる</t>
    <phoneticPr fontId="7"/>
  </si>
  <si>
    <t>郵便番号検索で、該当住所が複数あった場合に表示されるポップアップについて、
セレクトボックス内の選択肢が、想定の表示内容と異なる。</t>
    <phoneticPr fontId="7"/>
  </si>
  <si>
    <t>【単体テスト・不具合】G0107_個人情報入力画面_該当住所取得後のプリセット箇所が違う</t>
    <phoneticPr fontId="7"/>
  </si>
  <si>
    <t>郵便番号検索し、該当住所を取得してきた際に、下記フォームにプリセットする内容が異なる。
・市区群・町村
・丁目・番地</t>
    <phoneticPr fontId="7"/>
  </si>
  <si>
    <t>詳細設計書_G0107_個人情報入力画面.xlsx
https://drive.google.com/file/d/1vjYYd-hfRQHndNoOJd4-kagjKeZ32vu0/view?usp=sharing</t>
    <phoneticPr fontId="7"/>
  </si>
  <si>
    <t>【単体テスト・不具合】G0106 ご本人さま確認に関して画面 次へボタンを押下した際に二重押下防止の処理がなく、押下できてしまう</t>
    <phoneticPr fontId="7"/>
  </si>
  <si>
    <t>二重押下防止の処理がなく、押下できてしまう</t>
    <phoneticPr fontId="7"/>
  </si>
  <si>
    <t>詳細設計書_G0106_ご本人さま確認に関して画面</t>
    <phoneticPr fontId="7"/>
  </si>
  <si>
    <t>【単体テスト・不具合】G0108_個情報確認画面 ログイン時に次へボタンを押下すると、常にポップアップが表示される。</t>
    <phoneticPr fontId="7"/>
  </si>
  <si>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phoneticPr fontId="7"/>
  </si>
  <si>
    <t>【SS設計不備】G0128_Web申込み専用ページログイン画面（仮登録後）_パスワードのバリデーションが表示されてしまう</t>
    <phoneticPr fontId="7"/>
  </si>
  <si>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phoneticPr fontId="7"/>
  </si>
  <si>
    <t>【単体テスト・不具合】G0128_Web申込み専用ページログイン画面（仮登録後）_認証するボタンの多重押下が可能</t>
    <phoneticPr fontId="7"/>
  </si>
  <si>
    <t>「認証する」ボタンが複数回クリックできる</t>
    <phoneticPr fontId="7"/>
  </si>
  <si>
    <t>【単体テスト・不具合】G0128_Web申込み専用ページログイン画面（仮登録後）_helpers.phpでエラーが発生する</t>
    <phoneticPr fontId="7"/>
  </si>
  <si>
    <t>ハッシュID有効期限切れ確認のため、APIで【HTTPステータスコード401 errorType=401001】を返却した際に
Laravelのエラー画面に遷移し、「$apierrosが定義されていない」という内容が表示される。</t>
    <phoneticPr fontId="7"/>
  </si>
  <si>
    <t>【単体テスト・不具合】G0128_Web申込み専用ページログイン画面（仮登録後）_ハッシュが無いURLへアクセスすると991では無く、Laravelのエラー画面に遷移</t>
    <phoneticPr fontId="7"/>
  </si>
  <si>
    <t>ハッシュ値が含まれないURLへアクセスした際には「G9991_画面遷移エラー画面に遷移する」が想定されるが、
Laravelのエラー画面に遷移している。</t>
    <phoneticPr fontId="7"/>
  </si>
  <si>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phoneticPr fontId="7"/>
  </si>
  <si>
    <t>【単体テスト・不具合】G0107_個人情報入力画面_ZIPSERVERエラー通知画面が表示されない</t>
    <phoneticPr fontId="7"/>
  </si>
  <si>
    <t>ZIPSERVERから、レスポンスエラーが返ってきた際に、システムエラー画面に遷移してしまう。</t>
    <phoneticPr fontId="7"/>
  </si>
  <si>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phoneticPr fontId="7"/>
  </si>
  <si>
    <t>【単体テスト・不具合】G0128_Web申込み専用ページログイン画面（仮登録後）_Figmaのデザインと異なる</t>
    <phoneticPr fontId="7"/>
  </si>
  <si>
    <t>下記箇所が異なる。
・「認証する」ボタンの形状が異なる
・背景色がついていない
■実装
![image][【現在の画面】218_web申込専用ページログイン画面.png]
■Figma
![image][【Figma】218_web申込専用ページログイン画面.png]</t>
    <phoneticPr fontId="7"/>
  </si>
  <si>
    <t>【単体テスト・不具合】G0107_個人情報入力画面_住所情報を取得できなかった際にシステムエラー画面に遷移してしまう</t>
    <phoneticPr fontId="7"/>
  </si>
  <si>
    <t>寺本</t>
    <phoneticPr fontId="7"/>
  </si>
  <si>
    <t>郵便番号の入力フォームで、住所情報を取得できない郵便番号を入力した際に、システムエラー画面に遷移してしまう。</t>
    <phoneticPr fontId="7"/>
  </si>
  <si>
    <t>詳細設計書_G0107_個人情報入力画面.xlsx</t>
    <phoneticPr fontId="7"/>
  </si>
  <si>
    <t>【単体テスト・不具合】G0128_Web申込み専用ページログイン画面（仮登録後）　メールアドレス認証でログインするとエラー画面に遷移する。</t>
    <phoneticPr fontId="7"/>
  </si>
  <si>
    <t>G0128_Web申込み専用ページログイン画面（仮登録後）に遷移した後、再読込み時エラー画面に遷移される。</t>
    <phoneticPr fontId="7"/>
  </si>
  <si>
    <t>詳細設計書_G0128_Web申込み専用ページログイン画面（仮登録後）.xlsx
https://drive.google.com/file/d/17FsWMQyY9xLFEOz3DQbbqFsJpwIlMciS/view</t>
    <phoneticPr fontId="7"/>
  </si>
  <si>
    <t>【未実装】G0119_受取人・請求人入力画面</t>
    <phoneticPr fontId="7"/>
  </si>
  <si>
    <t>生年月日周りのJS処理    (計算機から持ってくる)</t>
    <phoneticPr fontId="7"/>
  </si>
  <si>
    <t>詳細設計書_G0119_受取人・請求人入力画面</t>
    <phoneticPr fontId="7"/>
  </si>
  <si>
    <t>【単体テスト・不具合】G0127_Web申込み専用ページ仮登録完了画面　再読込み時エラー画面に遷移される。</t>
    <phoneticPr fontId="7"/>
  </si>
  <si>
    <t>Koichi Kibe</t>
    <phoneticPr fontId="7"/>
  </si>
  <si>
    <t>G0127_Web申込み専用ページ仮登録完了画面に遷移した後、再読込み時にエラー画面に遷移される。</t>
    <phoneticPr fontId="7"/>
  </si>
  <si>
    <t>セッションをすべて破棄しているため、再読み込み時にメールアドレスが存在せず
エラー画面に遷移されてしまう。</t>
    <phoneticPr fontId="7"/>
  </si>
  <si>
    <t>【単体テスト・不具合】G0107_個人情報入力画面　Web申込み専用ページログインボタンを押下しても遷移できない</t>
    <phoneticPr fontId="7"/>
  </si>
  <si>
    <t>Web申込み専用ページログインボタンを押下しても遷移できない</t>
    <phoneticPr fontId="7"/>
  </si>
  <si>
    <t>【単体テスト・不具合】G0116_ご職業・年収入力画面_バリデーションエラー通知モーダル画面に「×」ボタンがない</t>
    <phoneticPr fontId="7"/>
  </si>
  <si>
    <t>バリデーションエラー通知モーダル画面に「×」ボタンがない
![image][スクリーンショット 2021-01-13 20.41.03.png]</t>
    <phoneticPr fontId="7"/>
  </si>
  <si>
    <t>変更されたモーダルのデザインに対応していなかった。</t>
    <phoneticPr fontId="7"/>
  </si>
  <si>
    <t>変更されたモーダルのデザインに対応するためにheaderの記述を修正。</t>
    <phoneticPr fontId="7"/>
  </si>
  <si>
    <t>https://drive.google.com/drive/u/0/folders/1fXyon-jhtG9DaFNDJ0Qot7R0vGHClbzR 詳細設計書_G0116_ご職業・年収入力画面</t>
    <phoneticPr fontId="7"/>
  </si>
  <si>
    <t>【単体テスト・不具合】G0127_Web申込み専用ページ仮登録完了画面　エラー画面に遷移されてしまう。</t>
    <phoneticPr fontId="7"/>
  </si>
  <si>
    <t>川上</t>
    <phoneticPr fontId="7"/>
  </si>
  <si>
    <t>G9990エラー画面に遷移されてしまう。</t>
    <phoneticPr fontId="7"/>
  </si>
  <si>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phoneticPr fontId="7"/>
  </si>
  <si>
    <t>https://drive.google.com/drive/folders/1fXyon-jhtG9DaFNDJ0Qot7R0vGHClbzR
詳細設計書_G0127_Web申込み専用ページ仮登録完了画面.xlsx</t>
    <phoneticPr fontId="7"/>
  </si>
  <si>
    <t>【単体テスト・不具合】G0116_ご職業・年収入力画面_職業によって（例えば自営業だと）エラーになる条件で勤務先のエラー後に職業変更後全項目OKでも「次へ」が押せない</t>
    <phoneticPr fontId="7"/>
  </si>
  <si>
    <t>職業によって（例えば自営業だと）エラーになる条件で勤務先のエラー後に職業変更後全項目OKでも「次へ」が押せない
![image][スクリーンショット 2021-01-13 19.47.08.png]
↓
![image][スクリーンショット 2021-01-13 19.47.30.png]</t>
    <phoneticPr fontId="7"/>
  </si>
  <si>
    <t>【未実装】G0107_個人情報入力画面_商品付加バージョン３である際の処理実装</t>
    <phoneticPr fontId="7"/>
  </si>
  <si>
    <t>G0124_申込内容最終確認画面から遷移してきた際の挙動で、商品付加バージョン３を考慮する必要あり</t>
    <phoneticPr fontId="7"/>
  </si>
  <si>
    <t>詳細設計書_G0107_個人情報入力画面.xlsx (1/26 修正済)</t>
    <phoneticPr fontId="7"/>
  </si>
  <si>
    <t>【単体テスト・不具合】G0116_ご職業・年収入力画面_「次へ」押下後に二重押下防止のために非活性にならない</t>
    <phoneticPr fontId="7"/>
  </si>
  <si>
    <t>「次へ」押下後に二重押下防止のために非活性にならない</t>
    <phoneticPr fontId="7"/>
  </si>
  <si>
    <t>二重押下防止の処理の実装漏れ。</t>
    <phoneticPr fontId="7"/>
  </si>
  <si>
    <t>二重押下防止の処理の実装を実施。</t>
    <phoneticPr fontId="7"/>
  </si>
  <si>
    <t>【SA/UI設計不備】G0116_ご職業・年収入力画面_勤務先で半角文字入力途中で禁則文字エラーが表示される</t>
    <phoneticPr fontId="7"/>
  </si>
  <si>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phoneticPr fontId="7"/>
  </si>
  <si>
    <t>【単体テスト・不具合】G0123_本人確認書類提出画面_dアカウント選択時にファイルアップロードしてるがよろしいですかのポップアップ</t>
    <phoneticPr fontId="7"/>
  </si>
  <si>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phoneticPr fontId="7"/>
  </si>
  <si>
    <t>【単体テスト・不具合】G0107_個人情報入力画面 外部認証ができない（Yahoo）</t>
    <phoneticPr fontId="7"/>
  </si>
  <si>
    <t>YahooのClient_idが設定されていないため外部認証ができない。
対象画面は以下を含める。
・G0107_個人情報入力画面
・G0128_Web申込み専用ページログイン画面（仮登録後）
・G0201_Web申込み専用ページログイン画面</t>
    <phoneticPr fontId="7"/>
  </si>
  <si>
    <t>【単体テスト・不具合】G127_Web申込み専用ページ仮登録完了画面　閉じるボタンでウィンドウが閉じない。</t>
    <phoneticPr fontId="7"/>
  </si>
  <si>
    <t>閉じるボタンでウィンドウが閉じない。</t>
    <phoneticPr fontId="7"/>
  </si>
  <si>
    <t>window.close() は、chromeにおいてセキュリティ的にNGとなっている。</t>
    <phoneticPr fontId="7"/>
  </si>
  <si>
    <t>「閉じる」ボタンではなく、「TOPに戻る」ボタンに変更いたしました。
（須永さん確認済み　→　Figma変更済み）</t>
    <phoneticPr fontId="7"/>
  </si>
  <si>
    <t>【単体テスト・不具合】G0116_ご職業・年収入力画面_年収選択ドロップダウンリストを選択すると青い枠が表示される</t>
    <phoneticPr fontId="7"/>
  </si>
  <si>
    <t>年収選択ドロップダウンリストを選択すると青い枠が表示される
![image][スクリーンショット 2021-01-13 11.02.42.png]</t>
    <phoneticPr fontId="7"/>
  </si>
  <si>
    <t>Justin  Brunnette</t>
    <phoneticPr fontId="7"/>
  </si>
  <si>
    <t>【単体テスト・不具合】G0123_本人確認書類提出画面_画像アップロード後にデザインの「OK」が表示されない</t>
    <phoneticPr fontId="7"/>
  </si>
  <si>
    <t>【単体テスト・不具合】G0123_本人確認書類提出画面_画像アップロード後にデザイン（Figma）の「OK」が表示されない
以下はFigmaのコピー
![image][スクリーンショット 2021-01-12 16.04.57.png]</t>
    <phoneticPr fontId="7"/>
  </si>
  <si>
    <t>テスト環境不備</t>
    <phoneticPr fontId="7"/>
  </si>
  <si>
    <t>【未実装】G0123_本人確認書類提出画面_ドコモの本人確認API</t>
    <phoneticPr fontId="7"/>
  </si>
  <si>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phoneticPr fontId="7"/>
  </si>
  <si>
    <t>【単体テスト・不具合】G0123_本人確認書類提出画面_dアカウントで確認完了後の画面遷移でエラー</t>
    <phoneticPr fontId="7"/>
  </si>
  <si>
    <t>dアカウントで確認完了後の画面遷移でエラー
![image][スクリーンショット 2021-01-12 12.38.27.png]</t>
    <phoneticPr fontId="7"/>
  </si>
  <si>
    <t>【詳細設計書不備】G0123_本人確認書類提出画面_書類ドロップダウン変更時にアップロード済ファイル情報がクリアされる仕様は必要ないので削除</t>
    <phoneticPr fontId="7"/>
  </si>
  <si>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phoneticPr fontId="7"/>
  </si>
  <si>
    <t xml:space="preserve"> 詳細設計書_G0123_本人確認書類提出画面</t>
    <phoneticPr fontId="7"/>
  </si>
  <si>
    <t>【SS設計不備】G0123_本人確認書類提出画面_「dアカウントでの確認について」リンク非活性の仕様の記述は不要</t>
    <phoneticPr fontId="7"/>
  </si>
  <si>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phoneticPr fontId="7"/>
  </si>
  <si>
    <t>【詳細設計書不備】G0123_本人確認書類提出画面_ファイルアップロードしてるがよろしいですかのメッセージ文言</t>
    <phoneticPr fontId="7"/>
  </si>
  <si>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phoneticPr fontId="7"/>
  </si>
  <si>
    <t>【単体テスト・不具合】G0123_本人確認書類提出画面_マイナンバー、保険証選択後の注意事項のチェックを片方入れて閉じるともう片方に変更してチェックしなくても次へが押せてしまう</t>
    <phoneticPr fontId="7"/>
  </si>
  <si>
    <t>マイナンバー、保険証選択後の注意事項のチェックを片方入れて閉じるともう片方に変更してチェックしなくても次へが押せてしまう</t>
    <phoneticPr fontId="7"/>
  </si>
  <si>
    <t>【単体テスト・不具合】G0121_保険料払込方法選択画面_支払方法未選択前にボタンが活性化していない</t>
    <phoneticPr fontId="7"/>
  </si>
  <si>
    <t>・支払方法が未選択状態で活性状態であること</t>
    <phoneticPr fontId="7"/>
  </si>
  <si>
    <t>【単体テスト・不具合】G0119_受取人・請求人入力画面_コンソールにjsのエラーが出力される</t>
    <phoneticPr fontId="7"/>
  </si>
  <si>
    <t>下記のエラーが開発者ツールのコンソールに表示される
Error in v-on handler:"TypeError: Cannot read property 'selected' of undefined"
TypeError: Cannot read property 'selected' of undefined</t>
    <phoneticPr fontId="7"/>
  </si>
  <si>
    <t>【単体テスト・不具合】G0120_受取人・請求人確認画面_戻るを押下した際、プリセットで被保険者からみた続柄が選択されない</t>
    <phoneticPr fontId="7"/>
  </si>
  <si>
    <t>プリセットで被保険者からみた続柄が選択されない
![image][No5.png]</t>
    <phoneticPr fontId="7"/>
  </si>
  <si>
    <t>【単体テスト・不具合】G0111意向確認画面　戻るボタンで戻ってきた時にチェックがクリアされている</t>
    <phoneticPr fontId="7"/>
  </si>
  <si>
    <t>チェックがクリアされていて、次へボタンが押せない</t>
    <phoneticPr fontId="7"/>
  </si>
  <si>
    <t>【単体テスト・不具合】G0111 意向確認画面「 次へ」ボタンを押下した際に二重押下防止の処理がなく、押下できてしまう</t>
    <phoneticPr fontId="7"/>
  </si>
  <si>
    <t>【SS設計不備】G0111_意向確認画面_詳細設計 意向カテゴリ文言誤り</t>
    <phoneticPr fontId="7"/>
  </si>
  <si>
    <t>【誤】特定の疾病の **補償** （がんなどへの備え）
【正】特定の疾病の **保障** （がんなどへの備え）</t>
    <phoneticPr fontId="7"/>
  </si>
  <si>
    <t>詳細設計書_G0111_意向確認画面</t>
    <phoneticPr fontId="7"/>
  </si>
  <si>
    <t>【SS設計不備】G0111_意向確認画面_商品コードのソートの記述があるがこちらは各機能ではソートしないので記述不要</t>
    <phoneticPr fontId="7"/>
  </si>
  <si>
    <t>以下の記述はこの機能の処理では対応しないので不要
商品の並びは、申込[0].商品グループ[i].商品付加.販売商品コードを参照し、以下の並びとすること																		
	'31A005', '31E002', '31C003', '31D002', '03A003'</t>
    <phoneticPr fontId="7"/>
  </si>
  <si>
    <t>松橋佑矢</t>
    <phoneticPr fontId="7"/>
  </si>
  <si>
    <t>松橋</t>
    <phoneticPr fontId="7"/>
  </si>
  <si>
    <t>詳細設計書_G0109_申込内容確認画面.xlsx</t>
    <phoneticPr fontId="7"/>
  </si>
  <si>
    <t>【SS設計不備】G0111_意向確認画面_セッションがない場合の遷移先画面がシステムエラー画面になっていない</t>
    <phoneticPr fontId="7"/>
  </si>
  <si>
    <t>設計書において、セッションがない場合の遷移先画面がシステムエラー画面になっていない</t>
    <phoneticPr fontId="7"/>
  </si>
  <si>
    <t>【単体テスト・不具合】G0111意向確認画面 セッションの商品コード、もしくは商品付加バージョン3のデータがない場合に最終意向が空で表示される</t>
    <phoneticPr fontId="7"/>
  </si>
  <si>
    <t>セッションの商品コード、もしくは商品付加バージョン3のデータがない場合に最終意向が空で表示される
（正しい挙動）
システムエラー画面に遷移するのが正しい挙動</t>
    <phoneticPr fontId="7"/>
  </si>
  <si>
    <t>【単体テスト・不具合】G0119_受取人・請求人入力画面_入力情報の確認へボタンが２重押下できる</t>
    <phoneticPr fontId="7"/>
  </si>
  <si>
    <t>【サスケ】小川啓太</t>
    <phoneticPr fontId="7"/>
  </si>
  <si>
    <t>【単体テスト・不具合】G0106 ご本人さま確認に関して画面 G0107個人情報入力画面からブラウザバックした際に進むボタンが非活性状態</t>
    <phoneticPr fontId="7"/>
  </si>
  <si>
    <t>対応なし（他チケットにて対応）</t>
    <phoneticPr fontId="7"/>
  </si>
  <si>
    <t>進むボタンが非活性状態</t>
    <phoneticPr fontId="7"/>
  </si>
  <si>
    <t>【単体テスト・不具合】G0106 ご本人さま確認に関して画面 進むボタンを押下した際に二重押下防止の処理がなく、押下できてしまう</t>
    <phoneticPr fontId="7"/>
  </si>
  <si>
    <t>【単体テスト・不具合】G0119_受取人・請求人入力画面_氏名に半角文字を入力した後フォーカスアウトで全角に変換されない</t>
    <phoneticPr fontId="7"/>
  </si>
  <si>
    <t>田口</t>
    <phoneticPr fontId="7"/>
  </si>
  <si>
    <t>・氏名入力欄に半角で文字を入力・フォーカスアウト後、全角に自動変換されない</t>
    <phoneticPr fontId="7"/>
  </si>
  <si>
    <t>【単体テスト・不具合】G0119_受取人・請求人入力画面_figmaとデザインが異なる</t>
    <phoneticPr fontId="7"/>
  </si>
  <si>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phoneticPr fontId="7"/>
  </si>
  <si>
    <t>【単体テスト・不具合】G0105_申込前確認画面_ヘッダー部の表示内容</t>
    <phoneticPr fontId="7"/>
  </si>
  <si>
    <t>ヘッダー部に電話番号が表示されていない。(Figmaと差異がある)</t>
    <phoneticPr fontId="7"/>
  </si>
  <si>
    <t>【単体テスト・不具合】G0105_申込前確認画面_画面URLに差異有</t>
    <phoneticPr fontId="7"/>
  </si>
  <si>
    <t>詳細設計書_G0105_申込前確認画面.xlsx＞プロセス概要＞URLの表記と、実際のURLに差異が生じている
・詳細設計書→/estimate/before-entry
・実際のURI→/estimate/before-apply</t>
    <phoneticPr fontId="7"/>
  </si>
  <si>
    <t>【単体テスト・不具合】G0105_申込前確認画面_ブラウザバックで遷移してきたときの挙動</t>
    <phoneticPr fontId="7"/>
  </si>
  <si>
    <t>Safari(iOS)のみ、次画面の"G0106_重要事項確認画面"からブラウザバックで遷移してきたとき際に、「次へ」ボタンが非活性のまま表示されている</t>
    <phoneticPr fontId="7"/>
  </si>
  <si>
    <t>【SS設計不備】G0106 ご本人さま確認に関して画面_申込セッションが存在しないときG9991画面にリダイレクトと記載されているがG9990が正</t>
    <phoneticPr fontId="7"/>
  </si>
  <si>
    <t>伊東</t>
    <phoneticPr fontId="7"/>
  </si>
  <si>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phoneticPr fontId="7"/>
  </si>
  <si>
    <t>井内</t>
    <phoneticPr fontId="7"/>
  </si>
  <si>
    <t>SASUKE_PROJ_H8739-886</t>
  </si>
  <si>
    <t>SASUKE_PROJ_H8739-885</t>
  </si>
  <si>
    <t>SASUKE_PROJ_H8739-880</t>
  </si>
  <si>
    <t>SASUKE_PROJ_H8739-879</t>
  </si>
  <si>
    <t>【単体テスト・不具合】G0117_告知情報入力画面(AURA)_画面下部にモックが表示されている</t>
    <phoneticPr fontId="7"/>
  </si>
  <si>
    <t>画面下部にデザイン確認用のモックが表示されている</t>
    <phoneticPr fontId="7"/>
  </si>
  <si>
    <t>TM森山</t>
  </si>
  <si>
    <t>【単体テスト・不具合】G0107_個人情報入力画面 外部認証ができない（LINE）</t>
    <phoneticPr fontId="7"/>
  </si>
  <si>
    <t>LineのClient_idが設定されていないため外部認証ができない。
対象画面は以下を含める。
・G0107_個人情報入力画面
・G0128_Web申込み専用ページログイン画面（仮登録後）
・G0201_Web申込み専用ページログイン画面</t>
    <phoneticPr fontId="7"/>
  </si>
  <si>
    <t>G0119.blade.phpの163行目のnameがBeneficiaryInputFormRequest.phpと一致していないため
G0119.blade.php
```
&lt;input type="hidden" name="day" v-model="select_day"&gt;
```
BeneficiaryInputFormRequest.php(53行目)
```
'date' =&gt; 'required|integer',
```</t>
    <phoneticPr fontId="7"/>
  </si>
  <si>
    <t>G0119.blade.phpの163行目のnameをdateに修正</t>
    <phoneticPr fontId="7"/>
  </si>
  <si>
    <t>【単体テスト・不具合】G0128_Web申込み専用ページログイン画面（仮登録後）_laravel側のパスワードのバリデーションが表示されてしまう</t>
    <phoneticPr fontId="7"/>
  </si>
  <si>
    <t>パスワードを入力し、認証するボタンを押下すると「パスワードは6文字以上の半角英数字で入力してください」が表示されてしまう。
期待結果：パスワードに関するバリデーションは当画面では不要のため表示されない。</t>
    <phoneticPr fontId="7"/>
  </si>
  <si>
    <t>hashCodeのパラメータが必須になっていたため</t>
    <phoneticPr fontId="7"/>
  </si>
  <si>
    <t>hashCodeのパラメータを任意に変更</t>
    <phoneticPr fontId="7"/>
  </si>
  <si>
    <t>G0123_本人確認書類提出画面</t>
    <phoneticPr fontId="7"/>
  </si>
  <si>
    <t>性別か生年月日が異なる場合のエラー画面が存在しない
### Figma
![image][スクリーンショット 2021-01-26 17.33.05.png]
### 実装
pages.unmatch_estimate_barthdate_or_sex　ファイルが存在しない
![image][スクリーンショット 2021-01-26 17.36.36.png]</t>
    <phoneticPr fontId="7"/>
  </si>
  <si>
    <t>pages.unmatch_estimate_barthdate_or_sexのページが存在しないです。</t>
    <phoneticPr fontId="7"/>
  </si>
  <si>
    <t>unmatch_estimate_barthdate_or_sex.blade.phpのファイルを作成しました。</t>
    <phoneticPr fontId="7"/>
  </si>
  <si>
    <t>tm-s_teramoto</t>
  </si>
  <si>
    <t>【単体テスト・不具合】G0117_告知情報入力画面(AURA)_緩和型の商品を申し込んだ場合にヘルプリンクの文言が緩和型のものになっていない</t>
    <phoneticPr fontId="7"/>
  </si>
  <si>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phoneticPr fontId="7"/>
  </si>
  <si>
    <t>【単体テスト・不具合】G0107_個人情報入力画面(G0124から遷移)_Web申込み専用ページログインの場合の文言が表示されない</t>
    <phoneticPr fontId="7"/>
  </si>
  <si>
    <t>【単体テスト・不具合】G0116_ご職業・年収入力画面_年収ドロップダウンの左右の余白が他のドロップダウンより狭い</t>
    <phoneticPr fontId="7"/>
  </si>
  <si>
    <t>年収ドロップダウンの余白が他のドロップダウンより狭い
同じ画面の「仕事の内容」ドロップダウンよりも「年収」の左右の余白が狭い（スクショ参照）
![image][スクリーンショット 2021-01-13 15.37.34.png]</t>
    <phoneticPr fontId="7"/>
  </si>
  <si>
    <t>【単体テスト・不具合】G0123_本人確認書類提出画面_SPでファイルアップロード時、ファイルサイズ大きい場合にバリデーションエラーメッセージに気づかない</t>
    <phoneticPr fontId="7"/>
  </si>
  <si>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phoneticPr fontId="7"/>
  </si>
  <si>
    <t>【単体テスト・不具合】G0123_本人確認書類提出画面_承諾対象コードの設定値誤り</t>
    <phoneticPr fontId="7"/>
  </si>
  <si>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phoneticPr fontId="7"/>
  </si>
  <si>
    <t>【単体テスト・不具合】G0102_試算結果画面_申込内容確認画面からプラン修正ボタンを押下して遷移した際エラーになる</t>
    <phoneticPr fontId="7"/>
  </si>
  <si>
    <t>　試算結果画面が表示されずにシステムエラー画面へ遷移する</t>
    <phoneticPr fontId="7"/>
  </si>
  <si>
    <t>【SA/UI設計不備】G0119_受取人・請求人入力画面_氏名欄に合計35文字以上入力した場合のJS側のバリデーションメッセージが表示されない</t>
    <phoneticPr fontId="7"/>
  </si>
  <si>
    <t>「氏名は姓と名の合計で34文字以内で入力してください」と表示されない</t>
    <phoneticPr fontId="7"/>
  </si>
  <si>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</si>
  <si>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</si>
  <si>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【単体テスト・不具合】受取人・請求人情報の入力画面　定期なしの際の条件分岐が行われていない</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</si>
  <si>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</si>
  <si>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</si>
  <si>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定期なしの際の条件分岐が行われるように修正する</t>
  </si>
  <si>
    <t>sunaga-natsuko</t>
    <phoneticPr fontId="7"/>
  </si>
  <si>
    <t>SASUKE_PROJ_H8739-893</t>
  </si>
  <si>
    <t>SASUKE_PROJ_H8739-892</t>
  </si>
  <si>
    <t>SASUKE_PROJ_H8739-891</t>
  </si>
  <si>
    <t>【単体テスト・不具合】G0107_個人情報入力画面_「修正する」ボタンで遷移してきた際にフォームに値がプリセットされない</t>
  </si>
  <si>
    <t>G0108_個人情報確認画面で、「修正する」ボタンを押下して遷移してきた際に、フォームに値がプリセットされていない</t>
  </si>
  <si>
    <t>仕様の変更により処理を修正した時に、今回の対応をしていなかったため発生</t>
  </si>
  <si>
    <t>未ログイン時には申込の契約者からフォームにプリセットするように修正</t>
  </si>
  <si>
    <t>詳細設計書_G0107_個人情報入力画面.xlsx</t>
  </si>
  <si>
    <t>松橋佑矢</t>
  </si>
  <si>
    <t>【単体テスト・不具合】G0107_個人情報入力画面 外部認証ができない（Docomo）</t>
    <phoneticPr fontId="7"/>
  </si>
  <si>
    <t>DocomoのClient_idが設定されていないため外部認証ができない。
対象画面は以下を含める。
・G0107_個人情報入力画面
・G0128_Web申込み専用ページログイン画面（仮登録後）
・G0201_Web申込み専用ページログイン画面</t>
    <phoneticPr fontId="7"/>
  </si>
  <si>
    <t>SASUKE_PROJ_H8739-817  修正時の考慮漏れ</t>
    <phoneticPr fontId="7"/>
  </si>
  <si>
    <t>詳細設計書_G0123_本人確認書類提出画面.xlsx
https://drive.google.com/file/d/19eZc78CcA-W0XCM0iUBE6dOCF6Rlb2IZ/view?usp=sharing</t>
    <phoneticPr fontId="7"/>
  </si>
  <si>
    <t>TM石垣</t>
    <phoneticPr fontId="7"/>
  </si>
  <si>
    <t>Figmaの試算エリア　G0201_Web申込み専用ログインページ画面　について下記の内容が実装されていない。
ログインボタン下部の戻るボタンのデザイン取り込み。
戻るボタンのリファラーを参照して遷移先を制御する実装が行われていない。
Figma
![image][スクリーンショット 2021-01-27 11.44.17.png]
実装
![image][screencapture-localhost-webdirect-login-2021-01-27-12_08_41.png]</t>
    <phoneticPr fontId="7"/>
  </si>
  <si>
    <t>詳細設計書_G0201_Web申込み専用ページログイン画面</t>
    <phoneticPr fontId="7"/>
  </si>
  <si>
    <t>①
sbpsに渡すパラメータにpagecon_urlを追加
スペルミスの修正
②
保険商品チェックApiの処理追加
それにともなってエラーハンドリングの処理追加</t>
    <phoneticPr fontId="7"/>
  </si>
  <si>
    <t>2021/01/26
G0202_Web申込み専用トップ画面の連絡参照APIのサンプルのjsonファイル不備によるものでした。
WebdTopBusinessLogic.php でdisplayedDatetimeの値をparseする際にエラーが起きており、エラー画面に遷移されていました。</t>
    <phoneticPr fontId="7"/>
  </si>
  <si>
    <t>詳細設計書_G0125_申込完了画面.xlsx</t>
    <phoneticPr fontId="7"/>
  </si>
  <si>
    <t>【単体テスト・不具合】G0125_申込完了画面_本人書類確認提出のコードが格納されているときに完了とならない</t>
    <phoneticPr fontId="7"/>
  </si>
  <si>
    <t>承諾コードに「16：本人確認書類提出完了」が格納されている際に、判定フラグがtrueにならない</t>
    <phoneticPr fontId="7"/>
  </si>
  <si>
    <t>【単体テスト・不具合】G0117_告知情報入力画面(AURA)_「はい」「いいえ」のチェックしたボタンにうっすら青い枠が表示される</t>
    <phoneticPr fontId="7"/>
  </si>
  <si>
    <t>「はい」「いいえ」のチェックしたボタンを選択するとうっすら青い枠が表示される
![image][スクリーンショット 2021-01-18 17.16.05.png]</t>
    <phoneticPr fontId="7"/>
  </si>
  <si>
    <t>【単体テスト・不具合】G0124_申込内容最終確認画面_特定損傷特約の保険期間・払込期間が主契約と異なる場合でも表示されない</t>
    <phoneticPr fontId="7"/>
  </si>
  <si>
    <t>特定損傷特約の保険期間と払込期間が、主契約の保険期間と払込期間と異なる場合でも表示されない
![image][2021-01-18_12h00_53.png]</t>
    <phoneticPr fontId="7"/>
  </si>
  <si>
    <t>実装不備
フロント側：該当箇所の出し分け処理がない
サーバー側：判別に必要な「外部認証ID」をセッションから取得していない</t>
    <phoneticPr fontId="7"/>
  </si>
  <si>
    <t>外部認証でログインするとき、初期表示のとき外部認証IDと外部認証コードを保持していない。
そのため、認証するボタンを押下時、アカウント認証APIに外部認証IDと外部認証コードをポストできない。　</t>
    <phoneticPr fontId="7"/>
  </si>
  <si>
    <t>【単体テスト・不具合】単体テスト仕様書兼結果書_G0121_保険料払込方法選択画面.xlsx
https://drive.google.com/file/d/1yz8WC-mIkkmnPHbe1dGw_bFlZsuHjbnN/view?usp=sharing</t>
    <phoneticPr fontId="7"/>
  </si>
  <si>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phoneticPr fontId="7"/>
  </si>
  <si>
    <t>・helpers.phpで変数$apierrosが定義されていない
　→helpers.phpの93行目に下記を追記
```
if ($statusCode === "401") {  // 認証エラー
    $apiErrors = $e-&gt;getErrorList();     // ←追記
    if ($apiErrors-&gt;errorType === "401001") {
        // Web申込み専用ページ仮登録画面の場合
```</t>
    <phoneticPr fontId="7"/>
  </si>
  <si>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phoneticPr fontId="7"/>
  </si>
  <si>
    <t>対応時の取り込み漏れと思われる。</t>
    <phoneticPr fontId="7"/>
  </si>
  <si>
    <t>hrefに遷移先を追加　&lt;a href="{{ route('G0201') }}" class="btn small white rounded-login personal-content-item-btn"&gt;</t>
    <phoneticPr fontId="7"/>
  </si>
  <si>
    <t>画面設計書_共通バリデーションチェック仕様書不備による、誤ったバリデーションをかけていたため。</t>
    <phoneticPr fontId="7"/>
  </si>
  <si>
    <t>G0124 申込内容最終確認画面からの戻り時に、申込セッションから商品付加バージョン２を取得していた。</t>
    <phoneticPr fontId="7"/>
  </si>
  <si>
    <t>G0124 申込内容最終確認画面からの戻り時は、商品付加バージョン３を取得する。</t>
    <phoneticPr fontId="7"/>
  </si>
  <si>
    <t>【詳細設計不備】G0116_ご職業・年収入力画面_専門技術職の文言表記</t>
    <phoneticPr fontId="7"/>
  </si>
  <si>
    <t>正しくは「専門技術職」とのこと
![image][スクリーンショット 2021-01-13 17.57.50.png]
 同様に「芸能」となっているが正しくは「芸者」っぽい
![image][スクリーンショット 2021-01-13 18.32.30.png]</t>
    <phoneticPr fontId="7"/>
  </si>
  <si>
    <t>cssの設定値不備</t>
    <phoneticPr fontId="7"/>
  </si>
  <si>
    <t>前回返却値を修正したが、返却値の型指定まで修正されていなかった。</t>
    <phoneticPr fontId="7"/>
  </si>
  <si>
    <t>画面設計書_G0119_受取人・請求人入力画面</t>
    <phoneticPr fontId="7"/>
  </si>
  <si>
    <t>OK iconのコードが追加されていませんでした。</t>
    <phoneticPr fontId="7"/>
  </si>
  <si>
    <t>【単体テスト・不具合】外部ログインの共有ロジックファイルについて</t>
    <phoneticPr fontId="7"/>
  </si>
  <si>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phoneticPr fontId="7"/>
  </si>
  <si>
    <t>引数のタイプに差異があるため
※外部認証の動作確認をすることが不可能なため、現コードで正常に動作するか不明です。</t>
    <phoneticPr fontId="7"/>
  </si>
  <si>
    <t>実装担当者の外部認証フローの理解不足</t>
    <phoneticPr fontId="7"/>
  </si>
  <si>
    <t>画面設計書_G0123_本人確認書類提出画面.xlsx Rev.18
詳細設計書_G0123_本人確認書類提出画面.xlsx Rev.08
の内容に従い、ロジック全体を見直し、実装不足分を対応した。</t>
    <phoneticPr fontId="7"/>
  </si>
  <si>
    <t>修正事項なし</t>
    <phoneticPr fontId="7"/>
  </si>
  <si>
    <t>【単体テスト・不具合】商品の表示順が未実装</t>
    <phoneticPr fontId="7"/>
  </si>
  <si>
    <t>対応なし（重複）</t>
    <phoneticPr fontId="7"/>
  </si>
  <si>
    <t>申込内容確認画面などにおいて、商品（主契約特約の約款含む）の表示順が担保されていない。</t>
    <phoneticPr fontId="7"/>
  </si>
  <si>
    <t>【単体テスト・不具合】G0111意向確認画面 当初意向→最終意向で同じ商品は残ったまま商品追加されている場合に変更確認メッセージが出ない</t>
    <phoneticPr fontId="7"/>
  </si>
  <si>
    <t>G0111意向確認画面 当初意向→最終意向で同じ商品は残ったまま商品追加されている場合に変更確認メッセージ
「お申込み手続き開始当初よりご意向が変更されました。ご確認ください。」
が表示されない</t>
    <phoneticPr fontId="7"/>
  </si>
  <si>
    <t>~~helpers.phpのexecRequestメソッドにG9991画面にリダイレクトされる処理がないためだと考えられる。~~
~~対処法~~
~~execRequestメソッドに下記の分岐を追加~~
詳細設計書の記載誤り</t>
    <phoneticPr fontId="7"/>
  </si>
  <si>
    <t>詳細設計書を修正致しました。</t>
    <phoneticPr fontId="7"/>
  </si>
  <si>
    <t>【単体テスト・不具合】G0112_告知情報事前確認画面_次へボタン押下時の二重押下防止処理が未実装</t>
  </si>
  <si>
    <t>・ボタン押下時に非活性にならない</t>
  </si>
  <si>
    <t xml:space="preserve"> 【単体テスト・不具合】G0112_告知情報事前確認画面_次へボタン押下時にエラー画面に遷移</t>
  </si>
  <si>
    <t>・エラー画面に遷移する</t>
  </si>
  <si>
    <t>・未実装のため
　web.phpが下記のようになっているためsasuketmにコードが入っていないと考えられます。
```
// G0117.告知情報入力画面（AURA）のルート
Route::get('/G0117', 'G9999Controller')-&gt;name('G0117');
```</t>
  </si>
  <si>
    <t>SASUKE_PROJ_H8739-676で修正時にlaravel側の観点が記載されていなかったため、
対応が漏れた。</t>
    <phoneticPr fontId="7"/>
  </si>
  <si>
    <t>不要なFormRequestの削除とFormRequestを使用していた箇所の修正</t>
    <phoneticPr fontId="7"/>
  </si>
  <si>
    <t>共通セッション仕様書
https://docs.google.com/spreadsheets/d/1ikVxZpHrIFK2FCtQs16ajXKvIfpkSXLs/edit#gid=1482283303</t>
    <phoneticPr fontId="7"/>
  </si>
  <si>
    <t>同じファイルを一度アップロードして削除して再アップロードするとプレビューが表示されない</t>
    <phoneticPr fontId="7"/>
  </si>
  <si>
    <t>vue js の@changeは同じファイルでしたら、changeと反応しないので、&lt;input&gt;タグのValueと同じファイルを選択しますと、@changeのfunctionは起動しない。</t>
    <phoneticPr fontId="7"/>
  </si>
  <si>
    <t>@changeの処理のあとinputタグのvalueをからにしました。これでしたら同じファイルでしてもchangeと認識されます。</t>
    <phoneticPr fontId="7"/>
  </si>
  <si>
    <t>詳細設計書G0123本人確認書類提出画面</t>
    <phoneticPr fontId="7"/>
  </si>
  <si>
    <t>UIを表示するフラグを追加し、RadioボタンをクリックでフラグをTrue/Falseし、UIはフラグ次第で表示する処理を追加しました。</t>
    <phoneticPr fontId="7"/>
  </si>
  <si>
    <t>実装不備
（詳細設計書には、セッションより全ての申込情報を破棄する　記載あり）</t>
    <phoneticPr fontId="7"/>
  </si>
  <si>
    <t>申込完了画面表示処理後に申込セッション情報の初期化をおこなった。</t>
    <phoneticPr fontId="7"/>
  </si>
  <si>
    <t>画面設計書_G0125_申込完了画面.xlsx</t>
    <phoneticPr fontId="7"/>
  </si>
  <si>
    <t>**G0124_申込内容最終確認画面から遷移してきたときの事象**
Web申込み専用ページログインの場合に下記文言が表示されない
・"web専用マイページID"</t>
    <phoneticPr fontId="7"/>
  </si>
  <si>
    <t>モーダルの記述が崩れていたため修正しました。</t>
    <phoneticPr fontId="7"/>
  </si>
  <si>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phoneticPr fontId="7"/>
  </si>
  <si>
    <t>新規追加処理の為、未実装</t>
    <phoneticPr fontId="7"/>
  </si>
  <si>
    <t>SS設計を正規のURLに修正
・参照するプロパティの値についてスペルミスを修正「applyDateTime」→「applyDatetime」
・判定をemptyからis_nullへ変更</t>
    <phoneticPr fontId="7"/>
  </si>
  <si>
    <t>薬袋、家塚</t>
    <phoneticPr fontId="7"/>
  </si>
  <si>
    <t>特にボタン押下時の制御は何も行われていない状態であった。</t>
    <phoneticPr fontId="7"/>
  </si>
  <si>
    <t>下記をFigmaに合わせて修正しました。
・「認証する」ボタンの形状が異なる
・背景色がついていない</t>
    <phoneticPr fontId="7"/>
  </si>
  <si>
    <t>自営業を選択時に、勤務先名をなしと入力しないといけないバリデーションをrequiredに変更。
自営業から違う職業を選択時に勤務先名をリセットする処理追加。</t>
    <phoneticPr fontId="7"/>
  </si>
  <si>
    <t>画面設計書_共通メッセージ仕様書.xlsx
画面設計書_G0107_個人情報入力画面.xlsx
詳細設計書_G0107_個人情報入力画面.xlsx</t>
    <phoneticPr fontId="7"/>
  </si>
  <si>
    <t>ー</t>
    <phoneticPr fontId="7"/>
  </si>
  <si>
    <t>ファイルサイズ大きい場合にバリデーションエラーメッセージは直下にはなかったです。</t>
    <phoneticPr fontId="7"/>
  </si>
  <si>
    <t>ファイルサイズ大きい場合にバリデーションエラーメッセージをアップロードの直下に追加しました。
ファイルサイズエラー時のみ表示するようにしました。</t>
    <phoneticPr fontId="7"/>
  </si>
  <si>
    <t>BusinessLogicの「この画面でアップロードする場合」と「あとでアップロードする場合」のコードが逆でした。</t>
    <phoneticPr fontId="7"/>
  </si>
  <si>
    <t>詳細設計書_G0106_ご本人さま確認に関して画面.xlsx</t>
    <phoneticPr fontId="7"/>
  </si>
  <si>
    <t>【単体テスト・不具合】G0116_ ご職業・年収入力画面_「次へ」ボタンが有効にならない</t>
    <phoneticPr fontId="7"/>
  </si>
  <si>
    <t>入力項目が全てOKな状態になっても、「次へ」ボタンが有効にならない
![image][スクリーンショット 2021-01-20 12.27.01.png]</t>
    <phoneticPr fontId="7"/>
  </si>
  <si>
    <t>【単体テスト・不具合】G0118_告知情報確認画面(AURA)_身長を修正後に無関係に思われるモーダルが表示されて閉じると修正が反映されていない</t>
    <phoneticPr fontId="7"/>
  </si>
  <si>
    <t xml:space="preserve">身長を修正後に無関係に思われるモーダルが表示されて閉じると修正が反映されていない
</t>
    <phoneticPr fontId="7"/>
  </si>
  <si>
    <t>【単体テスト・不具合】G0117_告知情報入力画面(AURA)_〜門中〜問目の表記の問題数計算単位</t>
    <phoneticPr fontId="7"/>
  </si>
  <si>
    <t>〜門中〜問目の表記の問題数計算単位が、大きい質問単位で数えるのが正しく
最大で「７問中〜問目」となるはずだが、２５問中と表記されている</t>
    <phoneticPr fontId="7"/>
  </si>
  <si>
    <t>【単体テスト・不具合】G0107_個人情報入力画面_フロント側のバリデーションメッセージについて</t>
    <phoneticPr fontId="7"/>
  </si>
  <si>
    <t>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phoneticPr fontId="7"/>
  </si>
  <si>
    <t>必須入力フォームと"不正な文字種…"について
・実装不備
そのほか
・設計書変更により、別途実装対応の必要あり</t>
    <phoneticPr fontId="7"/>
  </si>
  <si>
    <t>【単体テスト・不具合】G0116_ご職業・年収入力画面_選択項目の文字が長い場合にレイアウト崩れ</t>
    <phoneticPr fontId="7"/>
  </si>
  <si>
    <t>選択項目の文字が長い場合にレイアウト崩れ
![image][スクリーンショット 2021-01-13 10.20.28.png]</t>
    <phoneticPr fontId="7"/>
  </si>
  <si>
    <t>【単体テスト・不具合】G0123_本人確認書類提出画面_添付画像削除用の「×」ボタンの活性制御</t>
    <phoneticPr fontId="7"/>
  </si>
  <si>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phoneticPr fontId="7"/>
  </si>
  <si>
    <t>SASUKE_PROJ_H8739-909</t>
  </si>
  <si>
    <t>SA/UI設計不備／SS設計不備</t>
    <phoneticPr fontId="7"/>
  </si>
  <si>
    <t>SASUKE_PROJ_H8739-905</t>
  </si>
  <si>
    <t>SASUKE_PROJ_H8739-904</t>
  </si>
  <si>
    <t>【単体テスト・不具合】G0215_Web申込み専用ページメールアドレス変更確認画面_フロント側のバリデーションエラー</t>
    <phoneticPr fontId="7"/>
  </si>
  <si>
    <t>パスワード入力フォームについて
・下記のバリデーションメッセージが表示される
　→"パスワードは6文字以上32文字以下の半角英数字で入力してください"
・下記文言を入力した際に、エラーメッセージが表示されない
　→"[\\]&gt;&lt;a1"</t>
    <phoneticPr fontId="7"/>
  </si>
  <si>
    <t>詳細設計書_G0215_Web申込み専用ページメールアドレス変更確認画面.xlsx</t>
  </si>
  <si>
    <t>パラメータがない場合にログインしているならセッションの情報を使用するように修正</t>
  </si>
  <si>
    <t>初期表示用と変更時の表示用のapply-find.jsonを作成</t>
  </si>
  <si>
    <t>【単体テスト・不具合】G0205_Web申込み専用ページ申込データ確認画面_申し込み取消済時の商品の左上のバッジ文言</t>
  </si>
  <si>
    <t>SA/UI設計不備／実装不備</t>
  </si>
  <si>
    <t>申し込み取消済時の商品の左上のバッジ文言
Figmaから不一致ではあるのですが、
末尾の「み」が不要
![image][スクリーンショット 2021-01-27 18.49.49.png]</t>
  </si>
  <si>
    <t>【SS設計不備】G0213_Web申込み専用ページパスワード変更確認画面_変更するボタン押下時にログインされていたらパスワード変更せずにリダイレクトされるが不要</t>
  </si>
  <si>
    <t>設計時の考慮漏れ</t>
  </si>
  <si>
    <t>変更するボタン押下時のログインチェックを削除しました。</t>
  </si>
  <si>
    <t>詳細設計書_G0213_Web申込み専用ページパスワード変更確認画面</t>
  </si>
  <si>
    <t>バリデーションのルールに文字数が設定されていない
emailは文字数チェックまではしてくれない
```
rules="required|email"　
```</t>
  </si>
  <si>
    <t>バリデーションのルールに文字数チェックを追加しました
```
rules="required|email|min:5|max:70"
```</t>
  </si>
  <si>
    <t>【単体テスト・不具合】G0212_Web申込み専用ページパスワード変更画面（未ログイン）_戻るボタン押下のURLがおかしい</t>
  </si>
  <si>
    <t>久保田、家塚</t>
  </si>
  <si>
    <t>戻るボタン押下のURLがおかしい
![image][スクリーンショット 2021-01-20 12.40.41.png]
![image][スクリーンショット 2021-01-20 12.41.15.png]
![image][スクリーンショット 2021-01-20 12.41.25.png]
![image][スクリーンショット 2021-01-20 12.41.30.png]</t>
  </si>
  <si>
    <t>G0212のhtmlをbladeに変更する時に修正が漏れた</t>
  </si>
  <si>
    <t>確認したところ、G0201画面に正しく遷移することを確認しました。
PCレイアウト修正の時に正しいものに変更されました。
```
&lt;form name="formG0201" action="{{ route('G0201') }}" method="get"&gt;
  &lt;div class="btn-wrap web-back-btn"&gt;
    &lt;button type="submit" class="btn normal normal-long"&gt;戻る&lt;/button&gt;
  &lt;/div&gt;
&lt;/form&gt;
```
・戻るボタン押下時
![image][pasted-2021.01.29-10.21.40.png]</t>
  </si>
  <si>
    <t>詳細設計書_G0212_Web申込み専用ページパスワード変更画面(未ログイン).xlsx</t>
  </si>
  <si>
    <t>【SS設計不備】G0212_Web申込み専用ページパスワード変更画面（未ログイン）_送信ボタン押下時にログインされていたらリダイレクトされる処理は不要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</si>
  <si>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</si>
  <si>
    <t>初期表示時と送信ボタン押下時のログインチェックを削除しました。
設計書と実装を修正</t>
  </si>
  <si>
    <t>詳細設計書_G0212_Web申込み専用パスワード変更画面(未ログイン)</t>
  </si>
  <si>
    <t>【単体テスト・不具合】G0107_個人情報入力画面_G0119_受取人・請求人入力画面_氏名(姓名)の空白バリデーションエラーメッセージが正常に表示されない</t>
    <phoneticPr fontId="7"/>
  </si>
  <si>
    <t>下記画面にて、氏名(姓名)の空白バリデーションエラーメッセージが想定のものと異なる
・G0107_個人情報入力画面
・G0119_受取人・請求人入力画面</t>
    <phoneticPr fontId="7"/>
  </si>
  <si>
    <t>【単体テスト・不具合】G0107_個人情報入力画面_電話番号入力時、数値を入れていてもエラーになる</t>
  </si>
  <si>
    <t>　G0107_個人情報入力画面で、電話番号（携帯・自宅）入力時に
　入力欄の２つ目に0から開始する数字の列を入力すると入力エラーの扱いになってしまい、
　次画面へ進めなくなる</t>
  </si>
  <si>
    <t>【単体テスト・不具合】G0119_受取人・請求人入力画面_生年月日の年のセレクトボックス選択値の値が仕様と違う</t>
    <phoneticPr fontId="7"/>
  </si>
  <si>
    <t>生年月日の年のセレクトボックスが仕様書通りの値で表示されない</t>
    <phoneticPr fontId="7"/>
  </si>
  <si>
    <t>画面設計書_G0119_受取人・請求人入力画面
詳細設計書_G0119_受取人・請求人入力画面</t>
    <phoneticPr fontId="7"/>
  </si>
  <si>
    <t>処理中</t>
  </si>
  <si>
    <t>仕様把握漏れによる設計書未反映</t>
    <phoneticPr fontId="7"/>
  </si>
  <si>
    <t>本人確認書類のアップロード領域の表示制御を追加しました。</t>
    <phoneticPr fontId="7"/>
  </si>
  <si>
    <t>SA/UI設計不備
SS設計不備
実装不備</t>
    <phoneticPr fontId="7"/>
  </si>
  <si>
    <t>~~先進医療特約(該当約款コードD1A)の保険料と「付加する」の文言が表示されない~~
先進医療特約(該当約款コードD1A)の保険料が表示されない
![image][2021-01-25_10h30_46.png]</t>
    <phoneticPr fontId="7"/>
  </si>
  <si>
    <t>SA/UI設計不備
SS設計不備
による実装漏れ</t>
    <phoneticPr fontId="7"/>
  </si>
  <si>
    <t>SA/UI設計
SS設計：詳細設計書の該当箇所に記載
実装：G0124.blade.phpの先進医療特約と引受緩和型先進医療特約に保険料の実装を記載</t>
    <phoneticPr fontId="7"/>
  </si>
  <si>
    <t>・画面設計書_G0124_申込内容最終確認画面
・詳細設計書_G0124_申込内容最終確認画面</t>
    <phoneticPr fontId="7"/>
  </si>
  <si>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phoneticPr fontId="7"/>
  </si>
  <si>
    <t>色変更処理はまだ入れてなかったみたいです。</t>
    <phoneticPr fontId="7"/>
  </si>
  <si>
    <t>「なし」の文字を表示するIF文処理のなかに色用のクラス付けのタグを追加しました。</t>
    <phoneticPr fontId="7"/>
  </si>
  <si>
    <t>【単体テスト・不具合】全画面共通_「次へ」系の遷移ボタンの多重押下防止処理の対応</t>
  </si>
  <si>
    <t>G0106 ご本人さま確認に関して画面
G0107 個人情報入力画面
G0108 個人情報確認画面
G0109 申込内容確認画面
G0118 告知情報確認画面(AURA)
G0123 本人確認書類提出画面
G0124 申込内容最終確認画面
G0125 申込完了画面
G0128	Web申込み専用ページログイン画面（仮登録後）
G0201	Web申込み専用ページログイン画面</t>
    <phoneticPr fontId="7"/>
  </si>
  <si>
    <t>【単体テスト・不具合】G0128_Web申込み専用ページログイン画面（仮登録後）外部認証のコールバックURLの不備</t>
    <phoneticPr fontId="7"/>
  </si>
  <si>
    <t>★SS設計不備／実装不備
実装不備</t>
    <phoneticPr fontId="7"/>
  </si>
  <si>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phoneticPr fontId="7"/>
  </si>
  <si>
    <t>【単体テスト・不具合】G0118_告知情報確認画面(AURA)_健康状態に関する告知のモーダルの「修正」ボタンが押せない</t>
    <phoneticPr fontId="7"/>
  </si>
  <si>
    <t>健康状態に関する告知のモーダルの「修正」ボタンが押せない
また
親画面の「告知情報を確定する」ボタンも押せない</t>
    <phoneticPr fontId="7"/>
  </si>
  <si>
    <t>CSSの不備に関するもの
`:hover` はスマホではタップ時のみ機能するものではないので、PCと挙動が異なるため発生するもの</t>
    <phoneticPr fontId="7"/>
  </si>
  <si>
    <t>【単体テスト・不具合】G0107_個人情報入力画面_セッションにアカウント情報がセットされていない</t>
    <phoneticPr fontId="7"/>
  </si>
  <si>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phoneticPr fontId="7"/>
  </si>
  <si>
    <t>実装時にUI設計書、SS設計書の見落とし</t>
    <phoneticPr fontId="7"/>
  </si>
  <si>
    <t>表示条件取得処理実装
表示条件出し分け処理実装</t>
    <phoneticPr fontId="7"/>
  </si>
  <si>
    <t>画面へ表示する値変更</t>
    <phoneticPr fontId="7"/>
  </si>
  <si>
    <t>次画面へ遷移するために、「次へ」ボタンを二重で押下出来てしまう。</t>
    <phoneticPr fontId="7"/>
  </si>
  <si>
    <t>コメント欄にて記載されているプルリクでの修正は、
森山さんのほうで戻しておくとのことです。</t>
    <phoneticPr fontId="7"/>
  </si>
  <si>
    <t>画面設計書_G0128_Web申込み専用ページログイン画面（仮登録後）の画面項目定義書に記載があった為、
詳細設計書にも記載されている。
![image][pasted-2021.01.26-11.52.30.png]</t>
    <phoneticPr fontId="7"/>
  </si>
  <si>
    <t>詳細設計書の該当項目を削除</t>
    <phoneticPr fontId="7"/>
  </si>
  <si>
    <t>詳細設計書に、エラーコードが「400」の場合、通知画面を表示というハンドリングがされているため。</t>
    <phoneticPr fontId="7"/>
  </si>
  <si>
    <t>エラーコードを「440」に変更
※"JSドキュメント(v1-h20).pdf"を参照</t>
    <phoneticPr fontId="7"/>
  </si>
  <si>
    <t>遷移先であるWeb申込み専用ページログイン画面（G0201）がセットされていなかった。</t>
    <phoneticPr fontId="7"/>
  </si>
  <si>
    <t>【単体テスト・不具合】G0116_ご職業・年収入力画面_職業や職種選択の各種モーダルに「×」で閉じる機能がない</t>
    <phoneticPr fontId="7"/>
  </si>
  <si>
    <t>職業や職種選択の各種モーダルに「×」で閉じる機能がない
Figmaだとあるので「×」があった方がいい
![image][スクリーンショット 2021-01-13 19.27.07.png]</t>
    <phoneticPr fontId="7"/>
  </si>
  <si>
    <t>テキストボックスに対してonChange()的なトリガーでチェックをしているため。</t>
    <phoneticPr fontId="7"/>
  </si>
  <si>
    <t>focusout的なトリガーにチェックタイミングを変更すること。</t>
    <phoneticPr fontId="7"/>
  </si>
  <si>
    <t>以下の画面で外部認証ロジックを実装すること。
[x] G0107_個人情報入力画面
[x] G0128_Web申込み専用ページログイン画面（仮登録後）
[x] G0201_Web申込み専用ページログイン画面</t>
    <phoneticPr fontId="7"/>
  </si>
  <si>
    <t>【SS設計不備／単体テスト・不具合】G0116_ご職業・年収入力画面_自営業の勤務先に「なし」と入れないとバリデーションエラー</t>
    <phoneticPr fontId="7"/>
  </si>
  <si>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phoneticPr fontId="7"/>
  </si>
  <si>
    <t>画面設計書_共通バリデーションチェック仕様書不備</t>
    <phoneticPr fontId="7"/>
  </si>
  <si>
    <t>画面設計書_共通バリデーションチェック仕様書の修正</t>
    <phoneticPr fontId="7"/>
  </si>
  <si>
    <t>画面設計書_G0123_本人確認書類提出画面.xlsx Rev.18
詳細設計書_G0123_本人確認書類提出画面.xlsx Rev.08
いずれも修正事項無し</t>
    <phoneticPr fontId="7"/>
  </si>
  <si>
    <t>【SS設計不備】G0123_本人確認書類提出画面_次へボタンの活性化制御</t>
    <phoneticPr fontId="7"/>
  </si>
  <si>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phoneticPr fontId="7"/>
  </si>
  <si>
    <t>オブジェクトの有無の判定とデフォルト値の指定。</t>
    <phoneticPr fontId="7"/>
  </si>
  <si>
    <t>詳細設計書_G0120_受取人・請求人確認画面.xlsx</t>
    <phoneticPr fontId="7"/>
  </si>
  <si>
    <t>SASUKE_PROJ_H8739-587</t>
  </si>
  <si>
    <t>【単体テスト・不具合】ヘッダー誤り</t>
    <phoneticPr fontId="7"/>
  </si>
  <si>
    <t>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|includes.header_tel削除 | 削除対応者|
| ------------- |------------- |------------- |------------- |------------- |
| G0101  計算機画面 | | | フリーダイヤル|  |対応済 |薬袋 |
| G0105  申込前確認画面 | |済 | フリーダイヤル| 対応済 | | |
| G0106  ご本人さま確認に関して画面 | |済 | フリーダイヤル| 対応済 | | |
| G0107  個人情報入力画面 | |済 | フリーダイヤル| 対応済 |対応済 |薬袋 |
| G0108  個人情報確認画面| |済 |  フリーダイヤル| 対応済 |  | |
| G0109  申込内容確認画面 | |済 |  フリーダイヤル| 対応済 |対応済 |薬袋 |
| G0110 重要事項確認画面 | |済 |  フリーダイヤル| 対応済 |  | |
| G0111  意向確認画面 |  |済 | フリーダイヤル| 対応済 | | |
| G0112	 告知情報事前確認画面| |済 | フリーダイヤル| 対応済 | | |
| G0116	ご職業・年収入力画面   | |済 | フリーダイヤル| 対応済 | | |
| G0117	告知情報入力画面(AURA) | |済 | フリーダイヤル| 対応済 | | |
| G0118	告知情報確認画面(AURA) | |済 | フリーダイヤル| 対応済 | | |
| G0119	受取人・請求人入力画面 | |済 | フリーダイヤル| 対応済 |対応済 |薬袋 |
| G0120	受取人・請求人確認画面 | |済| フリーダイヤル| 対応済 | | |
| G0121	保険料払込方法選択画面 | |済 | フリーダイヤル| 対応済 |対応済 |薬袋 |
| G0123	本人確認書類提出画面 | |済 | フリーダイヤル| 対応済 | | |
| G0124	申込内容最終確認画面 | |済 | フリーダイヤル| 対応済 |対応済 |薬袋 |
| G0125	申込完了画面 | |済 | フリーダイヤル| 対応済 |対応済 |薬袋 |
| G0127	Web申込み専用ページ仮登録完了画面 | |済 | フリーダイヤル| 対応済 |対応済 |薬袋 |
| G0128	Web申込み専用ページログイン画面（仮登録後） | |済 | フリーダイヤル| 対応済 | | |
| G0201	Web申込み専用ページログイン画面 | |済 | フリーダイヤル| 対応済 || |</t>
    <phoneticPr fontId="7"/>
  </si>
  <si>
    <t>【単体テスト・不具合】G0109_申込内容確認画面_お申込みプランを変更するボタンを押下しても遷移しない</t>
    <phoneticPr fontId="7"/>
  </si>
  <si>
    <t>　お申込みプランを変更するボタンを押下しても、G0102.試算結果画面へ遷移することなく
　再度当画面が表示されてしまう。</t>
    <phoneticPr fontId="7"/>
  </si>
  <si>
    <t>【単体テスト・不具合】Karriere\JsonDecoder\ClassBindings参照エラー</t>
    <phoneticPr fontId="7"/>
  </si>
  <si>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phoneticPr fontId="7"/>
  </si>
  <si>
    <t>use の記述漏れ</t>
    <phoneticPr fontId="7"/>
  </si>
  <si>
    <t>use Karriere\JsonDecoder\ClassBindings;
を追記する</t>
    <phoneticPr fontId="7"/>
  </si>
  <si>
    <t>【単体テスト・不具合】商品情報のドメインバリュークラスで存在しないクラスを継承している</t>
    <phoneticPr fontId="7"/>
  </si>
  <si>
    <t>継承元のクラスが内とエラーが出力される</t>
    <phoneticPr fontId="7"/>
  </si>
  <si>
    <t>継承元クラスが存在しないProductionInfoとなっている（実際に存在しているのはProductInfo）</t>
    <phoneticPr fontId="7"/>
  </si>
  <si>
    <t>継承元クラスProductInfoに変更</t>
    <phoneticPr fontId="7"/>
  </si>
  <si>
    <t>SASUKE_PROJ_H8739-922</t>
  </si>
  <si>
    <t>【単体テスト・不具合】G0206_Web申込み専用ページ本人確認書類提出画面_裏面をドラッグ＆ドロップでアップロードエラー後に表面でOKになっても「送信」が押せない</t>
    <phoneticPr fontId="7"/>
  </si>
  <si>
    <t>SASUKE_PROJ_H8739-921</t>
  </si>
  <si>
    <t>【単体テスト・不具合】G0206_Web申込み専用ページ本人確認書類提出画面_文言の誤り及び「送信する」ボタンの角が丸い</t>
    <phoneticPr fontId="7"/>
  </si>
  <si>
    <t>## 文言
figma
![image][スクリーンショット 2021-02-03 16.36.57.png]
G0206
![image][スクリーンショット 2021-02-03 16.37.02.png]
「送信する」ボタンの角が丸い
figma（デザイン）
![image][スクリーンショット 2021-02-03 16.30.04.png]
G0123
![image][スクリーンショット 2021-02-03 16.29.38.png]
G0206
![image][スクリーンショット 2021-02-03 16.29.47.png]</t>
    <phoneticPr fontId="7"/>
  </si>
  <si>
    <t>SASUKE_PROJ_H8739-920</t>
  </si>
  <si>
    <t>【単体テスト・不具合】G0206_Web申込み専用ページ本人確認書類提出画面_2MBほどの大きめなサイズのHEIF形式画像がアップロードできない</t>
    <phoneticPr fontId="7"/>
  </si>
  <si>
    <t>2MBほどの大きめなサイズのHEIF形式画像がアップロードできない
（１）以下のリンクの画像をダウンロードして
https://drive.google.com/file/d/12dFX7heCBi2OmZV89eU7M5auVQBd7qQ0/view?usp=sharing
（２）アップロードしようとすると以下のようになる
![image][スクリーンショット 2021-02-03 15.35.02.png]
![image][スクリーンショット 2021-02-03 15.35.14.png]</t>
    <phoneticPr fontId="7"/>
  </si>
  <si>
    <t>SASUKE_PROJ_H8739-919</t>
  </si>
  <si>
    <t>【単体テスト・不具合】G0206_Web申込み専用ページ本人確認書類提出画面_書類アップロード枠の高さが表面と裏面で異なる</t>
    <phoneticPr fontId="7"/>
  </si>
  <si>
    <t>書類アップロード枠の高さが表面と裏面で異なる
![image][スクリーンショット 2021-02-03 15.12.45.png]
![image][スクリーンショット 2021-02-03 15.13.07.png]</t>
    <phoneticPr fontId="7"/>
  </si>
  <si>
    <t>SASUKE_PROJ_H8739-916</t>
  </si>
  <si>
    <t>【単体テスト・不具合】G0206_Web申込み専用ページ本人確認書類提出画面_マイナンバーアップロード時の注意事項のヘッダにコンテンツがくっついてしまっている</t>
    <phoneticPr fontId="7"/>
  </si>
  <si>
    <t>マイナンバーアップロード時の注意事項のヘッダにコンテンツがくっついてしまっている
![image][スクリーンショット 2021-02-03 13.38.00.png]</t>
    <phoneticPr fontId="7"/>
  </si>
  <si>
    <t>SASUKE_PROJ_H8739-915</t>
  </si>
  <si>
    <t>SASUKE_PROJ_H8739-910</t>
  </si>
  <si>
    <t>バリデーションのルールに\\のチェックが無かったため</t>
    <phoneticPr fontId="7"/>
  </si>
  <si>
    <t>詳細設計書_G0213_Web申込み専用ページパスワード変更確認画面
詳細設計書_G0215_Web申込み専用ページメールアドレス変更確認画面</t>
    <phoneticPr fontId="7"/>
  </si>
  <si>
    <t>初期表示の時はモックのデータをBusinessLogicやblade側で処理し表示しているのですが、
ドロップダウン変更時はただモックからデータを取って来るだけになっています。
そのため表示内容が異なるようになっています。
本来ならばApiからのレスポンスを表示するので、同じものが表示されます。
テストで確認する場合は、初期表示用のセッションに格納されている内容と同じapply-find.jsonと、
他の表示用のapply-find.jsonを作り下記手順を行う必要があります。
1.初期表示完了後、他の表示用のapply-find.jsonに置き換える
2.プルダウンを変更し表示内容が異なることを確認する
3.初期表示用のapply-find.jsonに置き換える
4.プルダウンを変更し表示内容が初期表示と同じことを確認する</t>
  </si>
  <si>
    <t>詳細設計書_G0205_Web申込み専用ページ申込データ確認画面</t>
  </si>
  <si>
    <t>【単体テスト・不具合】G0205_Web申込み専用ページ申込データ確認画面_Figmaデザインにない項目がある</t>
  </si>
  <si>
    <t>Figmaデザインにない項目がある
（商品名、２箇所）
figma
![image][スクリーンショット 2021-01-27 17.48.06.png]
実装
![image][スクリーンショット 2021-01-27 17.48.45.png]</t>
  </si>
  <si>
    <t>【単体テスト・不具合】G0214_Web申込み専用ページメールアドレス変更画面_サーバ側のバリデーションエラーメッセージ</t>
  </si>
  <si>
    <t>各フォームを未入力の状態で、postした際に、下記バリデーションエラーメッセージが返ってくる
・有効なメールアドレスを半角英数字と記号で入力してください</t>
  </si>
  <si>
    <t>【単体テスト・不具合】G0213_Web申込み専用ページパスワード変更確認画面_変更するボタン押下時にログインされていたらパスワード変更せずにリダイレクトされる仕様は不要</t>
  </si>
  <si>
    <t>【単体テスト・不具合】G0212_Web申込み専用ページパスワード変更画面（未ログイン）_メールアドレスの長さのバリデーションが効かない</t>
  </si>
  <si>
    <t>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</si>
  <si>
    <t>画面設計書_G0212_Web申込み専用ページパスワード変更画面(未ログイン).xlsx
https://drive.google.com/file/d/1I86T2-Lj2GGNFoGFOJ7WPexMQs0DwCnh/view?usp=sharing
詳細設計書_G0212_Web申込み専用ページパスワード変更画面(未ログイン).xlsx
https://drive.google.com/file/d/1l7vQI0I7-MgOMTviONVvo0CjQ9rRXm74/view?usp=sharing
画面設計書_共通バリデーションチェック仕様書.xlsx
https://drive.google.com/file/d/1GXXNWB43Nlcu7Lc_yRHN1D0oqzQFdBMT/view?usp=sharing</t>
  </si>
  <si>
    <t>バリデーションのrulesに「regex:/^(?!.*\s\S).+$/」が「nameKanjiRule: true」より前に記載されていたため、
空白バリデーションエラーメッセージが正常に表示されていなかった。</t>
    <phoneticPr fontId="7"/>
  </si>
  <si>
    <t>不要な空白のバリデーションを削除</t>
    <phoneticPr fontId="7"/>
  </si>
  <si>
    <t>詳細設計書_G0107_個人情報入力画面.xlsx
詳細設計書_G0119_受取人・請求人入力画面.xlsx</t>
    <phoneticPr fontId="7"/>
  </si>
  <si>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・scopeの修正「openid email」
　→当初考えていた「profile」はなし、プリセットはメールアドレスのみとする
　詳細：https://sasuke-fl.backlog.com/view/SASUKE_PROJ_H8739-838</t>
    <phoneticPr fontId="7"/>
  </si>
  <si>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・LINEからのレスポンス値の受け取り箇所の修正
　→当初は「メールアドレス」のみが返却される想定であったが、ユーザごとにそれ以外の情報についても連携設定されている場合あり
　TBD
　・返却される項目
　・項目のフィールド名
参考：https://developers.line.biz/ja/reference/line-login/#issue-access-token</t>
    <phoneticPr fontId="7"/>
  </si>
  <si>
    <t>セッション仕様書の2021/01/09の変更点未対応</t>
    <phoneticPr fontId="7"/>
  </si>
  <si>
    <t>・現実装ではアカウント.電話番号のオブジェクトは`App\Domain\Value\Account\PhoneInfo.php`を使用しています。
このオブジェクトは使用せず、  `App\Domain\Value\Apply\TelNums.php`を流用する。
・アカウント.電話番号のセッションを画面表示、セッションに書き込みしている画面の処理を修正すること。
修正箇所の具体例
WebdLoginBusinessLogic.php
```
   private function setAccountInfo(AccountAuthBackendApiResponse $response): AccountInfo
{
...
        foreach ($response-&gt;individual-&gt;telNums as $telnum) {
            if ($telnum-&gt;telNumType == 1) {
                $cellphoneNumber = $telnum-&gt;telNum;
            }
            if ($telnum-&gt;telNumType == 2) {
                $homeNumber = $telnum-&gt;telNum;
            }
...
}
```</t>
    <phoneticPr fontId="7"/>
  </si>
  <si>
    <t>仕様把握漏れによる未実装</t>
    <phoneticPr fontId="7"/>
  </si>
  <si>
    <t>詳細設計書_G0123_本人確認書類提出画面.xlsx</t>
    <phoneticPr fontId="7"/>
  </si>
  <si>
    <t>docomo本人確認アシストAPIから取得してきた、「birthDate」をOpenID認証情報オブジェクトに格納する際に、タイプエラーで処理が中断される</t>
    <phoneticPr fontId="7"/>
  </si>
  <si>
    <t>OpenID認証情報オブジェクトのbirthDateの型を「string」に修正</t>
    <phoneticPr fontId="7"/>
  </si>
  <si>
    <t>実装漏れ</t>
    <phoneticPr fontId="7"/>
  </si>
  <si>
    <t>多重押下防止処理が実装されていない画面について対応する。
実装不備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phoneticPr fontId="7"/>
  </si>
  <si>
    <t>web.phpのルーティング定義が認証ハッシュありと、外部認証コールバックで重なっており、認証ハッシュありのURLに遷移する為</t>
    <phoneticPr fontId="7"/>
  </si>
  <si>
    <t>外部認証する際のURL　`"/webdirect/register-login/callback"`のURLを下記のいずれかの方法で変更する。
+ 定義の順番を変えてみる
+ 正規表現で制約をかける
+ ルート階層を変える</t>
    <phoneticPr fontId="7"/>
  </si>
  <si>
    <t>G0128_Web申込み専用ページログイン画面（仮登録後）詳細設計書　プロセス概要
https://docs.google.com/spreadsheets/d/17FsWMQyY9xLFEOz3DQbbqFsJpwIlMciS/edit#gid=418015088</t>
    <phoneticPr fontId="7"/>
  </si>
  <si>
    <t>PCデザインに変更した際に、正しくバリデーションが効かなくなった。</t>
    <phoneticPr fontId="7"/>
  </si>
  <si>
    <t>SASUKE_PROJ_H8739-649で行った対応と同様。
次へボタンが有効になる条件を変更。</t>
    <phoneticPr fontId="7"/>
  </si>
  <si>
    <t>・セッションのアカウント情報に氏名などの情報も保存するように処理を追加
・G0107→G0124への画面遷移の場合はselfinfoのみ更新するように修正</t>
    <phoneticPr fontId="7"/>
  </si>
  <si>
    <t>※特約(特定損傷特約以外)の保険期間・払込期間は主契約と同値となるため表示不要につき非表示とする
詳細設計書に記載があるため、特定損傷特約（特定約款コード=D1E）は表示対象とする。
![image][約款コード.png]</t>
    <phoneticPr fontId="7"/>
  </si>
  <si>
    <t>1.文言違い
2. 未実装
3. 障害ではない。試算結果画面にて計算後の計算基準日をセッションに入れているため当画面ではセッションの値をそのまま使用すればよい（sasuke小川様に確認済み）
4. 未実装</t>
    <phoneticPr fontId="7"/>
  </si>
  <si>
    <t>1.文言修正
2. 実装
3. ー
4. 実装</t>
    <phoneticPr fontId="7"/>
  </si>
  <si>
    <t>セッションから申込情報を取得し、商品付加バージョンを調べ１しかなかった場合に、複写する処理追加</t>
    <phoneticPr fontId="7"/>
  </si>
  <si>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phoneticPr fontId="7"/>
  </si>
  <si>
    <t>・バリデーションメッセージ追加・修正
・許容文字追加
・電話番号、携帯電話番号の合計桁数に関するバリデーション追加</t>
    <phoneticPr fontId="7"/>
  </si>
  <si>
    <t>・表示するプロパティの修正
※郵便番号「4520961」であればtownまで入っているのでスペースが追加されていることを確認できます。</t>
    <phoneticPr fontId="7"/>
  </si>
  <si>
    <t>https://drive.google.com/file/d/1vntEud9OYMEiIKA6Cv1XISIDK1m_zmDS/view?usp=sharing</t>
    <phoneticPr fontId="7"/>
  </si>
  <si>
    <t>バリデーションが設定されている</t>
    <phoneticPr fontId="7"/>
  </si>
  <si>
    <t>入力文字数によるボタンのON/OFF制御以外のバリエーションを削除しました。</t>
    <phoneticPr fontId="7"/>
  </si>
  <si>
    <t>SASUKE_PROJ_H8739-762
セッション取得処理が不要だったため、処理を削除しました。</t>
    <phoneticPr fontId="7"/>
  </si>
  <si>
    <t>メールアドレスを商品付加バージョン２の申込情報.契約者.メールアドレスから取得するよう修正</t>
    <phoneticPr fontId="7"/>
  </si>
  <si>
    <t>dアカウントで画像アップロードしたら次へボタンのポップアップを出るようにの処理がありました。</t>
    <phoneticPr fontId="7"/>
  </si>
  <si>
    <t>dアカウントで画像アップロードしたら次へボタンのポップアップを出るようにの処理を外しました。</t>
    <phoneticPr fontId="7"/>
  </si>
  <si>
    <t>https://drive.google.com/drive/u/0/folders/1CbM56AVtzmWiYuitAMop9srEf2sz1X7- 画面設計書_共通バリデーションチェック仕様書</t>
    <phoneticPr fontId="7"/>
  </si>
  <si>
    <t>IdentificationInputUpdateBusinessLogicの「この画面でアップロードする場合」と「あとでアップロードする場合」のIF文を直しました。</t>
    <phoneticPr fontId="7"/>
  </si>
  <si>
    <t>https://docs.google.com/spreadsheets/d/19eZc78CcA-W0XCM0iUBE6dOCF6Rlb2IZ/edit#gid=1841014516</t>
    <phoneticPr fontId="7"/>
  </si>
  <si>
    <t>うるう年の判定用の関数に、準備されていないオブジェクトを渡していたため。</t>
    <phoneticPr fontId="7"/>
  </si>
  <si>
    <t>初期表示で続柄が表示されないことからセッションに情報が上手く保存されていないと考えられる
続柄コードが、文字列ではなく整数として扱われている箇所が存在していたため。</t>
    <phoneticPr fontId="7"/>
  </si>
  <si>
    <t>続柄コードは、文字列として取り扱うように修正</t>
    <phoneticPr fontId="7"/>
  </si>
  <si>
    <t>　申込内容確認画面から遷移した際、セットされている情報を画面表示の方に渡す処理で
　参照の仕方が異なっていた</t>
    <phoneticPr fontId="7"/>
  </si>
  <si>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phoneticPr fontId="7"/>
  </si>
  <si>
    <t>詳細設計書_G0102_試算結果画面.xlsx</t>
    <phoneticPr fontId="7"/>
  </si>
  <si>
    <t>詳細設計書_G0111_意向確認画面.xlsx</t>
    <phoneticPr fontId="7"/>
  </si>
  <si>
    <t>　vue.Jsでnpm run devで生成されるファイルの内容が古いものであったことが原因で
　最新のものが反映されていなかった</t>
    <phoneticPr fontId="7"/>
  </si>
  <si>
    <t>　npm run devをローカル環境で実行して、そのソースをリポジトリ上にアップする</t>
    <phoneticPr fontId="7"/>
  </si>
  <si>
    <t>Figmaのデザイン変更が取り込まれていないため</t>
    <phoneticPr fontId="7"/>
  </si>
  <si>
    <t>デザインを正規のものに変更</t>
    <phoneticPr fontId="7"/>
  </si>
  <si>
    <t>SS設計不備のため</t>
    <phoneticPr fontId="7"/>
  </si>
  <si>
    <t>SS設計を正規のURLに修正</t>
    <phoneticPr fontId="7"/>
  </si>
  <si>
    <t>読み込み時に、キャッシュを使用しており、javascriptが再実行されないため
(iOSの仕様という記事を散見)</t>
    <phoneticPr fontId="7"/>
  </si>
  <si>
    <t>要調査</t>
    <phoneticPr fontId="7"/>
  </si>
  <si>
    <t>パスワードのバリデーションルールが誤ったものだったのを正しいものに修正
```
regex:/^(?=.*?[a-zA-Z])(?=.*?[0-9])[a-zA-Z0-9.!#$%&amp;'*/=?^_+-`{|}~@]{6,32}$/i}
```
↓
```
regex:/^(?=.*?[a-zA-Z])(?=.*?[0-9])[a-zA-Z0-9\.!#\$%&amp;'\*\/=\?\^_\+\-`\{\|\}~@]{6,32}$/i}
```</t>
    <phoneticPr fontId="7"/>
  </si>
  <si>
    <t>詳細設計書_G0215_Web申込み専用ページメールアドレス変更確認画面.xlsx</t>
    <phoneticPr fontId="7"/>
  </si>
  <si>
    <t>処理中：3件</t>
  </si>
  <si>
    <t>トピックは以下</t>
  </si>
  <si>
    <t>外部認証のID受領待ち</t>
  </si>
  <si>
    <t>SASUKE_PROJ_H8739-938</t>
  </si>
  <si>
    <t>【単体テスト・不具合】G0117_告知情報入力画面(AURA)_視力の入力項目に小数点以下１桁入力ができない</t>
    <phoneticPr fontId="7"/>
  </si>
  <si>
    <t>実装不備／テスト環境不備</t>
    <phoneticPr fontId="7"/>
  </si>
  <si>
    <t>視力の入力項目に小数点以下１桁入力ができない（以前は大丈夫だった気がする）
モックの質問タイプがたまたまそうなってるだけでテスト環境の問題？
![image][スクリーンショット 2021-02-04 16.38.33.png]</t>
    <phoneticPr fontId="7"/>
  </si>
  <si>
    <t>【単体テスト・不具合】G0108_個人情報確認画面_契約情報のメールアドレスに値が格納されない</t>
  </si>
  <si>
    <t>G0107_個人情報入力画面から、遷移してきた際に、G0108_個人情報確認画面にリダイレクトするが、
その際に、セッションの契約情報にメールアドレスが格納されていないため、メールアドレスが表示されない</t>
  </si>
  <si>
    <t>実装不備
WebdLoginBusinessLogic＞241行目
$selfInfo-&gt;mailAddressと記載されているが、mailaddressが正</t>
  </si>
  <si>
    <t>WebdLoginBusinessLogic＞241行目
$selfInfo-&gt;mailAddressをmailaddressに修正</t>
  </si>
  <si>
    <t>詳細設計書_G0108_個人情報確認画面</t>
  </si>
  <si>
    <t>【単体テスト・不具合】G0105_申込前確認画面_戻るボタンを押した時、試算結果画面が正常に表示されない</t>
    <phoneticPr fontId="7"/>
  </si>
  <si>
    <t>　G0102_試算結果画面からG0105_申込前確認画面に遷移してから、戻るボタンを押して試算結果画面に
　戻ると、画面が一部だけしか表示されない状態になってしまう。
　（システムエラー画面にはならないが、Chromeでデベロッパーツールでのログを確認すると
　　vue側のエラーになる）</t>
    <phoneticPr fontId="7"/>
  </si>
  <si>
    <t>【単体テスト・不具合】G0123_本人確認書類提出画面_ファイルサイズ超過した場合、前回分の画像が解除されない</t>
  </si>
  <si>
    <t>５M以上の画像ファイルをアップロードしようとしてエラーになった際
前回のアップロード画像がある場合に解除されない</t>
  </si>
  <si>
    <t>ファイルサイズエラーに画像消す処理がなかった。</t>
  </si>
  <si>
    <t>ファイルサイズエラーに画像消す処理を入れ込みました。
下記の修正も同時に実施しました。
・エラーチェックが正しく行われるように修正（順序含む）
・不要なエラーメッセージの削除（注意事項の内容を理解しましたをチェックしてください）チェックしない場合は、前回の選択書類に戻す
・書類の種類変更時の動作追加（確認モーダル表示、はい：前回画像クリア、いいえ：現状保持）
・「あとで提出する」で「いいえ」を選択した際のボタン活性化維持
・確認モーダルのレイアウト修正（像画像、はい/いいえの配置）
・リファクタの実施</t>
  </si>
  <si>
    <t>【単体テスト・不具合】G0123_本人確認書類提出画面_画像ファイル選択で対象外のファイルを選択した際にエラーにならない</t>
    <phoneticPr fontId="7"/>
  </si>
  <si>
    <t>画像ファイル選択で対象外のファイルを選択した際にエラーにならない
（jpg、jpeg、png、gif、pdf、heic、heif）</t>
    <phoneticPr fontId="7"/>
  </si>
  <si>
    <t>TM有友</t>
  </si>
  <si>
    <t>詳細設計書_G0123_本人確認書類提出画面.xlsx
https://drive.google.com/file/d/19eZc78CcA-W0XCM0iUBE6dOCF6Rlb2IZ/view?usp=sharing</t>
  </si>
  <si>
    <t>野寺</t>
  </si>
  <si>
    <t>【SS設計不備】G0128_Web申込み専用ページログイン画面（仮登録後）_単体テスト不具合の確認で修正が必要な箇所がある</t>
  </si>
  <si>
    <t>関連する単体テスト不具合（SASUKE_PROJ_H8739-675）
■初期表示
![image][G0128_1.png]
関連する単体テスト不具合（SASUKE_PROJ_H8739-665）
■メールアドレスパスワードによる認証
![image][G0128_2.png]</t>
  </si>
  <si>
    <t>古いバージョンの画面設計書の際に作成したものが残っていた</t>
  </si>
  <si>
    <t>2. ログイン状態チェック、3. セッションより必要な情報を取得するを削除</t>
  </si>
  <si>
    <t>G0128_Web申込み専用ページログイン画面（仮登録後）</t>
  </si>
  <si>
    <t>【SS設計不備】G127_Web申込み専用ページ仮登録完了画面_閉じるボタンが使えない</t>
    <phoneticPr fontId="7"/>
  </si>
  <si>
    <t>閉じるボタンを実行するための、window.close() がchromeのセキュリティ的に動作しないので変更する必要がある。
→TOPに戻るボタンに変更する。
→実装は対応済みのため、設計書への反映をお願いします。
SASUKE_PROJ_H8739-638</t>
    <phoneticPr fontId="7"/>
  </si>
  <si>
    <t>実装内容変更による、詳細設計書修正</t>
    <phoneticPr fontId="7"/>
  </si>
  <si>
    <t>閉じるボタンをTOPに戻るボタンに変更する。
JavaScriptにて画面を閉じる→はなさく生命のTOP画面に遷移するに修正</t>
    <phoneticPr fontId="7"/>
  </si>
  <si>
    <t>G0127_Web申込み専用ページ仮登録完了画面</t>
    <phoneticPr fontId="7"/>
  </si>
  <si>
    <t>【単体テスト・不具合】G0117_告知情報入力画面(AURA)_フリーワード検索を選択時に表示されるテキストボックスの枠が見えない、他フリーワード検索周り</t>
  </si>
  <si>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</si>
  <si>
    <t>【単体テスト・不具合】G0117_告知情報入力画面(AURA)_次の質問へ遷移する際に縦スクロール位置が保持されているために、次の質問を読む際に再度上にスクロールしないと読めない</t>
    <phoneticPr fontId="7"/>
  </si>
  <si>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phoneticPr fontId="7"/>
  </si>
  <si>
    <t>【単体テスト・不具合】G0117_告知情報入力画面(AURA)_PCレイアウトだと〜門中〜問目の表記が表示されない</t>
  </si>
  <si>
    <t>PCレイアウトだと〜門中〜問目の表記が表示されない
![image][スクリーンショット 2021-01-18 13.10.47.png]
![image][スクリーンショット 2021-01-18 13.11.03.png]</t>
  </si>
  <si>
    <t>CSSで横幅720px以上で非表示にする処理が入っているため</t>
  </si>
  <si>
    <t>【SS設計不備】G0124_申込内容最終確認画面_保険料が万単位で計算されない箇所がある</t>
    <phoneticPr fontId="7"/>
  </si>
  <si>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phoneticPr fontId="7"/>
  </si>
  <si>
    <t>画面設計書_共通メッセージ仕様書.xlsx
画面設計書_G0107_個人情報入力画面.xlsx
詳細設計書_G0107_個人情報入力画面.xlsx</t>
  </si>
  <si>
    <t>【単体テスト・不具合】G0107_個人情報入力画面_サーバ側のバリデーションについて</t>
  </si>
  <si>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</si>
  <si>
    <t>**G0108_個人情報確認画面**へ遷移するときのリクエストバリデーションチェック
**G0124_申込内容最終確認画面**へ遷移するときのリクエストバリデーションチェック
・実装漏れ</t>
  </si>
  <si>
    <t>・バリデーション追加
・外部認証の場合、パスワードバリデーションは実行しない
・バリデーションメッセージの修正</t>
  </si>
  <si>
    <t>【単体テスト・不具合】G0116_ご職業・年収入力画面_次の告知情報事前確認画面から「戻る」で遷移した際に入力内容が反映されない</t>
    <phoneticPr fontId="7"/>
  </si>
  <si>
    <t>次の告知情報入力画面から「戻る」で遷移した際に入力内容が反映されない</t>
    <phoneticPr fontId="7"/>
  </si>
  <si>
    <t>【SA/UI設計不備】G0119_受取人・請求人入力画面_JS側のバリデーションエラーのメッセージが設計書と異なる</t>
  </si>
  <si>
    <t>Justin  Brunnette</t>
  </si>
  <si>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</si>
  <si>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</si>
  <si>
    <t>画面設計書_G0119_受取人・請求人入力画面</t>
  </si>
  <si>
    <t>【単体テスト・不具合】G0123_本人確認書類提出画面_HEIC画像をアップロードするとプレビューが表示されない</t>
    <phoneticPr fontId="7"/>
  </si>
  <si>
    <t>HEIC画像をアップロードするとプレビューが表示されない</t>
    <phoneticPr fontId="7"/>
  </si>
  <si>
    <t>HEIC/HEIFのプレビューはブラウザが対応していない</t>
    <phoneticPr fontId="7"/>
  </si>
  <si>
    <t>HEIFも同様に対応する。
libheif-js を使用して、HEIC/HEIF画像のプレビュー対応を実施しました。
https://www.npmjs.com/package/libheif-js
サンプル
https://github.com/strukturag/libheif/blob/master/examples/demo.html</t>
    <phoneticPr fontId="7"/>
  </si>
  <si>
    <t>【単体テスト・不具合】G0123_本人確認書類提出画面_PDFファイルを添付するとプレビューが正しく表示されない</t>
  </si>
  <si>
    <t>PDFファイルを添付するとプレビューが正しく表示されない
（Macのプレビューなどのソフトだと表示される）</t>
  </si>
  <si>
    <t>PDFのプレビューはブラウザが対応していない</t>
  </si>
  <si>
    <t>PDF.jsを使用してプレビューを実現するようにした
参考：https://qiita.com/kakita-yzrh/items/3761a6599c783284aa60</t>
  </si>
  <si>
    <t>【単体テスト・不具合】元号が「昭和64・平成1」とならず「平成1」となっている</t>
    <phoneticPr fontId="7"/>
  </si>
  <si>
    <t>伊東 雅弘</t>
    <phoneticPr fontId="7"/>
  </si>
  <si>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phoneticPr fontId="7"/>
  </si>
  <si>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phoneticPr fontId="7"/>
  </si>
  <si>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phoneticPr fontId="7"/>
  </si>
  <si>
    <t>【未実装】G0128_Web申込み専用ページログイン画面（仮登録後）_外部認証ログイン機能</t>
  </si>
  <si>
    <t>外部認証コードがまだ揃っていないため、検証環境にて該当部分が動作しない。
外部認証コードについては以下のチケット参照
https://sasuke-fl.backlog.com/view/SASUKE_PROJ_H8739-557</t>
  </si>
  <si>
    <t>【単体テスト・不具合】G0121_保険料払込方法選択画面_ボタンの二重押下防止が未実装</t>
    <phoneticPr fontId="7"/>
  </si>
  <si>
    <t>・ボタン押下後にボタンが非活性化していない</t>
    <phoneticPr fontId="7"/>
  </si>
  <si>
    <t>【単体テスト・不具合】G0109_申込内容確認画面_Figmaのレイアウトと差異がある</t>
  </si>
  <si>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</si>
  <si>
    <t>　実装不備</t>
  </si>
  <si>
    <t>　・参照している画像を想定している画像の方に変更する</t>
  </si>
  <si>
    <t>【単体テスト・不具合】G0109_申込内容確認画面_支払情報のお支払い回数が表示されていない</t>
    <phoneticPr fontId="7"/>
  </si>
  <si>
    <t>　お支払い回数が表示されていない。（figmaと差異がある）</t>
    <phoneticPr fontId="7"/>
  </si>
  <si>
    <t>【単体テスト・不具合】告知情報事前確認画面_戻るボタン押下時にエラーが表示される</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</si>
  <si>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</si>
  <si>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</si>
  <si>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取得日時：2021/02/04 17:10:19</t>
    <phoneticPr fontId="7"/>
  </si>
  <si>
    <t>SASUKE_PROJ_H8739-934</t>
  </si>
  <si>
    <t>【単体テスト・不具合】共通_ユーザーフレンドリーな419エラーページ（ページ期限切れ）が表示されない</t>
    <phoneticPr fontId="7"/>
  </si>
  <si>
    <t>現在は以下のようなシステマチックなエラーとなる。
![image][スクリーンショット 2021-02-04 13.32.56.png]
入力フォームを放置してて再開しようとすると発生するので、そこそこの発生頻度があり、システムエラー画面だと少し不親切かと思われる。</t>
    <phoneticPr fontId="7"/>
  </si>
  <si>
    <t>SASUKE_PROJ_H8739-933</t>
  </si>
  <si>
    <t>【単体テスト・不具合】G0214_Web申込み専用ページメールアドレス変更画面_メールアドレスの長さのバリデーションが効かない</t>
    <phoneticPr fontId="7"/>
  </si>
  <si>
    <t>以下のメールアドレスを入力するとバリデーションエラーにならずOKで送信が可能になっている
12345678901234567890123456789012345678901234567890123456789012345678901234567890@b.jp
別画面（以下のチケット）で修正済みなので横展開すれば良さそう
https://sasuke-fl.backlog.com/view/SASUKE_PROJ_H8739-768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t>
    <phoneticPr fontId="7"/>
  </si>
  <si>
    <t>バリデーションチェック追加漏れ</t>
  </si>
  <si>
    <t>バリデーションのルールに文字数チェックを追加しました</t>
  </si>
  <si>
    <t>https://drive.google.com/drive/u/1/folders/1CbM56AVtzmWiYuitAMop9srEf2sz1X7-
 ・画面設計書_共通バリデーションチェック仕様書.xlsx
 ・バリデーション仕様書　シート</t>
    <phoneticPr fontId="7"/>
  </si>
  <si>
    <t>SASUKE_PROJ_H8739-929</t>
  </si>
  <si>
    <t>【単体テスト・不具合】G0211_Web申込み専用ページ引受不可確認画面_エラーが発生し画面表示ができない</t>
    <phoneticPr fontId="7"/>
  </si>
  <si>
    <t>下記エラーが発生し、画面表示ができない
「number_format() expects parameter 1 to be float, string given</t>
    <phoneticPr fontId="7"/>
  </si>
  <si>
    <t>実装不備：G0211.blade.php&gt;116行目にて、premiumをstringからキャストしていないため</t>
  </si>
  <si>
    <t>詳細設計書_G0211_Web申込み専用ページ引受不可確認画面.xlsx</t>
    <phoneticPr fontId="7"/>
  </si>
  <si>
    <t>SASUKE_PROJ_H8739-928</t>
  </si>
  <si>
    <t>【単体テスト・不具合】G0211_Web申込み専用ページ引受不可確認画面_表示項目で一部正常に表示できていないものがある</t>
    <phoneticPr fontId="7"/>
  </si>
  <si>
    <t>主契約
31D002
・給付日額・金額等について
　→改行が出来ていない
31E002
・給付日額・金額等について
　→改行が出来ていない
特約
D1P：がん一時給付特約
　→「初回」と「2回目以後1回につき」の出し分けが出来ていない
31A、31C、31D、31E、03A
　→保険料が「0円」が表示されている
単位が「円」のもの
　→benefitNameLabelとbenefitの間のスペースが半角になっている</t>
    <phoneticPr fontId="7"/>
  </si>
  <si>
    <t>SASUKE_PROJ_H8739-926</t>
  </si>
  <si>
    <t>【SA/UI設計不備／実装不備】G0214_Web申込み専用ページメールアドレス変更画面_文言違和感</t>
    <phoneticPr fontId="7"/>
  </si>
  <si>
    <t>SA/UI設計不備／SS設計不備／実装不備</t>
    <phoneticPr fontId="7"/>
  </si>
  <si>
    <t>figma、実装共になのですが以下、文言に違和感がある
【誤】新しいメールアドレス宛にメールアドレス変更確認のURLリンクをお送ります
【正】新しいメールアドレス宛にメールアドレス変更確認のURLリンクをお送りします
もしくは
【正】新しいメールアドレス宛にメールアドレス変更確認のURLリンクを送ります
![image][スクリーンショット 2021-02-03 19.07.57.png]
![image][スクリーンショット 2021-02-03 19.08.06.png]</t>
    <phoneticPr fontId="7"/>
  </si>
  <si>
    <t>裏面アップロード時に5MB以上のファイルをアップロードしようとしてエラー後に
表面アップロードでOKになっても「送信」が押せない
![image][スクリーンショット 2021-02-03 18.13.06.png]</t>
    <phoneticPr fontId="7"/>
  </si>
  <si>
    <t>裏面エラー時にボタン非活性化する処理が間違っている</t>
  </si>
  <si>
    <t>裏面エラー時でも表面がアップロードされている場合はG0206 「送信」G0123 「次へ」ボタンを活性化
（裏面エラー発生時には、ボタン非活性化処理を削除）
裏面のエラー時のメッセージ表示位置がズレていたので修正（G0123のみ）</t>
  </si>
  <si>
    <t>r_kamata</t>
  </si>
  <si>
    <t>r_kamata</t>
    <phoneticPr fontId="7"/>
  </si>
  <si>
    <t>【単体テスト・不具合】G0206_Web申込み専用ページ本人確認書類提出画面_アイコンの位置がずれている、被ってしまっている</t>
  </si>
  <si>
    <t>アイコンの位置がずれている、被ってしまっている
![image][スクリーンショット 2021-02-03 13.17.04.png]</t>
  </si>
  <si>
    <t>【単体テスト・不具合】G0205_Web申込み専用ページ申込データ確認画面_G0204画面遷移時に419エラー</t>
  </si>
  <si>
    <t>以下のスクリーンショットのリンクから「Web申込み専用ページメッセージBox詳細画面」へ遷移しようとすると419エラーになる
「本人確認書類アップロード」
「クレジットカードの登録」
「口座振替の登録」
「不備対応」
「特別条件の確認」
![image][スクリーンショット 2021-02-02 17.19.28.png]
![image][スクリーンショット 2021-02-02 17.19.46.png]
![image][スクリーンショット 2021-02-02 17.20.01.png]</t>
  </si>
  <si>
    <t>それぞれのformに@csrfの記載が無かったため、419エラーになっていた</t>
  </si>
  <si>
    <t>それぞれのformに@csrfを追加</t>
  </si>
  <si>
    <t>詳細設計書_G0205_Web申込み専用ページ申込データ確認画面</t>
  </si>
  <si>
    <t>【UI設計/SS設計不備】G0205_Web申込み専用ページ申込データ確認画面_商品名</t>
    <phoneticPr fontId="7"/>
  </si>
  <si>
    <t>（１）Figmaにはない商品名が画面設計書のスクショに存在している（※スクショではクレジットカードのリンクも赤枠で囲っているが、こちらは残す）
画面設計
![image][スクリーンショット 2021-02-02 16.33.13.png]</t>
    <phoneticPr fontId="7"/>
  </si>
  <si>
    <t>画面設計書_G0205_Web申込み専用ページ申込データ確認画面</t>
    <phoneticPr fontId="7"/>
  </si>
  <si>
    <t>【単体テスト・不具合】G0215_Web申込み専用ページメールアドレス変更確認画面_ヘッダー部の表示が異なる</t>
  </si>
  <si>
    <t>ロゴ、ログアウトボタン、ハンバーガーメニューのヘッダ部</t>
  </si>
  <si>
    <t>実装時は画面設計書が電話番号のヘッダでは無かったため</t>
  </si>
  <si>
    <t>URLにハッシュコードを使用していた場合は電話番号のヘッダを表示するように修正</t>
  </si>
  <si>
    <t>詳細設計書_G0128_Web申込み専用ページログイン画面（仮登録後）
詳細設計書_G0213_Web申込み専用ページパスワード変更確認画面
詳細設計書_G0215_Web申込み専用ページメールアドレス変更確認画面</t>
  </si>
  <si>
    <t>【単体テスト・不具合】G0215_Web申込み専用ページメールアドレス変更確認画面_ハッシュ値が空の際にG9991_画面遷移エラー画面にリダイレクトしない</t>
    <phoneticPr fontId="7"/>
  </si>
  <si>
    <t>ハッシュ値が空の際にG9991_画面遷移エラー画面にリダイレクトしない</t>
    <phoneticPr fontId="7"/>
  </si>
  <si>
    <t>・NoHashCodeExceptionをインポート
・URLのhashCode及び、初期表示のコントローラをnull許容に変更
　参照バックログ：SASUKE_PROJ_H8739-672</t>
    <phoneticPr fontId="7"/>
  </si>
  <si>
    <t>【SA/UI設計不備】G0202_Web申込専用ページ画面_「新規申込手続き」ボタンから計算機画面遷移時に汎用エラー画面に遷移する</t>
    <phoneticPr fontId="7"/>
  </si>
  <si>
    <t>SA/UI設計不備
実装不備</t>
    <phoneticPr fontId="7"/>
  </si>
  <si>
    <t>G0202申込専用ページトップ画面画面から「新規申込手続きを押下」後計算機画面に遷移しない</t>
    <phoneticPr fontId="7"/>
  </si>
  <si>
    <t>「新規申込手続き」ボタンから計算機画面に遷移時にログイン済みのためG0102試算結果画面に遷移してしまう。
Web申込専用ページトップ画面から新規で申込を行う場合は、セッションの申込情報を削除しているため、試算結果画面の初期表示を行った際にセッションの申込情報がnullとなっているため落ちている。</t>
    <phoneticPr fontId="7"/>
  </si>
  <si>
    <t>画面設計書_G0101_計算機画面</t>
    <phoneticPr fontId="7"/>
  </si>
  <si>
    <t>【単体テスト・不具合】G0215_Web申込み専用ページメールアドレス変更確認画面_外部認証コードが格納できずエラーになる</t>
  </si>
  <si>
    <t>外部認証からcallbackしてきた際の処理で、外部認証コードを格納する箇所でエラーになる</t>
  </si>
  <si>
    <t>外部認証コード及び外部認証IDの参照先を修正</t>
  </si>
  <si>
    <t>【単体テスト・不具合】G0205_Web申込み専用ページ申込データ確認画面_書類のドロップダウンを変更して戻すと最初に表示されている内容と異なる</t>
    <phoneticPr fontId="7"/>
  </si>
  <si>
    <t>書類のドロップダウンを変更して戻すと最初に表示されている内容と異なる
テスト時に使ったmockJsonも添付します
![image][スクリーンショット 2021-01-27 20.27.09.png]
↓
![image][スクリーンショット 2021-01-27 20.27.22.png]
↓
![image][スクリーンショット 2021-01-27 20.27.29.png]</t>
    <phoneticPr fontId="7"/>
  </si>
  <si>
    <t>【単体テスト・不具合】G0202_Web申込専用ページトップ画面_表示されないパターンのメッセージボックスが表示される</t>
  </si>
  <si>
    <t>トピックカテゴリーコード1(本人確認書類提出)、トピックステータスコード1(対応不要)のメッセージボックスが表示される。(赤枠のメッセージボックス)
![image][2021-01-27_20h22_26.png]</t>
  </si>
  <si>
    <t>メッセージが存在しない仕様のため、存在した場合の非表示処理を記載していなかった</t>
  </si>
  <si>
    <t>トピックカテゴリーコードとトピックステータスコードの組み合わせを確認し、
表示しない組み合わせだった場合は非表示にする</t>
  </si>
  <si>
    <t>【単体テスト・不具合】G0202_Web申込み専用ページトップ画面_$accountInfo-&gt;lastLoginDatetimeがnullだとシステムエラー画面に遷移する</t>
  </si>
  <si>
    <t>$accountInfo-&gt;lastLoginDatetimeがnullだとシステムエラー画面に遷移する
不具合原因調査込みで、例えばこんな感じにするとシステムエラーにはならなかった。
WebdTopBusinessLogic 134行目付近
![image][スクリーンショット 2021-01-27 20.02.15.png]</t>
  </si>
  <si>
    <t>nullだった場合のハンドリングを行っていなかったため</t>
  </si>
  <si>
    <t>$accountInfo-&gt;lastLoginDatetimeがemptyかのif文の条件を追加
$lastLoginDatetime = DateHelper::editDateTimeString($accountInfo-&gt;lastLoginDatetime);
↓
if (!empty($accountInfo-&gt;lastLoginDatetime)) {
            $lastLoginDatetime = DateHelper::editDateTimeString($accountInfo-&gt;lastLoginDatetime);
}</t>
  </si>
  <si>
    <t>【単体テスト・不具合】G0202_Web申込専用ページトップ画面_セッションAccountInfoに保存された誕生日を使用して計算機画面に遷移する際に汎用エラーに遷移する</t>
  </si>
  <si>
    <t>汎用エラー画面に遷移する</t>
  </si>
  <si>
    <t>EstimateCalculatorBusinessLogic　50行目
アカウントオブジェクトから誕生日を取得する際に誕生日オブジェクトの取得でおわっているため
```
$birthDate = $account-&gt;birthDate ?? ''; // こちらで誕生日の取得$account-&gt;birthDate-&gt;birthDate
```
後述のCarbonインスタンスに作成時にBirthDateオブジェクトを渡しているためエラーとなっている
```
 $date = new Carbon($birthDate);
```</t>
  </si>
  <si>
    <t>詳細設計書_G0101_計算機画面</t>
  </si>
  <si>
    <t>【単体テスト・不具合】G0205_Web申込み専用ページ申込データ確認画面_別窓のアイコンがデザインと違う</t>
  </si>
  <si>
    <t>別窓のアイコンがデザインと違う
Figma
![image][スクリーンショット 2021-01-27 18.31.35.png]
実装
![image][スクリーンショット 2021-01-27 18.32.10.png]
----
2/2　追記
別窓とメールのアイコンの位置が下にずれている
![image][スクリーンショット 2021-02-02 12.15.12.png]</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</si>
  <si>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家塚| 済| 
| G0203	Web申込み専用ページメッセージBox画面 | 家塚| 実装不要|
| G0204	Web申込み専用ページメッセージBox詳細画面 | 家塚| 済| 
| G0205	Web申込み専用ページ申込データ確認画面| 家塚| 済| 
| G0206	Web申込み専用ページ本人確認書類提出画面| 家塚| 済| 
| G0208	Web申込み専用ページ特別条件付・承諾対応画面| 家塚| 済| 
| G0209	Web申込み専用ページ意向確認画面（特別条件付承諾後）| 家塚| 済| 
| G0210	Web申込み専用ページ特別条件付・承諾対応確認画面| 家塚| 済| 
| G0211	Web申込み専用ページ引受不可確認画面| 家塚| 済| 
| G0212	Web申込み専用ページパスワード変更画面（未ログイン）| 家塚| 済| 
| G0213	Web申込み専用ページパスワード変更確認画面| 家塚| 済| 
| G0214	Web申込み専用ページメールアドレス変更画面| 家塚| 済| 
| G0215	Web申込み専用ページメールアドレス変更確認画面| 家塚| 済| 
| G0216	Web申込み専用ページパスワード変更画面| 家塚| 済| 
| G0126	システムメンテナンス画面| 家塚| 実装不要| </t>
  </si>
  <si>
    <t>多重押下防止のdisableが実装されていなかったため</t>
  </si>
  <si>
    <t>多重押下防止するボタンにdisabledを追加し、ボタンを押下したらdisabledがtrueになるように修正</t>
  </si>
  <si>
    <t>詳細設計書_G0202_Web申込み専用ページトップ画面
詳細設計書_G0204_Web申込み専用ページメッセージBox詳細画面
詳細設計書_G0205_Web申込み専用ページデータ確認画面
詳細設計書_G0209_Web申込み専用ページト意向確認画面（特別条件付承諾後）</t>
  </si>
  <si>
    <t>未対応：2件</t>
    <rPh sb="0" eb="3">
      <t>ミタイオウ</t>
    </rPh>
    <phoneticPr fontId="7"/>
  </si>
  <si>
    <t>1．SP1〜5の処理中</t>
    <phoneticPr fontId="7"/>
  </si>
  <si>
    <t>2．SP1〜5の未対応</t>
    <rPh sb="8" eb="11">
      <t>ミタイオウ</t>
    </rPh>
    <phoneticPr fontId="7"/>
  </si>
  <si>
    <t>横断確認中に発見した障害</t>
    <rPh sb="0" eb="2">
      <t>オウダン</t>
    </rPh>
    <rPh sb="2" eb="5">
      <t>カクニンチュウ</t>
    </rPh>
    <rPh sb="6" eb="8">
      <t>ハッケン</t>
    </rPh>
    <rPh sb="10" eb="12">
      <t>ショウガイ</t>
    </rPh>
    <phoneticPr fontId="7"/>
  </si>
  <si>
    <t>★</t>
    <phoneticPr fontId="7"/>
  </si>
  <si>
    <t>取得日時：2021/02/04 17:31:42</t>
    <phoneticPr fontId="7"/>
  </si>
  <si>
    <t>小川</t>
    <phoneticPr fontId="7"/>
  </si>
  <si>
    <t>セッションから情報を復帰する際に、正常にinitializeがされていなかった</t>
    <phoneticPr fontId="7"/>
  </si>
  <si>
    <t>セッションに関わらず、申込情報が確定したらinitializeを実行</t>
    <phoneticPr fontId="7"/>
  </si>
  <si>
    <t xml:space="preserve">Justin </t>
    <phoneticPr fontId="7"/>
  </si>
  <si>
    <t>uploadの処理にファイル判定が入っていなかったです。</t>
    <phoneticPr fontId="7"/>
  </si>
  <si>
    <t>uploadの処理にファイル判定を入れました。</t>
    <phoneticPr fontId="7"/>
  </si>
  <si>
    <t>詳細設計書のファイル名を記載する。</t>
    <phoneticPr fontId="7"/>
  </si>
  <si>
    <t>表示出し分け処理の数字が異なる。
```
  @if (2 == $apiResult-&gt;auth-&gt;extAuthCode)
              &lt;div class=""&gt;
                &lt;div class="entry-btn-ttl"&gt;LINEアカウントでログイン&lt;/div&gt;
                &lt;a href="{{ $lineUrl }}" class="sns-login-btn"&gt;
                  &lt;span class="sns-btn-right line-btn"&gt;LINEアカウントでログイン
                    &lt;img src="/images/common/icon_line_white.svg" alt="line" class="line-icon-btn"&gt;&lt;/span&gt;
                &lt;/a&gt;
              &lt;/div&gt;
  @endif
```</t>
    <phoneticPr fontId="7"/>
  </si>
  <si>
    <t>・マジックナンバーをconfigの値を用いるように修正</t>
    <phoneticPr fontId="7"/>
  </si>
  <si>
    <t>sbpsに渡すパラメータに誤りがあった
保険商品チェックApiを呼ぶ処理が漏れていた</t>
    <phoneticPr fontId="7"/>
  </si>
  <si>
    <t>詳細設計書_G0121_保険料払込方法選択画面</t>
    <phoneticPr fontId="7"/>
  </si>
  <si>
    <t>詳細設計書_G0109_申込内容確認画面.xlsx</t>
    <phoneticPr fontId="7"/>
  </si>
  <si>
    <t>寺本</t>
    <phoneticPr fontId="7"/>
  </si>
  <si>
    <t>実装不備</t>
    <phoneticPr fontId="7"/>
  </si>
  <si>
    <t>マジックナンバーによる外部認証コード指定を、定数指定に変更(config/externalAuthorizationCode.php)</t>
    <phoneticPr fontId="7"/>
  </si>
  <si>
    <t>なし</t>
    <phoneticPr fontId="7"/>
  </si>
  <si>
    <t>SA/UI設計不備、実装不備</t>
    <phoneticPr fontId="7"/>
  </si>
  <si>
    <t>SA/UI設計書を修正
実装：条件式のコード値を修正</t>
    <phoneticPr fontId="7"/>
  </si>
  <si>
    <t>親質問更新時にスクロール位置が保持されているため</t>
    <phoneticPr fontId="7"/>
  </si>
  <si>
    <t>親質問更新時に、最上部へ自動スクロールするように変更</t>
    <phoneticPr fontId="7"/>
  </si>
  <si>
    <t>チェックボックスタイプでエラー
![image][スクリーンショット 2021-01-18 17.00.16.png]</t>
    <phoneticPr fontId="7"/>
  </si>
  <si>
    <t>実装ロジックのミスを修正</t>
    <phoneticPr fontId="7"/>
  </si>
  <si>
    <t>詳細設計書_G0107_個人情報入力画面.xlsx</t>
    <phoneticPr fontId="7"/>
  </si>
  <si>
    <t>実装修正</t>
    <phoneticPr fontId="7"/>
  </si>
  <si>
    <t>SS設計不備による実装漏れ</t>
    <phoneticPr fontId="7"/>
  </si>
  <si>
    <t>主契約の定期（03A）と特約の入院一時給付特約（D1B）の保険料が表示されるようにG0124.blade.phpのswitchに記載</t>
    <phoneticPr fontId="7"/>
  </si>
  <si>
    <t>詳細設計書_G0124_申込内容最終確認画面</t>
    <phoneticPr fontId="7"/>
  </si>
  <si>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phoneticPr fontId="7"/>
  </si>
  <si>
    <t>5商品の保険料払込免除特約に付加区分１をセットしても「付加する」と表示されない
（該当約款コード'03A', '31A', '31C', '31D', '31E'）
![image][2021-01-15_15h07_20.png]</t>
    <phoneticPr fontId="7"/>
  </si>
  <si>
    <t>値によって表示出し分け
項目「仕事の内容」については、
無しの場合はセッション空ではなく、00になる。</t>
    <phoneticPr fontId="7"/>
  </si>
  <si>
    <t>詳細設計書_G0107_個人情報入力画面.xlsx
画面設計書_共通バリデーションチェック仕様書.xlsx</t>
    <phoneticPr fontId="7"/>
  </si>
  <si>
    <t>SS設計不備による、取得したきたデータのプリセット箇所誤り</t>
    <phoneticPr fontId="7"/>
  </si>
  <si>
    <t>取得してきたデータを下記のように設定するに変更
市区群・町村：city  **+ town**
丁目・番地： ~~town +~~  house_num</t>
    <phoneticPr fontId="7"/>
  </si>
  <si>
    <t>ボタン押下時のチェックをフラグ形式で行うように修正。</t>
    <phoneticPr fontId="7"/>
  </si>
  <si>
    <t>Justin</t>
    <phoneticPr fontId="7"/>
  </si>
  <si>
    <t>SS設計不備による、実装不備</t>
    <phoneticPr fontId="7"/>
  </si>
  <si>
    <t>ZIPSERVERのエラーコードを対応できるようにIF文に追加しました。</t>
    <phoneticPr fontId="7"/>
  </si>
  <si>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phoneticPr fontId="7"/>
  </si>
  <si>
    <t>計算機画面をG0119の生年月日と合わせました</t>
    <phoneticPr fontId="7"/>
  </si>
  <si>
    <t>変更されたモーダルのデザインに対応するためにheaderの記述を修正。</t>
    <phoneticPr fontId="7"/>
  </si>
  <si>
    <t>森山</t>
    <phoneticPr fontId="7"/>
  </si>
  <si>
    <t>戻るで遷移した際に入力内容が反映される実装が行われていなかったため。</t>
    <phoneticPr fontId="7"/>
  </si>
  <si>
    <t>セッションに格納されているデータを取得し、設定するように修正。</t>
    <phoneticPr fontId="7"/>
  </si>
  <si>
    <t>詳細設計書_G0116_ご職業・年収入力画面</t>
    <phoneticPr fontId="7"/>
  </si>
  <si>
    <t>画面設計書_G0116_ご職業・年収入力画面</t>
    <phoneticPr fontId="7"/>
  </si>
  <si>
    <t>詳細設計書_G0107_個人情報入力画面.xlsx Rev.10
詳細設計書_G0128_Web申込み専用ページログイン画面（仮登録後）.xlsx Rev.03
詳細設計書_G0201_Web申込み専用ページログイン画面.xlsx Rev.03</t>
    <phoneticPr fontId="7"/>
  </si>
  <si>
    <t>cssの設定値不備</t>
    <phoneticPr fontId="7"/>
  </si>
  <si>
    <t>OK iconのタグをBlade.phpに追加しまして、v-if="removeImg"の処理でフィアルアップロード時に出るようにしました。</t>
    <phoneticPr fontId="7"/>
  </si>
  <si>
    <t>詳細設計書_G0123_本人確認書類提出画面</t>
    <phoneticPr fontId="7"/>
  </si>
  <si>
    <t>実装担当者の外部認証フローの理解不足</t>
    <phoneticPr fontId="7"/>
  </si>
  <si>
    <t>画面設計書_G0123_本人確認書類提出画面.xlsx Rev.18
詳細設計書_G0123_本人確認書類提出画面.xlsx Rev.08
の内容に従い、ロジック全体を見直し、実装不足分を対応した。</t>
    <phoneticPr fontId="7"/>
  </si>
  <si>
    <t>「次へ」に意事項のチェックに反応できる処理はなかったです。</t>
    <phoneticPr fontId="7"/>
  </si>
  <si>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phoneticPr fontId="7"/>
  </si>
  <si>
    <t>「×ボタン」に表示・非表示の処理が含まれていなかったです。</t>
    <phoneticPr fontId="7"/>
  </si>
  <si>
    <t>「×ボタン」は初期表示時、非表示。
アップロード済みの場合、表示とする。</t>
    <phoneticPr fontId="7"/>
  </si>
  <si>
    <t>実装しました。</t>
    <phoneticPr fontId="7"/>
  </si>
  <si>
    <t>画面ヘッダーの設定がそれぞれの画面ごとに設定されていたのが原因。</t>
    <phoneticPr fontId="7"/>
  </si>
  <si>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
不要なコードを削除しました。
```
@section('header')
  @include('includes.header_tel')
@endsection
```</t>
    <phoneticPr fontId="7"/>
  </si>
  <si>
    <t>　・テストデータに判定のためのデータがセットできていなかった
　・表示の際も想定されている表示になるような実装がされていなかった</t>
    <phoneticPr fontId="7"/>
  </si>
  <si>
    <t>　・お支払い回数の箇所に年払い・月払いの情報が表示されるよう修正
　・テストデータでお支払い回数の箇所のための判定用のデータをセット</t>
    <phoneticPr fontId="7"/>
  </si>
  <si>
    <t>詳細設計書_G0111_意向確認画面</t>
    <phoneticPr fontId="7"/>
  </si>
  <si>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phoneticPr fontId="7"/>
  </si>
  <si>
    <t>詳細設計書_G0106_ご本人さま確認に関して画面</t>
    <phoneticPr fontId="7"/>
  </si>
  <si>
    <t>詳細設計書_G0105_申込前確認画面.xlsx＞プロセス概要
　→資料URL：https://docs.google.com/spreadsheets/d/1vfRgJpXYhrNNFllllc5LllSvjJFnepyQ/edit#gid=1646711699</t>
    <phoneticPr fontId="7"/>
  </si>
  <si>
    <t>※優先度高として対応予定</t>
    <rPh sb="1" eb="4">
      <t>ユウセンド</t>
    </rPh>
    <rPh sb="4" eb="5">
      <t>コウ</t>
    </rPh>
    <rPh sb="8" eb="10">
      <t>タイオウ</t>
    </rPh>
    <rPh sb="10" eb="12">
      <t>ヨテイ</t>
    </rPh>
    <phoneticPr fontId="7"/>
  </si>
  <si>
    <t>■SP1〜5は残り5件（優先度低以外）</t>
    <phoneticPr fontId="7"/>
  </si>
  <si>
    <t>■SP6</t>
    <phoneticPr fontId="7"/>
  </si>
  <si>
    <t>処理済み：2件</t>
  </si>
  <si>
    <t>処理中　：7件</t>
  </si>
  <si>
    <t>未対応　：8件</t>
  </si>
  <si>
    <t>一部PTに実装との乖離あり</t>
    <rPh sb="0" eb="2">
      <t xml:space="preserve">イチブ </t>
    </rPh>
    <rPh sb="5" eb="7">
      <t xml:space="preserve">ジッソウ </t>
    </rPh>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</si>
</sst>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30">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6">
    <xf numFmtId="0" fontId="0" fillId="0" borderId="0"/>
    <xf numFmtId="0" fontId="11" fillId="0" borderId="0" applyNumberFormat="0" applyFill="0" applyBorder="0" applyAlignment="0" applyProtection="0"/>
    <xf numFmtId="0" fontId="6" fillId="0" borderId="0">
      <alignment vertical="center"/>
    </xf>
    <xf numFmtId="0" fontId="5" fillId="0" borderId="0">
      <alignment vertical="center"/>
    </xf>
    <xf numFmtId="0" fontId="4" fillId="0" borderId="0">
      <alignment vertical="center"/>
    </xf>
    <xf numFmtId="0" fontId="4" fillId="0" borderId="0">
      <alignment vertical="center"/>
    </xf>
  </cellStyleXfs>
  <cellXfs count="109">
    <xf numFmtId="0" fontId="0" fillId="0" borderId="0" xfId="0"/>
    <xf numFmtId="0" fontId="8" fillId="0" borderId="0" xfId="0" applyFont="1"/>
    <xf numFmtId="0" fontId="8" fillId="0" borderId="1" xfId="0" applyFont="1" applyBorder="1" applyAlignment="1">
      <alignment horizontal="left"/>
    </xf>
    <xf numFmtId="0" fontId="8" fillId="0" borderId="1" xfId="0" applyFont="1" applyBorder="1"/>
    <xf numFmtId="0" fontId="9" fillId="2" borderId="1" xfId="0" applyFont="1" applyFill="1" applyBorder="1"/>
    <xf numFmtId="0" fontId="10" fillId="0" borderId="0" xfId="0" applyFont="1"/>
    <xf numFmtId="0" fontId="0" fillId="0" borderId="1" xfId="0" applyFill="1" applyBorder="1"/>
    <xf numFmtId="0" fontId="9" fillId="4" borderId="1" xfId="0" applyFont="1" applyFill="1" applyBorder="1" applyAlignment="1"/>
    <xf numFmtId="0" fontId="9" fillId="3" borderId="1" xfId="0" applyFont="1" applyFill="1" applyBorder="1"/>
    <xf numFmtId="0" fontId="11" fillId="0" borderId="1" xfId="1" applyBorder="1"/>
    <xf numFmtId="0" fontId="9"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5" fillId="0" borderId="1" xfId="1" applyFont="1" applyBorder="1"/>
    <xf numFmtId="14" fontId="8" fillId="0" borderId="1" xfId="0" applyNumberFormat="1" applyFont="1" applyBorder="1"/>
    <xf numFmtId="0" fontId="8" fillId="0" borderId="1" xfId="0" applyFont="1" applyBorder="1" applyAlignment="1">
      <alignment wrapText="1"/>
    </xf>
    <xf numFmtId="0" fontId="14" fillId="4" borderId="1" xfId="0" applyFont="1" applyFill="1" applyBorder="1" applyAlignment="1">
      <alignment horizontal="center" vertical="center" wrapText="1"/>
    </xf>
    <xf numFmtId="0" fontId="14" fillId="4" borderId="1" xfId="0" applyFont="1" applyFill="1" applyBorder="1" applyAlignment="1">
      <alignment horizontal="center" vertical="center"/>
    </xf>
    <xf numFmtId="0" fontId="6" fillId="0" borderId="0" xfId="2">
      <alignment vertical="center"/>
    </xf>
    <xf numFmtId="0" fontId="6" fillId="0" borderId="2" xfId="2" applyBorder="1">
      <alignment vertical="center"/>
    </xf>
    <xf numFmtId="0" fontId="6" fillId="0" borderId="3" xfId="2" applyBorder="1">
      <alignment vertical="center"/>
    </xf>
    <xf numFmtId="0" fontId="6" fillId="0" borderId="4" xfId="2" applyBorder="1">
      <alignment vertical="center"/>
    </xf>
    <xf numFmtId="0" fontId="6" fillId="0" borderId="5" xfId="2" applyBorder="1">
      <alignment vertical="center"/>
    </xf>
    <xf numFmtId="0" fontId="6" fillId="0" borderId="6" xfId="2" applyBorder="1">
      <alignment vertical="center"/>
    </xf>
    <xf numFmtId="0" fontId="14" fillId="0" borderId="0" xfId="2" applyFont="1">
      <alignment vertical="center"/>
    </xf>
    <xf numFmtId="0" fontId="6" fillId="0" borderId="7" xfId="2" applyBorder="1">
      <alignment vertical="center"/>
    </xf>
    <xf numFmtId="0" fontId="6" fillId="0" borderId="8" xfId="2" applyBorder="1">
      <alignment vertical="center"/>
    </xf>
    <xf numFmtId="0" fontId="6" fillId="0" borderId="9" xfId="2" applyBorder="1">
      <alignment vertical="center"/>
    </xf>
    <xf numFmtId="0" fontId="16" fillId="0" borderId="10" xfId="2" applyFont="1" applyBorder="1">
      <alignment vertical="center"/>
    </xf>
    <xf numFmtId="0" fontId="6" fillId="0" borderId="10" xfId="2" applyBorder="1">
      <alignment vertical="center"/>
    </xf>
    <xf numFmtId="0" fontId="6" fillId="5" borderId="10" xfId="2" applyFill="1" applyBorder="1" applyAlignment="1">
      <alignment vertical="center" shrinkToFit="1"/>
    </xf>
    <xf numFmtId="0" fontId="6" fillId="0" borderId="1" xfId="2" applyBorder="1">
      <alignment vertical="center"/>
    </xf>
    <xf numFmtId="0" fontId="6" fillId="5" borderId="1" xfId="2" applyFill="1" applyBorder="1">
      <alignment vertical="center"/>
    </xf>
    <xf numFmtId="0" fontId="6" fillId="5" borderId="1" xfId="2" applyFill="1" applyBorder="1" applyAlignment="1">
      <alignment vertical="center" wrapText="1"/>
    </xf>
    <xf numFmtId="0" fontId="18" fillId="5" borderId="1" xfId="2" applyFont="1" applyFill="1" applyBorder="1">
      <alignment vertical="center"/>
    </xf>
    <xf numFmtId="0" fontId="14" fillId="3" borderId="1" xfId="2" applyFont="1" applyFill="1" applyBorder="1">
      <alignment vertical="center"/>
    </xf>
    <xf numFmtId="176" fontId="6" fillId="0" borderId="1" xfId="2" applyNumberFormat="1" applyBorder="1">
      <alignment vertical="center"/>
    </xf>
    <xf numFmtId="0" fontId="14" fillId="3" borderId="1" xfId="2" applyFont="1" applyFill="1" applyBorder="1" applyAlignment="1">
      <alignment vertical="center" wrapText="1"/>
    </xf>
    <xf numFmtId="0" fontId="16" fillId="0" borderId="1" xfId="2" applyFont="1" applyBorder="1">
      <alignment vertical="center"/>
    </xf>
    <xf numFmtId="0" fontId="6" fillId="2" borderId="1" xfId="2" applyFill="1" applyBorder="1">
      <alignment vertical="center"/>
    </xf>
    <xf numFmtId="0" fontId="6" fillId="0" borderId="1" xfId="2" applyBorder="1" applyAlignment="1"/>
    <xf numFmtId="0" fontId="20" fillId="0" borderId="1" xfId="2" applyFont="1" applyBorder="1" applyAlignment="1"/>
    <xf numFmtId="0" fontId="6" fillId="2" borderId="1" xfId="2" applyFill="1" applyBorder="1" applyAlignment="1"/>
    <xf numFmtId="0" fontId="16" fillId="0" borderId="1" xfId="2" applyFont="1" applyBorder="1" applyAlignment="1"/>
    <xf numFmtId="0" fontId="6" fillId="6" borderId="1" xfId="2" applyFill="1" applyBorder="1" applyAlignment="1"/>
    <xf numFmtId="0" fontId="6" fillId="4" borderId="1" xfId="2" applyFill="1" applyBorder="1" applyAlignment="1"/>
    <xf numFmtId="0" fontId="6" fillId="0" borderId="1" xfId="2" applyBorder="1" applyAlignment="1">
      <alignment vertical="center" wrapText="1"/>
    </xf>
    <xf numFmtId="0" fontId="23" fillId="0" borderId="0" xfId="2" applyFont="1">
      <alignment vertical="center"/>
    </xf>
    <xf numFmtId="177" fontId="18" fillId="0" borderId="1" xfId="2" applyNumberFormat="1" applyFont="1" applyBorder="1">
      <alignment vertical="center"/>
    </xf>
    <xf numFmtId="177" fontId="14" fillId="7" borderId="1" xfId="2" applyNumberFormat="1" applyFont="1" applyFill="1" applyBorder="1">
      <alignment vertical="center"/>
    </xf>
    <xf numFmtId="177" fontId="14" fillId="7" borderId="1" xfId="2" applyNumberFormat="1" applyFont="1" applyFill="1" applyBorder="1" applyAlignment="1">
      <alignment horizontal="center" vertical="center"/>
    </xf>
    <xf numFmtId="177" fontId="14" fillId="8" borderId="1" xfId="2" applyNumberFormat="1" applyFont="1" applyFill="1" applyBorder="1" applyAlignment="1">
      <alignment horizontal="center" vertical="center"/>
    </xf>
    <xf numFmtId="0" fontId="12" fillId="0" borderId="0" xfId="0" applyFont="1" applyBorder="1" applyAlignment="1">
      <alignment horizontal="left"/>
    </xf>
    <xf numFmtId="0" fontId="0" fillId="0" borderId="1" xfId="0" applyBorder="1"/>
    <xf numFmtId="177" fontId="14"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4" fillId="2" borderId="1" xfId="2" applyNumberFormat="1" applyFont="1" applyFill="1" applyBorder="1" applyAlignment="1">
      <alignment horizontal="center" vertical="center"/>
    </xf>
    <xf numFmtId="178" fontId="24" fillId="2" borderId="1" xfId="2" applyNumberFormat="1" applyFont="1" applyFill="1" applyBorder="1" applyAlignment="1">
      <alignment horizontal="center" vertical="center"/>
    </xf>
    <xf numFmtId="0" fontId="14" fillId="8" borderId="1" xfId="0" applyFont="1" applyFill="1" applyBorder="1" applyAlignment="1">
      <alignment horizontal="center"/>
    </xf>
    <xf numFmtId="0" fontId="14" fillId="8" borderId="12" xfId="0" applyFont="1" applyFill="1" applyBorder="1" applyAlignment="1">
      <alignment horizontal="center"/>
    </xf>
    <xf numFmtId="176" fontId="0" fillId="0" borderId="12" xfId="0" applyNumberFormat="1" applyBorder="1"/>
    <xf numFmtId="0" fontId="6" fillId="0" borderId="1" xfId="2" applyFill="1" applyBorder="1" applyAlignment="1"/>
    <xf numFmtId="177" fontId="14" fillId="0" borderId="1" xfId="2" applyNumberFormat="1" applyFont="1" applyFill="1" applyBorder="1" applyAlignment="1">
      <alignment horizontal="center" vertical="center"/>
    </xf>
    <xf numFmtId="0" fontId="0" fillId="0" borderId="0" xfId="0" applyFill="1" applyBorder="1"/>
    <xf numFmtId="0" fontId="25" fillId="0" borderId="0" xfId="0" applyFont="1" applyFill="1"/>
    <xf numFmtId="0" fontId="26" fillId="0" borderId="0" xfId="0" applyFont="1" applyFill="1"/>
    <xf numFmtId="0" fontId="0" fillId="0" borderId="0" xfId="0" applyFill="1"/>
    <xf numFmtId="0" fontId="6" fillId="0" borderId="9" xfId="2" applyFill="1" applyBorder="1" applyAlignment="1">
      <alignment horizontal="left" vertical="top"/>
    </xf>
    <xf numFmtId="0" fontId="6" fillId="0" borderId="8" xfId="2" applyFill="1" applyBorder="1" applyAlignment="1">
      <alignment horizontal="left" vertical="top"/>
    </xf>
    <xf numFmtId="0" fontId="0" fillId="0" borderId="8" xfId="0" applyFill="1" applyBorder="1"/>
    <xf numFmtId="0" fontId="0" fillId="0" borderId="7" xfId="0" applyFill="1" applyBorder="1"/>
    <xf numFmtId="0" fontId="6" fillId="0" borderId="6" xfId="2" applyFill="1" applyBorder="1" applyAlignment="1">
      <alignment horizontal="left" vertical="top"/>
    </xf>
    <xf numFmtId="0" fontId="6" fillId="0" borderId="0" xfId="2" applyFill="1" applyBorder="1" applyAlignment="1">
      <alignment horizontal="left" vertical="top"/>
    </xf>
    <xf numFmtId="0" fontId="6"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177" fontId="14" fillId="2" borderId="13" xfId="2" applyNumberFormat="1" applyFont="1" applyFill="1" applyBorder="1" applyAlignment="1">
      <alignment horizontal="center" vertical="center"/>
    </xf>
    <xf numFmtId="0" fontId="0" fillId="0" borderId="0" xfId="0"/>
    <xf numFmtId="0" fontId="0" fillId="0" borderId="0" xfId="0" applyFill="1" applyBorder="1"/>
    <xf numFmtId="0" fontId="0" fillId="0" borderId="0" xfId="0" applyFill="1"/>
    <xf numFmtId="0" fontId="4" fillId="0" borderId="0" xfId="5" applyFill="1" applyBorder="1" applyAlignment="1">
      <alignment horizontal="left" vertical="top"/>
    </xf>
    <xf numFmtId="0" fontId="18" fillId="0" borderId="0" xfId="0" applyFont="1" applyFill="1" applyBorder="1"/>
    <xf numFmtId="0" fontId="3" fillId="0" borderId="0" xfId="5" applyFont="1" applyFill="1" applyBorder="1" applyAlignment="1">
      <alignment horizontal="left" vertical="top"/>
    </xf>
    <xf numFmtId="0" fontId="3" fillId="0" borderId="0" xfId="2" applyFont="1" applyFill="1" applyBorder="1" applyAlignment="1">
      <alignment horizontal="left" vertical="top"/>
    </xf>
    <xf numFmtId="0" fontId="26" fillId="0" borderId="0" xfId="0" applyFont="1" applyFill="1" applyBorder="1"/>
    <xf numFmtId="0" fontId="2" fillId="0" borderId="0" xfId="5" applyFont="1" applyFill="1" applyBorder="1" applyAlignment="1">
      <alignment horizontal="left" vertical="top"/>
    </xf>
    <xf numFmtId="0" fontId="1" fillId="0" borderId="0" xfId="5" applyFont="1" applyFill="1" applyBorder="1" applyAlignment="1">
      <alignment horizontal="left" vertical="top"/>
    </xf>
    <xf numFmtId="0" fontId="28" fillId="10" borderId="1" xfId="0" applyFont="1" applyFill="1" applyBorder="1" applyAlignment="1">
      <alignment horizontal="center" vertical="center"/>
    </xf>
    <xf numFmtId="0" fontId="27" fillId="10" borderId="1" xfId="0" applyFont="1" applyFill="1" applyBorder="1" applyAlignment="1">
      <alignment horizontal="center" vertical="center"/>
    </xf>
    <xf numFmtId="14" fontId="29" fillId="0" borderId="1" xfId="0" applyNumberFormat="1" applyFont="1" applyFill="1" applyBorder="1" applyAlignment="1">
      <alignment horizontal="center"/>
    </xf>
    <xf numFmtId="177" fontId="14" fillId="2" borderId="13" xfId="0" applyNumberFormat="1" applyFont="1" applyFill="1" applyBorder="1" applyAlignment="1">
      <alignment horizontal="center"/>
    </xf>
    <xf numFmtId="177" fontId="14" fillId="2" borderId="14" xfId="0" applyNumberFormat="1" applyFont="1" applyFill="1" applyBorder="1" applyAlignment="1">
      <alignment horizontal="center"/>
    </xf>
    <xf numFmtId="0" fontId="14" fillId="9" borderId="10" xfId="0" applyFont="1" applyFill="1" applyBorder="1" applyAlignment="1">
      <alignment horizontal="center" vertical="center"/>
    </xf>
    <xf numFmtId="0" fontId="14" fillId="9" borderId="16" xfId="0" applyFont="1" applyFill="1" applyBorder="1" applyAlignment="1">
      <alignment horizontal="center" vertical="center"/>
    </xf>
    <xf numFmtId="177" fontId="14" fillId="2" borderId="1" xfId="0" applyNumberFormat="1" applyFont="1" applyFill="1" applyBorder="1" applyAlignment="1">
      <alignment horizontal="center"/>
    </xf>
    <xf numFmtId="0" fontId="14" fillId="2" borderId="13" xfId="2" applyFont="1" applyFill="1" applyBorder="1" applyAlignment="1">
      <alignment horizontal="center" vertical="center"/>
    </xf>
    <xf numFmtId="0" fontId="14" fillId="2" borderId="15" xfId="2" applyFont="1" applyFill="1" applyBorder="1" applyAlignment="1">
      <alignment horizontal="center" vertical="center"/>
    </xf>
    <xf numFmtId="0" fontId="14" fillId="2" borderId="14" xfId="2" applyFont="1" applyFill="1" applyBorder="1" applyAlignment="1">
      <alignment horizontal="center" vertical="center"/>
    </xf>
    <xf numFmtId="0" fontId="8" fillId="4" borderId="1" xfId="2" applyFont="1" applyFill="1" applyBorder="1" applyAlignment="1">
      <alignment horizontal="center" vertical="center" textRotation="255"/>
    </xf>
    <xf numFmtId="0" fontId="22" fillId="6" borderId="1" xfId="2" applyFont="1" applyFill="1" applyBorder="1" applyAlignment="1">
      <alignment horizontal="center" vertical="center" textRotation="255"/>
    </xf>
    <xf numFmtId="0" fontId="21" fillId="6" borderId="1" xfId="2" applyFont="1" applyFill="1" applyBorder="1" applyAlignment="1">
      <alignment horizontal="center" vertical="center" textRotation="255"/>
    </xf>
    <xf numFmtId="0" fontId="19" fillId="2" borderId="1" xfId="2" applyFont="1" applyFill="1" applyBorder="1" applyAlignment="1">
      <alignment horizontal="center" vertical="center" textRotation="255"/>
    </xf>
    <xf numFmtId="0" fontId="14" fillId="7" borderId="0" xfId="2" applyFont="1" applyFill="1" applyAlignment="1">
      <alignment horizontal="center" vertical="center"/>
    </xf>
    <xf numFmtId="0" fontId="14" fillId="7" borderId="11" xfId="2" applyFont="1" applyFill="1" applyBorder="1" applyAlignment="1">
      <alignment horizontal="center" vertical="center"/>
    </xf>
    <xf numFmtId="0" fontId="12" fillId="0" borderId="1" xfId="0" applyFont="1" applyBorder="1" applyAlignment="1">
      <alignment horizontal="left"/>
    </xf>
  </cellXfs>
  <cellStyles count="6">
    <cellStyle name="ハイパーリンク" xfId="1" builtinId="8"/>
    <cellStyle name="標準" xfId="0" builtinId="0"/>
    <cellStyle name="標準 2" xfId="2" xr:uid="{E7ED17EE-B63A-4973-AA6B-A5CB9893BBE8}"/>
    <cellStyle name="標準 2 2" xfId="3" xr:uid="{3C49F378-DA78-4F2B-AB48-ECB52FD10D2D}"/>
    <cellStyle name="標準 2 2 2" xfId="5" xr:uid="{3B7188CE-D727-40E6-829A-F72BDADF149F}"/>
    <cellStyle name="標準 2 3" xfId="4" xr:uid="{290A925F-BE78-465F-A97B-1442B1BE0361}"/>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発生・消化曲線!$D$22:$AB$22</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発生・消化曲線!$D$18:$AB$18</c:f>
              <c:numCache>
                <c:formatCode>0_ </c:formatCode>
                <c:ptCount val="25"/>
                <c:pt idx="0">
                  <c:v>9</c:v>
                </c:pt>
                <c:pt idx="1">
                  <c:v>17</c:v>
                </c:pt>
                <c:pt idx="2">
                  <c:v>19</c:v>
                </c:pt>
                <c:pt idx="3">
                  <c:v>14</c:v>
                </c:pt>
                <c:pt idx="4">
                  <c:v>13</c:v>
                </c:pt>
                <c:pt idx="5">
                  <c:v>0</c:v>
                </c:pt>
                <c:pt idx="6">
                  <c:v>0</c:v>
                </c:pt>
                <c:pt idx="7">
                  <c:v>16</c:v>
                </c:pt>
                <c:pt idx="8">
                  <c:v>9</c:v>
                </c:pt>
                <c:pt idx="9">
                  <c:v>6</c:v>
                </c:pt>
                <c:pt idx="10">
                  <c:v>6</c:v>
                </c:pt>
                <c:pt idx="11">
                  <c:v>3</c:v>
                </c:pt>
                <c:pt idx="12">
                  <c:v>0</c:v>
                </c:pt>
                <c:pt idx="13">
                  <c:v>0</c:v>
                </c:pt>
                <c:pt idx="14">
                  <c:v>2</c:v>
                </c:pt>
                <c:pt idx="15">
                  <c:v>3</c:v>
                </c:pt>
                <c:pt idx="16">
                  <c:v>16</c:v>
                </c:pt>
                <c:pt idx="17">
                  <c:v>8</c:v>
                </c:pt>
                <c:pt idx="18">
                  <c:v>5</c:v>
                </c:pt>
                <c:pt idx="19">
                  <c:v>0</c:v>
                </c:pt>
                <c:pt idx="20">
                  <c:v>0</c:v>
                </c:pt>
                <c:pt idx="21">
                  <c:v>1</c:v>
                </c:pt>
                <c:pt idx="22">
                  <c:v>3</c:v>
                </c:pt>
                <c:pt idx="23">
                  <c:v>9</c:v>
                </c:pt>
                <c:pt idx="24">
                  <c:v>2</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val>
            <c:numRef>
              <c:f>発生・消化曲線!$D$26:$AB$26</c:f>
              <c:numCache>
                <c:formatCode>0_ </c:formatCode>
                <c:ptCount val="25"/>
                <c:pt idx="0">
                  <c:v>8</c:v>
                </c:pt>
                <c:pt idx="1">
                  <c:v>4</c:v>
                </c:pt>
                <c:pt idx="2">
                  <c:v>8</c:v>
                </c:pt>
                <c:pt idx="3">
                  <c:v>1</c:v>
                </c:pt>
                <c:pt idx="4">
                  <c:v>3</c:v>
                </c:pt>
                <c:pt idx="5">
                  <c:v>0</c:v>
                </c:pt>
                <c:pt idx="6">
                  <c:v>0</c:v>
                </c:pt>
                <c:pt idx="7">
                  <c:v>13</c:v>
                </c:pt>
                <c:pt idx="8">
                  <c:v>6</c:v>
                </c:pt>
                <c:pt idx="9">
                  <c:v>19</c:v>
                </c:pt>
                <c:pt idx="10">
                  <c:v>14</c:v>
                </c:pt>
                <c:pt idx="11">
                  <c:v>7</c:v>
                </c:pt>
                <c:pt idx="12">
                  <c:v>0</c:v>
                </c:pt>
                <c:pt idx="13">
                  <c:v>0</c:v>
                </c:pt>
                <c:pt idx="14">
                  <c:v>3</c:v>
                </c:pt>
                <c:pt idx="15">
                  <c:v>14</c:v>
                </c:pt>
                <c:pt idx="16">
                  <c:v>14</c:v>
                </c:pt>
                <c:pt idx="17">
                  <c:v>17</c:v>
                </c:pt>
                <c:pt idx="18">
                  <c:v>8</c:v>
                </c:pt>
                <c:pt idx="19">
                  <c:v>0</c:v>
                </c:pt>
                <c:pt idx="20">
                  <c:v>0</c:v>
                </c:pt>
                <c:pt idx="21">
                  <c:v>5</c:v>
                </c:pt>
                <c:pt idx="22">
                  <c:v>3</c:v>
                </c:pt>
                <c:pt idx="23">
                  <c:v>9</c:v>
                </c:pt>
                <c:pt idx="24">
                  <c:v>3</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val>
            <c:numRef>
              <c:f>発生・消化曲線!$D$19:$AB$19</c:f>
              <c:numCache>
                <c:formatCode>0_ </c:formatCode>
                <c:ptCount val="25"/>
                <c:pt idx="0">
                  <c:v>40</c:v>
                </c:pt>
                <c:pt idx="1">
                  <c:v>57</c:v>
                </c:pt>
                <c:pt idx="2">
                  <c:v>76</c:v>
                </c:pt>
                <c:pt idx="3">
                  <c:v>90</c:v>
                </c:pt>
                <c:pt idx="4">
                  <c:v>103</c:v>
                </c:pt>
                <c:pt idx="5">
                  <c:v>103</c:v>
                </c:pt>
                <c:pt idx="6">
                  <c:v>103</c:v>
                </c:pt>
                <c:pt idx="7">
                  <c:v>119</c:v>
                </c:pt>
                <c:pt idx="8">
                  <c:v>128</c:v>
                </c:pt>
                <c:pt idx="9">
                  <c:v>134</c:v>
                </c:pt>
                <c:pt idx="10">
                  <c:v>140</c:v>
                </c:pt>
                <c:pt idx="11">
                  <c:v>143</c:v>
                </c:pt>
                <c:pt idx="12">
                  <c:v>143</c:v>
                </c:pt>
                <c:pt idx="13">
                  <c:v>143</c:v>
                </c:pt>
                <c:pt idx="14">
                  <c:v>145</c:v>
                </c:pt>
                <c:pt idx="15">
                  <c:v>148</c:v>
                </c:pt>
                <c:pt idx="16">
                  <c:v>164</c:v>
                </c:pt>
                <c:pt idx="17">
                  <c:v>172</c:v>
                </c:pt>
                <c:pt idx="18">
                  <c:v>177</c:v>
                </c:pt>
                <c:pt idx="19">
                  <c:v>177</c:v>
                </c:pt>
                <c:pt idx="20">
                  <c:v>177</c:v>
                </c:pt>
                <c:pt idx="21">
                  <c:v>178</c:v>
                </c:pt>
                <c:pt idx="22">
                  <c:v>181</c:v>
                </c:pt>
                <c:pt idx="23">
                  <c:v>190</c:v>
                </c:pt>
                <c:pt idx="24">
                  <c:v>192</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発生・消化曲線!$D$22:$AB$22</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発生・消化曲線!$D$27:$AB$27</c:f>
              <c:numCache>
                <c:formatCode>0_ </c:formatCode>
                <c:ptCount val="25"/>
                <c:pt idx="0">
                  <c:v>23</c:v>
                </c:pt>
                <c:pt idx="1">
                  <c:v>27</c:v>
                </c:pt>
                <c:pt idx="2">
                  <c:v>35</c:v>
                </c:pt>
                <c:pt idx="3">
                  <c:v>36</c:v>
                </c:pt>
                <c:pt idx="4">
                  <c:v>39</c:v>
                </c:pt>
                <c:pt idx="5">
                  <c:v>39</c:v>
                </c:pt>
                <c:pt idx="6">
                  <c:v>39</c:v>
                </c:pt>
                <c:pt idx="7">
                  <c:v>52</c:v>
                </c:pt>
                <c:pt idx="8">
                  <c:v>58</c:v>
                </c:pt>
                <c:pt idx="9">
                  <c:v>77</c:v>
                </c:pt>
                <c:pt idx="10">
                  <c:v>91</c:v>
                </c:pt>
                <c:pt idx="11">
                  <c:v>98</c:v>
                </c:pt>
                <c:pt idx="12">
                  <c:v>98</c:v>
                </c:pt>
                <c:pt idx="13">
                  <c:v>98</c:v>
                </c:pt>
                <c:pt idx="14">
                  <c:v>101</c:v>
                </c:pt>
                <c:pt idx="15">
                  <c:v>115</c:v>
                </c:pt>
                <c:pt idx="16">
                  <c:v>129</c:v>
                </c:pt>
                <c:pt idx="17">
                  <c:v>146</c:v>
                </c:pt>
                <c:pt idx="18">
                  <c:v>154</c:v>
                </c:pt>
                <c:pt idx="19">
                  <c:v>154</c:v>
                </c:pt>
                <c:pt idx="20">
                  <c:v>154</c:v>
                </c:pt>
                <c:pt idx="21">
                  <c:v>159</c:v>
                </c:pt>
                <c:pt idx="22">
                  <c:v>162</c:v>
                </c:pt>
                <c:pt idx="23">
                  <c:v>171</c:v>
                </c:pt>
                <c:pt idx="24">
                  <c:v>174</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catAx>
        <c:axId val="950069487"/>
        <c:scaling>
          <c:orientation val="minMax"/>
        </c:scaling>
        <c:delete val="1"/>
        <c:axPos val="b"/>
        <c:numFmt formatCode="mm/dd" sourceLinked="1"/>
        <c:majorTickMark val="out"/>
        <c:minorTickMark val="none"/>
        <c:tickLblPos val="nextTo"/>
        <c:crossAx val="950065327"/>
        <c:crosses val="autoZero"/>
        <c:auto val="1"/>
        <c:lblAlgn val="ctr"/>
        <c:lblOffset val="100"/>
        <c:tickLblSkip val="1"/>
        <c:tickMarkSkip val="1"/>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消化原因!$D$1</c:f>
              <c:strCache>
                <c:ptCount val="1"/>
                <c:pt idx="0">
                  <c:v>合計</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消化原因!$D$2:$D$9</c15:sqref>
                  </c15:fullRef>
                </c:ext>
              </c:extLst>
              <c:f>消化原因!$D$2:$D$5</c:f>
              <c:numCache>
                <c:formatCode>0_ </c:formatCode>
                <c:ptCount val="4"/>
                <c:pt idx="0">
                  <c:v>0</c:v>
                </c:pt>
                <c:pt idx="1">
                  <c:v>4</c:v>
                </c:pt>
                <c:pt idx="2">
                  <c:v>27</c:v>
                </c:pt>
                <c:pt idx="3">
                  <c:v>126</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ステータス!$D$2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ステータス!$D$3:$D$6</c:f>
              <c:numCache>
                <c:formatCode>General</c:formatCode>
                <c:ptCount val="4"/>
                <c:pt idx="0">
                  <c:v>7</c:v>
                </c:pt>
                <c:pt idx="1">
                  <c:v>10</c:v>
                </c:pt>
                <c:pt idx="2">
                  <c:v>2</c:v>
                </c:pt>
                <c:pt idx="3">
                  <c:v>174</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D$10" spid="_x0000_s28018"/>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D$7" spid="_x0000_s28019"/>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8020"/>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101600</xdr:rowOff>
        </xdr:from>
        <xdr:to>
          <xdr:col>2</xdr:col>
          <xdr:colOff>114300</xdr:colOff>
          <xdr:row>1</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8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592" TargetMode="External"/><Relationship Id="rId21" Type="http://schemas.openxmlformats.org/officeDocument/2006/relationships/hyperlink" Target="https://sasuke-fl.backlog.com/view/SASUKE_PROJ_H8739-720" TargetMode="External"/><Relationship Id="rId42" Type="http://schemas.openxmlformats.org/officeDocument/2006/relationships/hyperlink" Target="https://sasuke-fl.backlog.com/view/SASUKE_PROJ_H8739-885" TargetMode="External"/><Relationship Id="rId63" Type="http://schemas.openxmlformats.org/officeDocument/2006/relationships/hyperlink" Target="https://sasuke-fl.backlog.com/view/SASUKE_PROJ_H8739-724" TargetMode="External"/><Relationship Id="rId84" Type="http://schemas.openxmlformats.org/officeDocument/2006/relationships/hyperlink" Target="https://sasuke-fl.backlog.com/view/SASUKE_PROJ_H8739-672" TargetMode="External"/><Relationship Id="rId138" Type="http://schemas.openxmlformats.org/officeDocument/2006/relationships/hyperlink" Target="https://sasuke-fl.backlog.com/view/SASUKE_PROJ_H8739-534" TargetMode="External"/><Relationship Id="rId159" Type="http://schemas.openxmlformats.org/officeDocument/2006/relationships/printerSettings" Target="../printerSettings/printerSettings5.bin"/><Relationship Id="rId107" Type="http://schemas.openxmlformats.org/officeDocument/2006/relationships/hyperlink" Target="https://sasuke-fl.backlog.com/view/SASUKE_PROJ_H8739-613" TargetMode="External"/><Relationship Id="rId11" Type="http://schemas.openxmlformats.org/officeDocument/2006/relationships/hyperlink" Target="https://sasuke-fl.backlog.com/view/SASUKE_PROJ_H8739-829" TargetMode="External"/><Relationship Id="rId32" Type="http://schemas.openxmlformats.org/officeDocument/2006/relationships/hyperlink" Target="https://sasuke-fl.backlog.com/view/SASUKE_PROJ_H8739-656" TargetMode="External"/><Relationship Id="rId53" Type="http://schemas.openxmlformats.org/officeDocument/2006/relationships/hyperlink" Target="https://sasuke-fl.backlog.com/view/SASUKE_PROJ_H8739-817" TargetMode="External"/><Relationship Id="rId74" Type="http://schemas.openxmlformats.org/officeDocument/2006/relationships/hyperlink" Target="https://sasuke-fl.backlog.com/view/SASUKE_PROJ_H8739-702" TargetMode="External"/><Relationship Id="rId128" Type="http://schemas.openxmlformats.org/officeDocument/2006/relationships/hyperlink" Target="https://sasuke-fl.backlog.com/view/SASUKE_PROJ_H8739-567" TargetMode="External"/><Relationship Id="rId149" Type="http://schemas.openxmlformats.org/officeDocument/2006/relationships/hyperlink" Target="https://sasuke-fl.backlog.com/view/SASUKE_PROJ_H8739-628" TargetMode="External"/><Relationship Id="rId5" Type="http://schemas.openxmlformats.org/officeDocument/2006/relationships/hyperlink" Target="https://sasuke-fl.backlog.com/view/SASUKE_PROJ_H8739-872" TargetMode="External"/><Relationship Id="rId95" Type="http://schemas.openxmlformats.org/officeDocument/2006/relationships/hyperlink" Target="https://sasuke-fl.backlog.com/view/SASUKE_PROJ_H8739-639" TargetMode="External"/><Relationship Id="rId160" Type="http://schemas.openxmlformats.org/officeDocument/2006/relationships/drawing" Target="../drawings/drawing2.xml"/><Relationship Id="rId22" Type="http://schemas.openxmlformats.org/officeDocument/2006/relationships/hyperlink" Target="https://sasuke-fl.backlog.com/view/SASUKE_PROJ_H8739-712" TargetMode="External"/><Relationship Id="rId43" Type="http://schemas.openxmlformats.org/officeDocument/2006/relationships/hyperlink" Target="https://sasuke-fl.backlog.com/view/SASUKE_PROJ_H8739-880" TargetMode="External"/><Relationship Id="rId64" Type="http://schemas.openxmlformats.org/officeDocument/2006/relationships/hyperlink" Target="https://sasuke-fl.backlog.com/view/SASUKE_PROJ_H8739-723" TargetMode="External"/><Relationship Id="rId118" Type="http://schemas.openxmlformats.org/officeDocument/2006/relationships/hyperlink" Target="https://sasuke-fl.backlog.com/view/SASUKE_PROJ_H8739-591" TargetMode="External"/><Relationship Id="rId139" Type="http://schemas.openxmlformats.org/officeDocument/2006/relationships/hyperlink" Target="https://sasuke-fl.backlog.com/view/SASUKE_PROJ_H8739-529" TargetMode="External"/><Relationship Id="rId85" Type="http://schemas.openxmlformats.org/officeDocument/2006/relationships/hyperlink" Target="https://sasuke-fl.backlog.com/view/SASUKE_PROJ_H8739-671" TargetMode="External"/><Relationship Id="rId150" Type="http://schemas.openxmlformats.org/officeDocument/2006/relationships/hyperlink" Target="https://sasuke-fl.backlog.com/view/SASUKE_PROJ_H8739-624" TargetMode="External"/><Relationship Id="rId12" Type="http://schemas.openxmlformats.org/officeDocument/2006/relationships/hyperlink" Target="https://sasuke-fl.backlog.com/view/SASUKE_PROJ_H8739-822" TargetMode="External"/><Relationship Id="rId17" Type="http://schemas.openxmlformats.org/officeDocument/2006/relationships/hyperlink" Target="https://sasuke-fl.backlog.com/view/SASUKE_PROJ_H8739-761" TargetMode="External"/><Relationship Id="rId33" Type="http://schemas.openxmlformats.org/officeDocument/2006/relationships/hyperlink" Target="https://sasuke-fl.backlog.com/view/SASUKE_PROJ_H8739-655" TargetMode="External"/><Relationship Id="rId38" Type="http://schemas.openxmlformats.org/officeDocument/2006/relationships/hyperlink" Target="https://sasuke-fl.backlog.com/view/SASUKE_PROJ_H8739-643" TargetMode="External"/><Relationship Id="rId59" Type="http://schemas.openxmlformats.org/officeDocument/2006/relationships/hyperlink" Target="https://sasuke-fl.backlog.com/view/SASUKE_PROJ_H8739-765" TargetMode="External"/><Relationship Id="rId103" Type="http://schemas.openxmlformats.org/officeDocument/2006/relationships/hyperlink" Target="https://sasuke-fl.backlog.com/view/SASUKE_PROJ_H8739-619" TargetMode="External"/><Relationship Id="rId108" Type="http://schemas.openxmlformats.org/officeDocument/2006/relationships/hyperlink" Target="https://sasuke-fl.backlog.com/view/SASUKE_PROJ_H8739-612" TargetMode="External"/><Relationship Id="rId124" Type="http://schemas.openxmlformats.org/officeDocument/2006/relationships/hyperlink" Target="https://sasuke-fl.backlog.com/view/SASUKE_PROJ_H8739-573" TargetMode="External"/><Relationship Id="rId129" Type="http://schemas.openxmlformats.org/officeDocument/2006/relationships/hyperlink" Target="https://sasuke-fl.backlog.com/view/SASUKE_PROJ_H8739-566" TargetMode="External"/><Relationship Id="rId54" Type="http://schemas.openxmlformats.org/officeDocument/2006/relationships/hyperlink" Target="https://sasuke-fl.backlog.com/view/SASUKE_PROJ_H8739-802" TargetMode="External"/><Relationship Id="rId70" Type="http://schemas.openxmlformats.org/officeDocument/2006/relationships/hyperlink" Target="https://sasuke-fl.backlog.com/view/SASUKE_PROJ_H8739-708" TargetMode="External"/><Relationship Id="rId75" Type="http://schemas.openxmlformats.org/officeDocument/2006/relationships/hyperlink" Target="https://sasuke-fl.backlog.com/view/SASUKE_PROJ_H8739-700" TargetMode="External"/><Relationship Id="rId91" Type="http://schemas.openxmlformats.org/officeDocument/2006/relationships/hyperlink" Target="https://sasuke-fl.backlog.com/view/SASUKE_PROJ_H8739-652" TargetMode="External"/><Relationship Id="rId96" Type="http://schemas.openxmlformats.org/officeDocument/2006/relationships/hyperlink" Target="https://sasuke-fl.backlog.com/view/SASUKE_PROJ_H8739-638" TargetMode="External"/><Relationship Id="rId140" Type="http://schemas.openxmlformats.org/officeDocument/2006/relationships/hyperlink" Target="https://sasuke-fl.backlog.com/view/SASUKE_PROJ_H8739-528" TargetMode="External"/><Relationship Id="rId145" Type="http://schemas.openxmlformats.org/officeDocument/2006/relationships/hyperlink" Target="https://sasuke-fl.backlog.com/view/SASUKE_PROJ_H8739-762" TargetMode="External"/><Relationship Id="rId161" Type="http://schemas.openxmlformats.org/officeDocument/2006/relationships/vmlDrawing" Target="../drawings/vmlDrawing2.vml"/><Relationship Id="rId1" Type="http://schemas.openxmlformats.org/officeDocument/2006/relationships/hyperlink" Target="https://sasuke-fl.backlog.com/view/SASUKE_PROJ_H8739-938" TargetMode="External"/><Relationship Id="rId6" Type="http://schemas.openxmlformats.org/officeDocument/2006/relationships/hyperlink" Target="https://sasuke-fl.backlog.com/view/SASUKE_PROJ_H8739-871" TargetMode="External"/><Relationship Id="rId23" Type="http://schemas.openxmlformats.org/officeDocument/2006/relationships/hyperlink" Target="https://sasuke-fl.backlog.com/view/SASUKE_PROJ_H8739-697" TargetMode="External"/><Relationship Id="rId28" Type="http://schemas.openxmlformats.org/officeDocument/2006/relationships/hyperlink" Target="https://sasuke-fl.backlog.com/view/SASUKE_PROJ_H8739-674" TargetMode="External"/><Relationship Id="rId49" Type="http://schemas.openxmlformats.org/officeDocument/2006/relationships/hyperlink" Target="https://sasuke-fl.backlog.com/view/SASUKE_PROJ_H8739-852" TargetMode="External"/><Relationship Id="rId114" Type="http://schemas.openxmlformats.org/officeDocument/2006/relationships/hyperlink" Target="https://sasuke-fl.backlog.com/view/SASUKE_PROJ_H8739-599" TargetMode="External"/><Relationship Id="rId119" Type="http://schemas.openxmlformats.org/officeDocument/2006/relationships/hyperlink" Target="https://sasuke-fl.backlog.com/view/SASUKE_PROJ_H8739-587" TargetMode="External"/><Relationship Id="rId44" Type="http://schemas.openxmlformats.org/officeDocument/2006/relationships/hyperlink" Target="https://sasuke-fl.backlog.com/view/SASUKE_PROJ_H8739-873" TargetMode="External"/><Relationship Id="rId60" Type="http://schemas.openxmlformats.org/officeDocument/2006/relationships/hyperlink" Target="https://sasuke-fl.backlog.com/view/SASUKE_PROJ_H8739-743" TargetMode="External"/><Relationship Id="rId65" Type="http://schemas.openxmlformats.org/officeDocument/2006/relationships/hyperlink" Target="https://sasuke-fl.backlog.com/view/SASUKE_PROJ_H8739-721" TargetMode="External"/><Relationship Id="rId81" Type="http://schemas.openxmlformats.org/officeDocument/2006/relationships/hyperlink" Target="https://sasuke-fl.backlog.com/view/SASUKE_PROJ_H8739-679" TargetMode="External"/><Relationship Id="rId86" Type="http://schemas.openxmlformats.org/officeDocument/2006/relationships/hyperlink" Target="https://sasuke-fl.backlog.com/view/SASUKE_PROJ_H8739-670" TargetMode="External"/><Relationship Id="rId130" Type="http://schemas.openxmlformats.org/officeDocument/2006/relationships/hyperlink" Target="https://sasuke-fl.backlog.com/view/SASUKE_PROJ_H8739-565" TargetMode="External"/><Relationship Id="rId135" Type="http://schemas.openxmlformats.org/officeDocument/2006/relationships/hyperlink" Target="https://sasuke-fl.backlog.com/view/SASUKE_PROJ_H8739-543" TargetMode="External"/><Relationship Id="rId151" Type="http://schemas.openxmlformats.org/officeDocument/2006/relationships/hyperlink" Target="https://sasuke-fl.backlog.com/view/SASUKE_PROJ_H8739-601" TargetMode="External"/><Relationship Id="rId156" Type="http://schemas.openxmlformats.org/officeDocument/2006/relationships/hyperlink" Target="https://sasuke-fl.backlog.com/view/SASUKE_PROJ_H8739-524" TargetMode="External"/><Relationship Id="rId13" Type="http://schemas.openxmlformats.org/officeDocument/2006/relationships/hyperlink" Target="https://sasuke-fl.backlog.com/view/SASUKE_PROJ_H8739-810" TargetMode="External"/><Relationship Id="rId18" Type="http://schemas.openxmlformats.org/officeDocument/2006/relationships/hyperlink" Target="https://sasuke-fl.backlog.com/view/SASUKE_PROJ_H8739-758" TargetMode="External"/><Relationship Id="rId39" Type="http://schemas.openxmlformats.org/officeDocument/2006/relationships/hyperlink" Target="https://sasuke-fl.backlog.com/view/SASUKE_PROJ_H8739-641" TargetMode="External"/><Relationship Id="rId109" Type="http://schemas.openxmlformats.org/officeDocument/2006/relationships/hyperlink" Target="https://sasuke-fl.backlog.com/view/SASUKE_PROJ_H8739-611" TargetMode="External"/><Relationship Id="rId34" Type="http://schemas.openxmlformats.org/officeDocument/2006/relationships/hyperlink" Target="https://sasuke-fl.backlog.com/view/SASUKE_PROJ_H8739-654" TargetMode="External"/><Relationship Id="rId50" Type="http://schemas.openxmlformats.org/officeDocument/2006/relationships/hyperlink" Target="https://sasuke-fl.backlog.com/view/SASUKE_PROJ_H8739-847" TargetMode="External"/><Relationship Id="rId55" Type="http://schemas.openxmlformats.org/officeDocument/2006/relationships/hyperlink" Target="https://sasuke-fl.backlog.com/view/SASUKE_PROJ_H8739-784" TargetMode="External"/><Relationship Id="rId76" Type="http://schemas.openxmlformats.org/officeDocument/2006/relationships/hyperlink" Target="https://sasuke-fl.backlog.com/view/SASUKE_PROJ_H8739-698" TargetMode="External"/><Relationship Id="rId97" Type="http://schemas.openxmlformats.org/officeDocument/2006/relationships/hyperlink" Target="https://sasuke-fl.backlog.com/view/SASUKE_PROJ_H8739-636" TargetMode="External"/><Relationship Id="rId104" Type="http://schemas.openxmlformats.org/officeDocument/2006/relationships/hyperlink" Target="https://sasuke-fl.backlog.com/view/SASUKE_PROJ_H8739-618" TargetMode="External"/><Relationship Id="rId120" Type="http://schemas.openxmlformats.org/officeDocument/2006/relationships/hyperlink" Target="https://sasuke-fl.backlog.com/view/SASUKE_PROJ_H8739-580" TargetMode="External"/><Relationship Id="rId125" Type="http://schemas.openxmlformats.org/officeDocument/2006/relationships/hyperlink" Target="https://sasuke-fl.backlog.com/view/SASUKE_PROJ_H8739-571" TargetMode="External"/><Relationship Id="rId141" Type="http://schemas.openxmlformats.org/officeDocument/2006/relationships/hyperlink" Target="https://sasuke-fl.backlog.com/view/SASUKE_PROJ_H8739-892" TargetMode="External"/><Relationship Id="rId146" Type="http://schemas.openxmlformats.org/officeDocument/2006/relationships/hyperlink" Target="https://sasuke-fl.backlog.com/view/SASUKE_PROJ_H8739-727" TargetMode="External"/><Relationship Id="rId7" Type="http://schemas.openxmlformats.org/officeDocument/2006/relationships/hyperlink" Target="https://sasuke-fl.backlog.com/view/SASUKE_PROJ_H8739-853" TargetMode="External"/><Relationship Id="rId71" Type="http://schemas.openxmlformats.org/officeDocument/2006/relationships/hyperlink" Target="https://sasuke-fl.backlog.com/view/SASUKE_PROJ_H8739-707" TargetMode="External"/><Relationship Id="rId92" Type="http://schemas.openxmlformats.org/officeDocument/2006/relationships/hyperlink" Target="https://sasuke-fl.backlog.com/view/SASUKE_PROJ_H8739-651" TargetMode="External"/><Relationship Id="rId162" Type="http://schemas.openxmlformats.org/officeDocument/2006/relationships/ctrlProp" Target="../ctrlProps/ctrlProp1.xml"/><Relationship Id="rId2" Type="http://schemas.openxmlformats.org/officeDocument/2006/relationships/hyperlink" Target="https://sasuke-fl.backlog.com/view/SASUKE_PROJ_H8739-893" TargetMode="External"/><Relationship Id="rId29" Type="http://schemas.openxmlformats.org/officeDocument/2006/relationships/hyperlink" Target="https://sasuke-fl.backlog.com/view/SASUKE_PROJ_H8739-665" TargetMode="External"/><Relationship Id="rId24" Type="http://schemas.openxmlformats.org/officeDocument/2006/relationships/hyperlink" Target="https://sasuke-fl.backlog.com/view/SASUKE_PROJ_H8739-691" TargetMode="External"/><Relationship Id="rId40" Type="http://schemas.openxmlformats.org/officeDocument/2006/relationships/hyperlink" Target="https://sasuke-fl.backlog.com/view/SASUKE_PROJ_H8739-632" TargetMode="External"/><Relationship Id="rId45" Type="http://schemas.openxmlformats.org/officeDocument/2006/relationships/hyperlink" Target="https://sasuke-fl.backlog.com/view/SASUKE_PROJ_H8739-869" TargetMode="External"/><Relationship Id="rId66" Type="http://schemas.openxmlformats.org/officeDocument/2006/relationships/hyperlink" Target="https://sasuke-fl.backlog.com/view/SASUKE_PROJ_H8739-717" TargetMode="External"/><Relationship Id="rId87" Type="http://schemas.openxmlformats.org/officeDocument/2006/relationships/hyperlink" Target="https://sasuke-fl.backlog.com/view/SASUKE_PROJ_H8739-669" TargetMode="External"/><Relationship Id="rId110" Type="http://schemas.openxmlformats.org/officeDocument/2006/relationships/hyperlink" Target="https://sasuke-fl.backlog.com/view/SASUKE_PROJ_H8739-610" TargetMode="External"/><Relationship Id="rId115" Type="http://schemas.openxmlformats.org/officeDocument/2006/relationships/hyperlink" Target="https://sasuke-fl.backlog.com/view/SASUKE_PROJ_H8739-596" TargetMode="External"/><Relationship Id="rId131" Type="http://schemas.openxmlformats.org/officeDocument/2006/relationships/hyperlink" Target="https://sasuke-fl.backlog.com/view/SASUKE_PROJ_H8739-554" TargetMode="External"/><Relationship Id="rId136" Type="http://schemas.openxmlformats.org/officeDocument/2006/relationships/hyperlink" Target="https://sasuke-fl.backlog.com/view/SASUKE_PROJ_H8739-542" TargetMode="External"/><Relationship Id="rId157" Type="http://schemas.openxmlformats.org/officeDocument/2006/relationships/hyperlink" Target="https://sasuke-fl.backlog.com/view/SASUKE_PROJ_H8739-522" TargetMode="External"/><Relationship Id="rId61" Type="http://schemas.openxmlformats.org/officeDocument/2006/relationships/hyperlink" Target="https://sasuke-fl.backlog.com/view/SASUKE_PROJ_H8739-729" TargetMode="External"/><Relationship Id="rId82" Type="http://schemas.openxmlformats.org/officeDocument/2006/relationships/hyperlink" Target="https://sasuke-fl.backlog.com/view/SASUKE_PROJ_H8739-675" TargetMode="External"/><Relationship Id="rId152" Type="http://schemas.openxmlformats.org/officeDocument/2006/relationships/hyperlink" Target="https://sasuke-fl.backlog.com/view/SASUKE_PROJ_H8739-572" TargetMode="External"/><Relationship Id="rId19" Type="http://schemas.openxmlformats.org/officeDocument/2006/relationships/hyperlink" Target="https://sasuke-fl.backlog.com/view/SASUKE_PROJ_H8739-726" TargetMode="External"/><Relationship Id="rId14" Type="http://schemas.openxmlformats.org/officeDocument/2006/relationships/hyperlink" Target="https://sasuke-fl.backlog.com/view/SASUKE_PROJ_H8739-807" TargetMode="External"/><Relationship Id="rId30" Type="http://schemas.openxmlformats.org/officeDocument/2006/relationships/hyperlink" Target="https://sasuke-fl.backlog.com/view/SASUKE_PROJ_H8739-658" TargetMode="External"/><Relationship Id="rId35" Type="http://schemas.openxmlformats.org/officeDocument/2006/relationships/hyperlink" Target="https://sasuke-fl.backlog.com/view/SASUKE_PROJ_H8739-653" TargetMode="External"/><Relationship Id="rId56" Type="http://schemas.openxmlformats.org/officeDocument/2006/relationships/hyperlink" Target="https://sasuke-fl.backlog.com/view/SASUKE_PROJ_H8739-783" TargetMode="External"/><Relationship Id="rId77" Type="http://schemas.openxmlformats.org/officeDocument/2006/relationships/hyperlink" Target="https://sasuke-fl.backlog.com/view/SASUKE_PROJ_H8739-694" TargetMode="External"/><Relationship Id="rId100" Type="http://schemas.openxmlformats.org/officeDocument/2006/relationships/hyperlink" Target="https://sasuke-fl.backlog.com/view/SASUKE_PROJ_H8739-625" TargetMode="External"/><Relationship Id="rId105" Type="http://schemas.openxmlformats.org/officeDocument/2006/relationships/hyperlink" Target="https://sasuke-fl.backlog.com/view/SASUKE_PROJ_H8739-616" TargetMode="External"/><Relationship Id="rId126" Type="http://schemas.openxmlformats.org/officeDocument/2006/relationships/hyperlink" Target="https://sasuke-fl.backlog.com/view/SASUKE_PROJ_H8739-569" TargetMode="External"/><Relationship Id="rId147" Type="http://schemas.openxmlformats.org/officeDocument/2006/relationships/hyperlink" Target="https://sasuke-fl.backlog.com/view/SASUKE_PROJ_H8739-713" TargetMode="External"/><Relationship Id="rId8" Type="http://schemas.openxmlformats.org/officeDocument/2006/relationships/hyperlink" Target="https://sasuke-fl.backlog.com/view/SASUKE_PROJ_H8739-849" TargetMode="External"/><Relationship Id="rId51" Type="http://schemas.openxmlformats.org/officeDocument/2006/relationships/hyperlink" Target="https://sasuke-fl.backlog.com/view/SASUKE_PROJ_H8739-833" TargetMode="External"/><Relationship Id="rId72" Type="http://schemas.openxmlformats.org/officeDocument/2006/relationships/hyperlink" Target="https://sasuke-fl.backlog.com/view/SASUKE_PROJ_H8739-705" TargetMode="External"/><Relationship Id="rId93" Type="http://schemas.openxmlformats.org/officeDocument/2006/relationships/hyperlink" Target="https://sasuke-fl.backlog.com/view/SASUKE_PROJ_H8739-648" TargetMode="External"/><Relationship Id="rId98" Type="http://schemas.openxmlformats.org/officeDocument/2006/relationships/hyperlink" Target="https://sasuke-fl.backlog.com/view/SASUKE_PROJ_H8739-635" TargetMode="External"/><Relationship Id="rId121" Type="http://schemas.openxmlformats.org/officeDocument/2006/relationships/hyperlink" Target="https://sasuke-fl.backlog.com/view/SASUKE_PROJ_H8739-578" TargetMode="External"/><Relationship Id="rId142" Type="http://schemas.openxmlformats.org/officeDocument/2006/relationships/hyperlink" Target="https://sasuke-fl.backlog.com/view/SASUKE_PROJ_H8739-891" TargetMode="External"/><Relationship Id="rId3" Type="http://schemas.openxmlformats.org/officeDocument/2006/relationships/hyperlink" Target="https://sasuke-fl.backlog.com/view/SASUKE_PROJ_H8739-878" TargetMode="External"/><Relationship Id="rId25" Type="http://schemas.openxmlformats.org/officeDocument/2006/relationships/hyperlink" Target="https://sasuke-fl.backlog.com/view/SASUKE_PROJ_H8739-687" TargetMode="External"/><Relationship Id="rId46" Type="http://schemas.openxmlformats.org/officeDocument/2006/relationships/hyperlink" Target="https://sasuke-fl.backlog.com/view/SASUKE_PROJ_H8739-863" TargetMode="External"/><Relationship Id="rId67" Type="http://schemas.openxmlformats.org/officeDocument/2006/relationships/hyperlink" Target="https://sasuke-fl.backlog.com/view/SASUKE_PROJ_H8739-716" TargetMode="External"/><Relationship Id="rId116" Type="http://schemas.openxmlformats.org/officeDocument/2006/relationships/hyperlink" Target="https://sasuke-fl.backlog.com/view/SASUKE_PROJ_H8739-593" TargetMode="External"/><Relationship Id="rId137" Type="http://schemas.openxmlformats.org/officeDocument/2006/relationships/hyperlink" Target="https://sasuke-fl.backlog.com/view/SASUKE_PROJ_H8739-541" TargetMode="External"/><Relationship Id="rId158" Type="http://schemas.openxmlformats.org/officeDocument/2006/relationships/hyperlink" Target="https://sasuke-fl.backlog.com/view/SASUKE_PROJ_H8739-521" TargetMode="External"/><Relationship Id="rId20" Type="http://schemas.openxmlformats.org/officeDocument/2006/relationships/hyperlink" Target="https://sasuke-fl.backlog.com/view/SASUKE_PROJ_H8739-722" TargetMode="External"/><Relationship Id="rId41" Type="http://schemas.openxmlformats.org/officeDocument/2006/relationships/hyperlink" Target="https://sasuke-fl.backlog.com/view/SASUKE_PROJ_H8739-608" TargetMode="External"/><Relationship Id="rId62" Type="http://schemas.openxmlformats.org/officeDocument/2006/relationships/hyperlink" Target="https://sasuke-fl.backlog.com/view/SASUKE_PROJ_H8739-728" TargetMode="External"/><Relationship Id="rId83" Type="http://schemas.openxmlformats.org/officeDocument/2006/relationships/hyperlink" Target="https://sasuke-fl.backlog.com/view/SASUKE_PROJ_H8739-673" TargetMode="External"/><Relationship Id="rId88" Type="http://schemas.openxmlformats.org/officeDocument/2006/relationships/hyperlink" Target="https://sasuke-fl.backlog.com/view/SASUKE_PROJ_H8739-668" TargetMode="External"/><Relationship Id="rId111" Type="http://schemas.openxmlformats.org/officeDocument/2006/relationships/hyperlink" Target="https://sasuke-fl.backlog.com/view/SASUKE_PROJ_H8739-607" TargetMode="External"/><Relationship Id="rId132" Type="http://schemas.openxmlformats.org/officeDocument/2006/relationships/hyperlink" Target="https://sasuke-fl.backlog.com/view/SASUKE_PROJ_H8739-553" TargetMode="External"/><Relationship Id="rId153" Type="http://schemas.openxmlformats.org/officeDocument/2006/relationships/hyperlink" Target="https://sasuke-fl.backlog.com/view/SASUKE_PROJ_H8739-527" TargetMode="External"/><Relationship Id="rId15" Type="http://schemas.openxmlformats.org/officeDocument/2006/relationships/hyperlink" Target="https://sasuke-fl.backlog.com/view/SASUKE_PROJ_H8739-787" TargetMode="External"/><Relationship Id="rId36" Type="http://schemas.openxmlformats.org/officeDocument/2006/relationships/hyperlink" Target="https://sasuke-fl.backlog.com/view/SASUKE_PROJ_H8739-649" TargetMode="External"/><Relationship Id="rId57" Type="http://schemas.openxmlformats.org/officeDocument/2006/relationships/hyperlink" Target="https://sasuke-fl.backlog.com/view/SASUKE_PROJ_H8739-781" TargetMode="External"/><Relationship Id="rId106" Type="http://schemas.openxmlformats.org/officeDocument/2006/relationships/hyperlink" Target="https://sasuke-fl.backlog.com/view/SASUKE_PROJ_H8739-615" TargetMode="External"/><Relationship Id="rId127" Type="http://schemas.openxmlformats.org/officeDocument/2006/relationships/hyperlink" Target="https://sasuke-fl.backlog.com/view/SASUKE_PROJ_H8739-568" TargetMode="External"/><Relationship Id="rId10" Type="http://schemas.openxmlformats.org/officeDocument/2006/relationships/hyperlink" Target="https://sasuke-fl.backlog.com/view/SASUKE_PROJ_H8739-841" TargetMode="External"/><Relationship Id="rId31" Type="http://schemas.openxmlformats.org/officeDocument/2006/relationships/hyperlink" Target="https://sasuke-fl.backlog.com/view/SASUKE_PROJ_H8739-657" TargetMode="External"/><Relationship Id="rId52" Type="http://schemas.openxmlformats.org/officeDocument/2006/relationships/hyperlink" Target="https://sasuke-fl.backlog.com/view/SASUKE_PROJ_H8739-832" TargetMode="External"/><Relationship Id="rId73" Type="http://schemas.openxmlformats.org/officeDocument/2006/relationships/hyperlink" Target="https://sasuke-fl.backlog.com/view/SASUKE_PROJ_H8739-704" TargetMode="External"/><Relationship Id="rId78" Type="http://schemas.openxmlformats.org/officeDocument/2006/relationships/hyperlink" Target="https://sasuke-fl.backlog.com/view/SASUKE_PROJ_H8739-692" TargetMode="External"/><Relationship Id="rId94" Type="http://schemas.openxmlformats.org/officeDocument/2006/relationships/hyperlink" Target="https://sasuke-fl.backlog.com/view/SASUKE_PROJ_H8739-640" TargetMode="External"/><Relationship Id="rId99" Type="http://schemas.openxmlformats.org/officeDocument/2006/relationships/hyperlink" Target="https://sasuke-fl.backlog.com/view/SASUKE_PROJ_H8739-633" TargetMode="External"/><Relationship Id="rId101" Type="http://schemas.openxmlformats.org/officeDocument/2006/relationships/hyperlink" Target="https://sasuke-fl.backlog.com/view/SASUKE_PROJ_H8739-623" TargetMode="External"/><Relationship Id="rId122" Type="http://schemas.openxmlformats.org/officeDocument/2006/relationships/hyperlink" Target="https://sasuke-fl.backlog.com/view/SASUKE_PROJ_H8739-575" TargetMode="External"/><Relationship Id="rId143" Type="http://schemas.openxmlformats.org/officeDocument/2006/relationships/hyperlink" Target="https://sasuke-fl.backlog.com/view/SASUKE_PROJ_H8739-886" TargetMode="External"/><Relationship Id="rId148" Type="http://schemas.openxmlformats.org/officeDocument/2006/relationships/hyperlink" Target="https://sasuke-fl.backlog.com/view/SASUKE_PROJ_H8739-650" TargetMode="External"/><Relationship Id="rId4" Type="http://schemas.openxmlformats.org/officeDocument/2006/relationships/hyperlink" Target="https://sasuke-fl.backlog.com/view/SASUKE_PROJ_H8739-876" TargetMode="External"/><Relationship Id="rId9" Type="http://schemas.openxmlformats.org/officeDocument/2006/relationships/hyperlink" Target="https://sasuke-fl.backlog.com/view/SASUKE_PROJ_H8739-844" TargetMode="External"/><Relationship Id="rId26" Type="http://schemas.openxmlformats.org/officeDocument/2006/relationships/hyperlink" Target="https://sasuke-fl.backlog.com/view/SASUKE_PROJ_H8739-678" TargetMode="External"/><Relationship Id="rId47" Type="http://schemas.openxmlformats.org/officeDocument/2006/relationships/hyperlink" Target="https://sasuke-fl.backlog.com/view/SASUKE_PROJ_H8739-856" TargetMode="External"/><Relationship Id="rId68" Type="http://schemas.openxmlformats.org/officeDocument/2006/relationships/hyperlink" Target="https://sasuke-fl.backlog.com/view/SASUKE_PROJ_H8739-710" TargetMode="External"/><Relationship Id="rId89" Type="http://schemas.openxmlformats.org/officeDocument/2006/relationships/hyperlink" Target="https://sasuke-fl.backlog.com/view/SASUKE_PROJ_H8739-664" TargetMode="External"/><Relationship Id="rId112" Type="http://schemas.openxmlformats.org/officeDocument/2006/relationships/hyperlink" Target="https://sasuke-fl.backlog.com/view/SASUKE_PROJ_H8739-604" TargetMode="External"/><Relationship Id="rId133" Type="http://schemas.openxmlformats.org/officeDocument/2006/relationships/hyperlink" Target="https://sasuke-fl.backlog.com/view/SASUKE_PROJ_H8739-552" TargetMode="External"/><Relationship Id="rId154" Type="http://schemas.openxmlformats.org/officeDocument/2006/relationships/hyperlink" Target="https://sasuke-fl.backlog.com/view/SASUKE_PROJ_H8739-526" TargetMode="External"/><Relationship Id="rId16" Type="http://schemas.openxmlformats.org/officeDocument/2006/relationships/hyperlink" Target="https://sasuke-fl.backlog.com/view/SASUKE_PROJ_H8739-773" TargetMode="External"/><Relationship Id="rId37" Type="http://schemas.openxmlformats.org/officeDocument/2006/relationships/hyperlink" Target="https://sasuke-fl.backlog.com/view/SASUKE_PROJ_H8739-647" TargetMode="External"/><Relationship Id="rId58" Type="http://schemas.openxmlformats.org/officeDocument/2006/relationships/hyperlink" Target="https://sasuke-fl.backlog.com/view/SASUKE_PROJ_H8739-771" TargetMode="External"/><Relationship Id="rId79" Type="http://schemas.openxmlformats.org/officeDocument/2006/relationships/hyperlink" Target="https://sasuke-fl.backlog.com/view/SASUKE_PROJ_H8739-682" TargetMode="External"/><Relationship Id="rId102" Type="http://schemas.openxmlformats.org/officeDocument/2006/relationships/hyperlink" Target="https://sasuke-fl.backlog.com/view/SASUKE_PROJ_H8739-622" TargetMode="External"/><Relationship Id="rId123" Type="http://schemas.openxmlformats.org/officeDocument/2006/relationships/hyperlink" Target="https://sasuke-fl.backlog.com/view/SASUKE_PROJ_H8739-574" TargetMode="External"/><Relationship Id="rId144" Type="http://schemas.openxmlformats.org/officeDocument/2006/relationships/hyperlink" Target="https://sasuke-fl.backlog.com/view/SASUKE_PROJ_H8739-879" TargetMode="External"/><Relationship Id="rId90" Type="http://schemas.openxmlformats.org/officeDocument/2006/relationships/hyperlink" Target="https://sasuke-fl.backlog.com/view/SASUKE_PROJ_H8739-659" TargetMode="External"/><Relationship Id="rId27" Type="http://schemas.openxmlformats.org/officeDocument/2006/relationships/hyperlink" Target="https://sasuke-fl.backlog.com/view/SASUKE_PROJ_H8739-676" TargetMode="External"/><Relationship Id="rId48" Type="http://schemas.openxmlformats.org/officeDocument/2006/relationships/hyperlink" Target="https://sasuke-fl.backlog.com/view/SASUKE_PROJ_H8739-854" TargetMode="External"/><Relationship Id="rId69" Type="http://schemas.openxmlformats.org/officeDocument/2006/relationships/hyperlink" Target="https://sasuke-fl.backlog.com/view/SASUKE_PROJ_H8739-709" TargetMode="External"/><Relationship Id="rId113" Type="http://schemas.openxmlformats.org/officeDocument/2006/relationships/hyperlink" Target="https://sasuke-fl.backlog.com/view/SASUKE_PROJ_H8739-600" TargetMode="External"/><Relationship Id="rId134" Type="http://schemas.openxmlformats.org/officeDocument/2006/relationships/hyperlink" Target="https://sasuke-fl.backlog.com/view/SASUKE_PROJ_H8739-551" TargetMode="External"/><Relationship Id="rId80" Type="http://schemas.openxmlformats.org/officeDocument/2006/relationships/hyperlink" Target="https://sasuke-fl.backlog.com/view/SASUKE_PROJ_H8739-681" TargetMode="External"/><Relationship Id="rId155" Type="http://schemas.openxmlformats.org/officeDocument/2006/relationships/hyperlink" Target="https://sasuke-fl.backlog.com/view/SASUKE_PROJ_H8739-525"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sasuke-fl.backlog.com/view/SASUKE_PROJ_H8739-877" TargetMode="External"/><Relationship Id="rId18" Type="http://schemas.openxmlformats.org/officeDocument/2006/relationships/hyperlink" Target="https://sasuke-fl.backlog.com/view/SASUKE_PROJ_H8739-905" TargetMode="External"/><Relationship Id="rId26" Type="http://schemas.openxmlformats.org/officeDocument/2006/relationships/hyperlink" Target="https://sasuke-fl.backlog.com/view/SASUKE_PROJ_H8739-857" TargetMode="External"/><Relationship Id="rId39" Type="http://schemas.openxmlformats.org/officeDocument/2006/relationships/ctrlProp" Target="../ctrlProps/ctrlProp2.xml"/><Relationship Id="rId21" Type="http://schemas.openxmlformats.org/officeDocument/2006/relationships/hyperlink" Target="https://sasuke-fl.backlog.com/view/SASUKE_PROJ_H8739-866" TargetMode="External"/><Relationship Id="rId34" Type="http://schemas.openxmlformats.org/officeDocument/2006/relationships/hyperlink" Target="https://sasuke-fl.backlog.com/view/SASUKE_PROJ_H8739-738" TargetMode="External"/><Relationship Id="rId7" Type="http://schemas.openxmlformats.org/officeDocument/2006/relationships/hyperlink" Target="https://sasuke-fl.backlog.com/view/SASUKE_PROJ_H8739-921" TargetMode="External"/><Relationship Id="rId12" Type="http://schemas.openxmlformats.org/officeDocument/2006/relationships/hyperlink" Target="https://sasuke-fl.backlog.com/view/SASUKE_PROJ_H8739-904" TargetMode="External"/><Relationship Id="rId17" Type="http://schemas.openxmlformats.org/officeDocument/2006/relationships/hyperlink" Target="https://sasuke-fl.backlog.com/view/SASUKE_PROJ_H8739-910" TargetMode="External"/><Relationship Id="rId25" Type="http://schemas.openxmlformats.org/officeDocument/2006/relationships/hyperlink" Target="https://sasuke-fl.backlog.com/view/SASUKE_PROJ_H8739-860" TargetMode="External"/><Relationship Id="rId33" Type="http://schemas.openxmlformats.org/officeDocument/2006/relationships/hyperlink" Target="https://sasuke-fl.backlog.com/view/SASUKE_PROJ_H8739-739" TargetMode="External"/><Relationship Id="rId38" Type="http://schemas.openxmlformats.org/officeDocument/2006/relationships/vmlDrawing" Target="../drawings/vmlDrawing3.vml"/><Relationship Id="rId2" Type="http://schemas.openxmlformats.org/officeDocument/2006/relationships/hyperlink" Target="https://sasuke-fl.backlog.com/view/SASUKE_PROJ_H8739-933" TargetMode="External"/><Relationship Id="rId16" Type="http://schemas.openxmlformats.org/officeDocument/2006/relationships/hyperlink" Target="https://sasuke-fl.backlog.com/view/SASUKE_PROJ_H8739-915" TargetMode="External"/><Relationship Id="rId20" Type="http://schemas.openxmlformats.org/officeDocument/2006/relationships/hyperlink" Target="https://sasuke-fl.backlog.com/view/SASUKE_PROJ_H8739-867" TargetMode="External"/><Relationship Id="rId29" Type="http://schemas.openxmlformats.org/officeDocument/2006/relationships/hyperlink" Target="https://sasuke-fl.backlog.com/view/SASUKE_PROJ_H8739-770" TargetMode="External"/><Relationship Id="rId1" Type="http://schemas.openxmlformats.org/officeDocument/2006/relationships/hyperlink" Target="https://sasuke-fl.backlog.com/view/SASUKE_PROJ_H8739-934" TargetMode="External"/><Relationship Id="rId6" Type="http://schemas.openxmlformats.org/officeDocument/2006/relationships/hyperlink" Target="https://sasuke-fl.backlog.com/view/SASUKE_PROJ_H8739-922" TargetMode="External"/><Relationship Id="rId11" Type="http://schemas.openxmlformats.org/officeDocument/2006/relationships/hyperlink" Target="https://sasuke-fl.backlog.com/view/SASUKE_PROJ_H8739-909" TargetMode="External"/><Relationship Id="rId24" Type="http://schemas.openxmlformats.org/officeDocument/2006/relationships/hyperlink" Target="https://sasuke-fl.backlog.com/view/SASUKE_PROJ_H8739-861" TargetMode="External"/><Relationship Id="rId32" Type="http://schemas.openxmlformats.org/officeDocument/2006/relationships/hyperlink" Target="https://sasuke-fl.backlog.com/view/SASUKE_PROJ_H8739-766" TargetMode="External"/><Relationship Id="rId37" Type="http://schemas.openxmlformats.org/officeDocument/2006/relationships/drawing" Target="../drawings/drawing3.xml"/><Relationship Id="rId5" Type="http://schemas.openxmlformats.org/officeDocument/2006/relationships/hyperlink" Target="https://sasuke-fl.backlog.com/view/SASUKE_PROJ_H8739-926" TargetMode="External"/><Relationship Id="rId15" Type="http://schemas.openxmlformats.org/officeDocument/2006/relationships/hyperlink" Target="https://sasuke-fl.backlog.com/view/SASUKE_PROJ_H8739-868" TargetMode="External"/><Relationship Id="rId23" Type="http://schemas.openxmlformats.org/officeDocument/2006/relationships/hyperlink" Target="https://sasuke-fl.backlog.com/view/SASUKE_PROJ_H8739-862" TargetMode="External"/><Relationship Id="rId28" Type="http://schemas.openxmlformats.org/officeDocument/2006/relationships/hyperlink" Target="https://sasuke-fl.backlog.com/view/SASUKE_PROJ_H8739-776" TargetMode="External"/><Relationship Id="rId36" Type="http://schemas.openxmlformats.org/officeDocument/2006/relationships/printerSettings" Target="../printerSettings/printerSettings6.bin"/><Relationship Id="rId10" Type="http://schemas.openxmlformats.org/officeDocument/2006/relationships/hyperlink" Target="https://sasuke-fl.backlog.com/view/SASUKE_PROJ_H8739-916" TargetMode="External"/><Relationship Id="rId19" Type="http://schemas.openxmlformats.org/officeDocument/2006/relationships/hyperlink" Target="https://sasuke-fl.backlog.com/view/SASUKE_PROJ_H8739-874" TargetMode="External"/><Relationship Id="rId31" Type="http://schemas.openxmlformats.org/officeDocument/2006/relationships/hyperlink" Target="https://sasuke-fl.backlog.com/view/SASUKE_PROJ_H8739-768" TargetMode="External"/><Relationship Id="rId4" Type="http://schemas.openxmlformats.org/officeDocument/2006/relationships/hyperlink" Target="https://sasuke-fl.backlog.com/view/SASUKE_PROJ_H8739-928" TargetMode="External"/><Relationship Id="rId9" Type="http://schemas.openxmlformats.org/officeDocument/2006/relationships/hyperlink" Target="https://sasuke-fl.backlog.com/view/SASUKE_PROJ_H8739-919" TargetMode="External"/><Relationship Id="rId14" Type="http://schemas.openxmlformats.org/officeDocument/2006/relationships/hyperlink" Target="https://sasuke-fl.backlog.com/view/SASUKE_PROJ_H8739-875" TargetMode="External"/><Relationship Id="rId22" Type="http://schemas.openxmlformats.org/officeDocument/2006/relationships/hyperlink" Target="https://sasuke-fl.backlog.com/view/SASUKE_PROJ_H8739-864" TargetMode="External"/><Relationship Id="rId27" Type="http://schemas.openxmlformats.org/officeDocument/2006/relationships/hyperlink" Target="https://sasuke-fl.backlog.com/view/SASUKE_PROJ_H8739-843" TargetMode="External"/><Relationship Id="rId30" Type="http://schemas.openxmlformats.org/officeDocument/2006/relationships/hyperlink" Target="https://sasuke-fl.backlog.com/view/SASUKE_PROJ_H8739-769" TargetMode="External"/><Relationship Id="rId35" Type="http://schemas.openxmlformats.org/officeDocument/2006/relationships/hyperlink" Target="https://sasuke-fl.backlog.com/view/SASUKE_PROJ_H8739-737" TargetMode="External"/><Relationship Id="rId8" Type="http://schemas.openxmlformats.org/officeDocument/2006/relationships/hyperlink" Target="https://sasuke-fl.backlog.com/view/SASUKE_PROJ_H8739-920" TargetMode="External"/><Relationship Id="rId3" Type="http://schemas.openxmlformats.org/officeDocument/2006/relationships/hyperlink" Target="https://sasuke-fl.backlog.com/view/SASUKE_PROJ_H8739-929"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s://sasuke-fl.backlog.com/view/SASUKE_PROJ_H8739-756" TargetMode="External"/><Relationship Id="rId7" Type="http://schemas.openxmlformats.org/officeDocument/2006/relationships/ctrlProp" Target="../ctrlProps/ctrlProp3.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90" zoomScaleNormal="85" zoomScaleSheetLayoutView="100" workbookViewId="0">
      <selection activeCell="BD26" sqref="BD26"/>
    </sheetView>
  </sheetViews>
  <sheetFormatPr baseColWidth="10" defaultColWidth="3.1640625" defaultRowHeight="18"/>
  <cols>
    <col min="1" max="1" width="1.5" style="67" customWidth="1"/>
    <col min="2" max="43" width="3.1640625" style="67"/>
    <col min="44" max="44" width="6.6640625" style="67" customWidth="1"/>
    <col min="45" max="53" width="3.1640625" style="67"/>
    <col min="54" max="54" width="3.1640625" style="67" customWidth="1"/>
    <col min="55" max="72" width="3.1640625" style="67"/>
    <col min="73" max="77" width="3.1640625" style="65"/>
    <col min="78" max="16384" width="3.1640625" style="66"/>
  </cols>
  <sheetData>
    <row r="1" spans="52:76" ht="9" customHeight="1"/>
    <row r="2" spans="52:76" ht="24" customHeight="1">
      <c r="BK2" s="91" t="s">
        <v>247</v>
      </c>
      <c r="BL2" s="92"/>
      <c r="BM2" s="92"/>
      <c r="BN2" s="92"/>
      <c r="BO2" s="93">
        <v>44231</v>
      </c>
      <c r="BP2" s="93"/>
      <c r="BQ2" s="93"/>
      <c r="BR2" s="93"/>
      <c r="BS2" s="93"/>
    </row>
    <row r="3" spans="52:76" ht="6" customHeight="1" thickBot="1"/>
    <row r="4" spans="52:76">
      <c r="AZ4" s="68" t="s">
        <v>194</v>
      </c>
      <c r="BA4" s="69"/>
      <c r="BB4" s="69"/>
      <c r="BC4" s="69"/>
      <c r="BD4" s="69"/>
      <c r="BE4" s="69"/>
      <c r="BF4" s="69"/>
      <c r="BG4" s="69"/>
      <c r="BH4" s="69"/>
      <c r="BI4" s="69"/>
      <c r="BJ4" s="69"/>
      <c r="BK4" s="69"/>
      <c r="BL4" s="70"/>
      <c r="BM4" s="70"/>
      <c r="BN4" s="70"/>
      <c r="BO4" s="70"/>
      <c r="BP4" s="70"/>
      <c r="BQ4" s="70"/>
      <c r="BR4" s="70"/>
      <c r="BS4" s="71"/>
    </row>
    <row r="5" spans="52:76">
      <c r="AZ5" s="72"/>
      <c r="BA5" s="83" t="s">
        <v>1095</v>
      </c>
      <c r="BB5" s="84"/>
      <c r="BC5" s="73"/>
      <c r="BD5" s="73"/>
      <c r="BE5" s="74"/>
      <c r="BF5" s="73"/>
      <c r="BG5" s="73"/>
      <c r="BH5" s="73"/>
      <c r="BI5" s="73"/>
      <c r="BJ5" s="73"/>
      <c r="BK5" s="73"/>
      <c r="BL5" s="64"/>
      <c r="BM5" s="64"/>
      <c r="BN5" s="64"/>
      <c r="BO5" s="64"/>
      <c r="BP5" s="64"/>
      <c r="BQ5" s="64"/>
      <c r="BR5" s="64"/>
      <c r="BS5" s="75"/>
    </row>
    <row r="6" spans="52:76">
      <c r="AZ6" s="72"/>
      <c r="BA6" s="81"/>
      <c r="BB6" s="89" t="s">
        <v>871</v>
      </c>
      <c r="BC6" s="73"/>
      <c r="BD6" s="73"/>
      <c r="BE6" s="73"/>
      <c r="BF6" s="73"/>
      <c r="BG6" s="73"/>
      <c r="BH6" s="73"/>
      <c r="BI6" s="73"/>
      <c r="BJ6" s="73"/>
      <c r="BK6" s="73"/>
      <c r="BL6" s="64"/>
      <c r="BM6" s="64"/>
      <c r="BN6" s="64"/>
      <c r="BO6" s="64"/>
      <c r="BP6" s="64"/>
      <c r="BQ6" s="64"/>
      <c r="BR6" s="64"/>
      <c r="BS6" s="75"/>
    </row>
    <row r="7" spans="52:76">
      <c r="AZ7" s="72"/>
      <c r="BA7" s="81"/>
      <c r="BB7" s="90" t="s">
        <v>1024</v>
      </c>
      <c r="BC7" s="83"/>
      <c r="BD7" s="73"/>
      <c r="BE7" s="73"/>
      <c r="BF7" s="73"/>
      <c r="BG7" s="73"/>
      <c r="BH7" s="73"/>
      <c r="BI7" s="73"/>
      <c r="BJ7" s="73"/>
      <c r="BK7" s="73"/>
      <c r="BL7" s="64"/>
      <c r="BM7" s="64"/>
      <c r="BN7" s="64"/>
      <c r="BO7" s="64"/>
      <c r="BP7" s="64"/>
      <c r="BQ7" s="64"/>
      <c r="BR7" s="64"/>
      <c r="BS7" s="75"/>
      <c r="BX7" s="87"/>
    </row>
    <row r="8" spans="52:76">
      <c r="AZ8" s="72"/>
      <c r="BA8" s="81"/>
      <c r="BB8" s="84"/>
      <c r="BC8" s="73"/>
      <c r="BD8" s="73"/>
      <c r="BE8" s="73"/>
      <c r="BF8" s="73"/>
      <c r="BG8" s="73"/>
      <c r="BH8" s="73"/>
      <c r="BI8" s="73"/>
      <c r="BJ8" s="73"/>
      <c r="BK8" s="73"/>
      <c r="BL8" s="64"/>
      <c r="BM8" s="64"/>
      <c r="BN8" s="64"/>
      <c r="BO8" s="64"/>
      <c r="BP8" s="64"/>
      <c r="BQ8" s="64"/>
      <c r="BR8" s="64"/>
      <c r="BS8" s="75"/>
    </row>
    <row r="9" spans="52:76">
      <c r="AZ9" s="72"/>
      <c r="BA9" s="67" t="s">
        <v>1096</v>
      </c>
      <c r="BE9" s="73"/>
      <c r="BF9" s="73"/>
      <c r="BG9" s="73"/>
      <c r="BH9" s="73"/>
      <c r="BI9" s="73"/>
      <c r="BJ9" s="73"/>
      <c r="BK9" s="73"/>
      <c r="BL9" s="64"/>
      <c r="BM9" s="64"/>
      <c r="BN9" s="64"/>
      <c r="BO9" s="64"/>
      <c r="BP9" s="64"/>
      <c r="BQ9" s="64"/>
      <c r="BR9" s="64"/>
      <c r="BS9" s="75"/>
    </row>
    <row r="10" spans="52:76">
      <c r="AZ10" s="72"/>
      <c r="BB10" s="83" t="s">
        <v>1097</v>
      </c>
      <c r="BE10" s="73"/>
      <c r="BF10" s="73"/>
      <c r="BG10" s="73"/>
      <c r="BH10" s="73"/>
      <c r="BI10" s="73"/>
      <c r="BJ10" s="73"/>
      <c r="BK10" s="73"/>
      <c r="BL10" s="64"/>
      <c r="BM10" s="64"/>
      <c r="BN10" s="64"/>
      <c r="BO10" s="64"/>
      <c r="BP10" s="64"/>
      <c r="BQ10" s="64"/>
      <c r="BR10" s="64"/>
      <c r="BS10" s="75"/>
    </row>
    <row r="11" spans="52:76">
      <c r="AZ11" s="72"/>
      <c r="BB11" s="83" t="s">
        <v>1098</v>
      </c>
      <c r="BE11" s="73"/>
      <c r="BF11" s="73"/>
      <c r="BG11" s="73"/>
      <c r="BH11" s="73"/>
      <c r="BI11" s="73"/>
      <c r="BJ11" s="73"/>
      <c r="BK11" s="73"/>
      <c r="BL11" s="64"/>
      <c r="BM11" s="64"/>
      <c r="BN11" s="64"/>
      <c r="BO11" s="64"/>
      <c r="BP11" s="64"/>
      <c r="BQ11" s="64"/>
      <c r="BR11" s="64"/>
      <c r="BS11" s="75"/>
    </row>
    <row r="12" spans="52:76">
      <c r="AZ12" s="72"/>
      <c r="BB12" s="83" t="s">
        <v>1099</v>
      </c>
      <c r="BE12" s="73"/>
      <c r="BF12" s="73"/>
      <c r="BG12" s="73"/>
      <c r="BH12" s="73"/>
      <c r="BI12" s="73"/>
      <c r="BJ12" s="73"/>
      <c r="BK12" s="73"/>
      <c r="BL12" s="64"/>
      <c r="BM12" s="64"/>
      <c r="BN12" s="64"/>
      <c r="BO12" s="64"/>
      <c r="BP12" s="64"/>
      <c r="BQ12" s="64"/>
      <c r="BR12" s="64"/>
      <c r="BS12" s="75"/>
    </row>
    <row r="13" spans="52:76">
      <c r="AZ13" s="72"/>
      <c r="BE13" s="73"/>
      <c r="BF13" s="73"/>
      <c r="BG13" s="73"/>
      <c r="BH13" s="73"/>
      <c r="BI13" s="73"/>
      <c r="BJ13" s="73"/>
      <c r="BK13" s="73"/>
      <c r="BL13" s="64"/>
      <c r="BM13" s="64"/>
      <c r="BN13" s="64"/>
      <c r="BO13" s="64"/>
      <c r="BP13" s="64"/>
      <c r="BQ13" s="64"/>
      <c r="BR13" s="64"/>
      <c r="BS13" s="75"/>
    </row>
    <row r="14" spans="52:76">
      <c r="AZ14" s="72"/>
      <c r="BA14" s="81" t="s">
        <v>872</v>
      </c>
      <c r="BB14" s="86"/>
      <c r="BE14" s="73"/>
      <c r="BF14" s="73"/>
      <c r="BG14" s="73"/>
      <c r="BH14" s="73"/>
      <c r="BI14" s="73"/>
      <c r="BJ14" s="73"/>
      <c r="BK14" s="73"/>
      <c r="BL14" s="64"/>
      <c r="BM14" s="64"/>
      <c r="BN14" s="64"/>
      <c r="BO14" s="64"/>
      <c r="BP14" s="64"/>
      <c r="BQ14" s="64"/>
      <c r="BR14" s="64"/>
      <c r="BS14" s="75"/>
    </row>
    <row r="15" spans="52:76">
      <c r="AZ15" s="72"/>
      <c r="BA15" s="83" t="s">
        <v>1025</v>
      </c>
      <c r="BB15" s="87"/>
      <c r="BE15" s="73"/>
      <c r="BF15" s="73"/>
      <c r="BG15" s="73"/>
      <c r="BH15" s="73"/>
      <c r="BI15" s="73"/>
      <c r="BJ15" s="73"/>
      <c r="BK15" s="73"/>
      <c r="BL15" s="64"/>
      <c r="BM15" s="64"/>
      <c r="BN15" s="64"/>
      <c r="BO15" s="64"/>
      <c r="BP15" s="64"/>
      <c r="BQ15" s="64"/>
      <c r="BR15" s="64"/>
      <c r="BS15" s="75"/>
    </row>
    <row r="16" spans="52:76">
      <c r="AZ16" s="76"/>
      <c r="BA16" s="83"/>
      <c r="BB16" s="87" t="s">
        <v>873</v>
      </c>
      <c r="BC16" s="83"/>
      <c r="BD16" s="82"/>
      <c r="BE16" s="82"/>
      <c r="BF16" s="64"/>
      <c r="BG16" s="64"/>
      <c r="BH16" s="64"/>
      <c r="BI16" s="64"/>
      <c r="BJ16" s="64"/>
      <c r="BK16" s="64"/>
      <c r="BL16" s="64"/>
      <c r="BM16" s="64"/>
      <c r="BN16" s="64"/>
      <c r="BO16" s="64"/>
      <c r="BP16" s="64"/>
      <c r="BQ16" s="64"/>
      <c r="BR16" s="64"/>
      <c r="BS16" s="75"/>
    </row>
    <row r="17" spans="52:72">
      <c r="AZ17" s="76"/>
      <c r="BA17" s="86"/>
      <c r="BB17" s="84"/>
      <c r="BC17" s="83"/>
      <c r="BD17" s="83"/>
      <c r="BE17" s="83"/>
      <c r="BJ17" s="64"/>
      <c r="BK17" s="64"/>
      <c r="BL17" s="64"/>
      <c r="BM17" s="64"/>
      <c r="BN17" s="64"/>
      <c r="BO17" s="64"/>
      <c r="BP17" s="64"/>
      <c r="BQ17" s="64"/>
      <c r="BR17" s="64"/>
      <c r="BS17" s="75"/>
      <c r="BT17" s="64"/>
    </row>
    <row r="18" spans="52:72">
      <c r="AZ18" s="76"/>
      <c r="BA18" s="83" t="s">
        <v>1026</v>
      </c>
      <c r="BB18" s="83"/>
      <c r="BC18" s="87"/>
      <c r="BD18" s="73"/>
      <c r="BJ18" s="64"/>
      <c r="BK18" s="64"/>
      <c r="BL18" s="64"/>
      <c r="BM18" s="64"/>
      <c r="BN18" s="64"/>
      <c r="BO18" s="64"/>
      <c r="BP18" s="64"/>
      <c r="BQ18" s="64"/>
      <c r="BS18" s="75"/>
    </row>
    <row r="19" spans="52:72">
      <c r="AZ19" s="76"/>
      <c r="BA19" s="83"/>
      <c r="BB19" s="83" t="s">
        <v>1027</v>
      </c>
      <c r="BC19" s="73"/>
      <c r="BD19" s="73"/>
      <c r="BJ19" s="64"/>
      <c r="BK19" s="64"/>
      <c r="BL19" s="64"/>
      <c r="BM19" s="64"/>
      <c r="BN19" s="64"/>
      <c r="BO19" s="64"/>
      <c r="BP19" s="64"/>
      <c r="BQ19" s="64"/>
      <c r="BR19" s="64"/>
      <c r="BS19" s="75"/>
    </row>
    <row r="20" spans="52:72">
      <c r="AZ20" s="76"/>
      <c r="BA20" s="83"/>
      <c r="BB20" s="83" t="s">
        <v>1094</v>
      </c>
      <c r="BC20" s="83"/>
      <c r="BD20" s="73"/>
      <c r="BJ20" s="64"/>
      <c r="BK20" s="64"/>
      <c r="BL20" s="64"/>
      <c r="BM20" s="64"/>
      <c r="BN20" s="64"/>
      <c r="BO20" s="64"/>
      <c r="BP20" s="64"/>
      <c r="BQ20" s="64"/>
      <c r="BR20" s="64"/>
      <c r="BS20" s="75"/>
    </row>
    <row r="21" spans="52:72">
      <c r="AZ21" s="76"/>
      <c r="BC21" s="83"/>
      <c r="BD21" s="73"/>
      <c r="BJ21" s="64"/>
      <c r="BK21" s="64"/>
      <c r="BL21" s="64"/>
      <c r="BM21" s="64"/>
      <c r="BN21" s="64"/>
      <c r="BO21" s="64"/>
      <c r="BP21" s="64"/>
      <c r="BQ21" s="64"/>
      <c r="BR21" s="64"/>
      <c r="BS21" s="75"/>
    </row>
    <row r="22" spans="52:72">
      <c r="AZ22" s="76"/>
      <c r="BC22" s="83"/>
      <c r="BD22" s="73"/>
      <c r="BE22" s="64"/>
      <c r="BF22" s="64"/>
      <c r="BG22" s="64"/>
      <c r="BH22" s="64"/>
      <c r="BI22" s="64"/>
      <c r="BJ22" s="64"/>
      <c r="BK22" s="64"/>
      <c r="BL22" s="64"/>
      <c r="BM22" s="64"/>
      <c r="BN22" s="64"/>
      <c r="BO22" s="64"/>
      <c r="BP22" s="64"/>
      <c r="BQ22" s="64"/>
      <c r="BR22" s="64"/>
      <c r="BS22" s="75"/>
    </row>
    <row r="23" spans="52:72">
      <c r="AZ23" s="76"/>
      <c r="BA23" s="67" t="s">
        <v>1100</v>
      </c>
      <c r="BC23" s="83"/>
      <c r="BD23" s="73"/>
      <c r="BE23" s="64"/>
      <c r="BF23" s="64"/>
      <c r="BG23" s="64"/>
      <c r="BH23" s="64"/>
      <c r="BI23" s="64"/>
      <c r="BJ23" s="64"/>
      <c r="BK23" s="64"/>
      <c r="BL23" s="64"/>
      <c r="BM23" s="64"/>
      <c r="BN23" s="64"/>
      <c r="BO23" s="64"/>
      <c r="BP23" s="64"/>
      <c r="BQ23" s="64"/>
      <c r="BR23" s="64"/>
      <c r="BS23" s="75"/>
    </row>
    <row r="24" spans="52:72">
      <c r="AZ24" s="76"/>
      <c r="BC24" s="83"/>
      <c r="BD24" s="73"/>
      <c r="BE24" s="64"/>
      <c r="BF24" s="64"/>
      <c r="BG24" s="64"/>
      <c r="BH24" s="64"/>
      <c r="BI24" s="64"/>
      <c r="BJ24" s="64"/>
      <c r="BK24" s="64"/>
      <c r="BL24" s="64"/>
      <c r="BM24" s="64"/>
      <c r="BN24" s="64"/>
      <c r="BO24" s="64"/>
      <c r="BP24" s="64"/>
      <c r="BQ24" s="64"/>
      <c r="BR24" s="64"/>
      <c r="BS24" s="75"/>
    </row>
    <row r="25" spans="52:72">
      <c r="AZ25" s="76"/>
      <c r="BC25" s="86"/>
      <c r="BD25" s="64"/>
      <c r="BE25" s="64"/>
      <c r="BF25" s="64"/>
      <c r="BG25" s="64"/>
      <c r="BH25" s="64"/>
      <c r="BI25" s="64"/>
      <c r="BJ25" s="64"/>
      <c r="BK25" s="64"/>
      <c r="BL25" s="64"/>
      <c r="BM25" s="64"/>
      <c r="BN25" s="64"/>
      <c r="BO25" s="64"/>
      <c r="BP25" s="64"/>
      <c r="BQ25" s="64"/>
      <c r="BR25" s="64"/>
      <c r="BS25" s="75"/>
    </row>
    <row r="26" spans="52:72">
      <c r="AZ26" s="76"/>
      <c r="BD26" s="64"/>
      <c r="BE26" s="64"/>
      <c r="BF26" s="64"/>
      <c r="BG26" s="64"/>
      <c r="BH26" s="64"/>
      <c r="BI26" s="64"/>
      <c r="BJ26" s="64"/>
      <c r="BK26" s="64"/>
      <c r="BL26" s="64"/>
      <c r="BM26" s="64"/>
      <c r="BN26" s="64"/>
      <c r="BO26" s="64"/>
      <c r="BP26" s="64"/>
      <c r="BQ26" s="64"/>
      <c r="BR26" s="64"/>
      <c r="BS26" s="75"/>
    </row>
    <row r="27" spans="52:72">
      <c r="AZ27" s="76"/>
      <c r="BA27" s="86"/>
      <c r="BB27" s="84"/>
      <c r="BC27" s="64"/>
      <c r="BD27" s="64"/>
      <c r="BE27" s="64"/>
      <c r="BF27" s="64"/>
      <c r="BG27" s="64"/>
      <c r="BH27" s="64"/>
      <c r="BI27" s="64"/>
      <c r="BJ27" s="64"/>
      <c r="BK27" s="64"/>
      <c r="BL27" s="64"/>
      <c r="BM27" s="64"/>
      <c r="BN27" s="64"/>
      <c r="BO27" s="64"/>
      <c r="BP27" s="64"/>
      <c r="BQ27" s="64"/>
      <c r="BR27" s="64"/>
      <c r="BS27" s="75"/>
    </row>
    <row r="28" spans="52:72">
      <c r="AZ28" s="76"/>
      <c r="BA28" s="81"/>
      <c r="BB28" s="85"/>
      <c r="BC28" s="64"/>
      <c r="BD28" s="64"/>
      <c r="BE28" s="64"/>
      <c r="BF28" s="64"/>
      <c r="BG28" s="64"/>
      <c r="BH28" s="64"/>
      <c r="BI28" s="64"/>
      <c r="BJ28" s="64"/>
      <c r="BK28" s="64"/>
      <c r="BL28" s="64"/>
      <c r="BM28" s="64"/>
      <c r="BN28" s="64"/>
      <c r="BO28" s="64"/>
      <c r="BP28" s="64"/>
      <c r="BQ28" s="64"/>
      <c r="BR28" s="64"/>
      <c r="BS28" s="75"/>
    </row>
    <row r="29" spans="52:72">
      <c r="AZ29" s="76"/>
      <c r="BA29" s="81"/>
      <c r="BB29" s="82"/>
      <c r="BD29" s="64"/>
      <c r="BE29" s="64"/>
      <c r="BF29" s="64"/>
      <c r="BG29" s="64"/>
      <c r="BH29" s="64"/>
      <c r="BI29" s="64"/>
      <c r="BJ29" s="64"/>
      <c r="BK29" s="64"/>
      <c r="BL29" s="64"/>
      <c r="BM29" s="64"/>
      <c r="BN29" s="64"/>
      <c r="BO29" s="64"/>
      <c r="BP29" s="64"/>
      <c r="BQ29" s="64"/>
      <c r="BR29" s="64"/>
      <c r="BS29" s="75"/>
    </row>
    <row r="30" spans="52:72">
      <c r="AZ30" s="76"/>
      <c r="BA30" s="84"/>
      <c r="BB30" s="82"/>
      <c r="BD30" s="64"/>
      <c r="BE30" s="64"/>
      <c r="BF30" s="64"/>
      <c r="BG30" s="64"/>
      <c r="BH30" s="64"/>
      <c r="BI30" s="64"/>
      <c r="BJ30" s="64"/>
      <c r="BK30" s="64"/>
      <c r="BL30" s="64"/>
      <c r="BM30" s="64"/>
      <c r="BN30" s="64"/>
      <c r="BO30" s="64"/>
      <c r="BP30" s="64"/>
      <c r="BQ30" s="64"/>
      <c r="BR30" s="64"/>
      <c r="BS30" s="75"/>
    </row>
    <row r="31" spans="52:72">
      <c r="AZ31" s="76"/>
      <c r="BA31" s="81"/>
      <c r="BB31" s="88"/>
      <c r="BD31" s="64"/>
      <c r="BE31" s="64"/>
      <c r="BF31" s="64"/>
      <c r="BG31" s="64"/>
      <c r="BH31" s="64"/>
      <c r="BI31" s="64"/>
      <c r="BJ31" s="64"/>
      <c r="BK31" s="64"/>
      <c r="BL31" s="64"/>
      <c r="BM31" s="64"/>
      <c r="BN31" s="64"/>
      <c r="BO31" s="64"/>
      <c r="BP31" s="64"/>
      <c r="BQ31" s="64"/>
      <c r="BR31" s="64"/>
      <c r="BS31" s="75"/>
    </row>
    <row r="32" spans="52:72">
      <c r="AZ32" s="76"/>
      <c r="BC32" s="64"/>
      <c r="BD32" s="64"/>
      <c r="BE32" s="64"/>
      <c r="BF32" s="64"/>
      <c r="BG32" s="64"/>
      <c r="BH32" s="64"/>
      <c r="BI32" s="64"/>
      <c r="BJ32" s="64"/>
      <c r="BK32" s="64"/>
      <c r="BL32" s="64"/>
      <c r="BM32" s="64"/>
      <c r="BN32" s="64"/>
      <c r="BO32" s="64"/>
      <c r="BP32" s="64"/>
      <c r="BQ32" s="64"/>
      <c r="BR32" s="64"/>
      <c r="BS32" s="75"/>
    </row>
    <row r="33" spans="52:71" ht="19" thickBot="1">
      <c r="AZ33" s="77"/>
      <c r="BA33" s="78"/>
      <c r="BB33" s="78"/>
      <c r="BC33" s="78"/>
      <c r="BD33" s="78"/>
      <c r="BE33" s="78"/>
      <c r="BF33" s="78"/>
      <c r="BG33" s="78"/>
      <c r="BH33" s="78"/>
      <c r="BI33" s="78"/>
      <c r="BJ33" s="78"/>
      <c r="BK33" s="78"/>
      <c r="BL33" s="78"/>
      <c r="BM33" s="78"/>
      <c r="BN33" s="78"/>
      <c r="BO33" s="78"/>
      <c r="BP33" s="78"/>
      <c r="BQ33" s="78"/>
      <c r="BR33" s="78"/>
      <c r="BS33" s="79"/>
    </row>
    <row r="50" spans="2:16">
      <c r="B50" s="73"/>
      <c r="C50" s="73"/>
      <c r="D50" s="73"/>
      <c r="E50" s="73"/>
      <c r="F50" s="73"/>
      <c r="G50" s="73"/>
      <c r="H50" s="73"/>
      <c r="I50" s="73"/>
      <c r="J50" s="73"/>
      <c r="K50" s="73"/>
      <c r="L50" s="73"/>
      <c r="M50" s="73"/>
      <c r="N50" s="73"/>
      <c r="O50" s="73"/>
      <c r="P50" s="73"/>
    </row>
    <row r="51" spans="2:16">
      <c r="B51" s="73"/>
      <c r="C51" s="73"/>
      <c r="D51" s="73"/>
      <c r="E51" s="73"/>
      <c r="F51" s="73"/>
      <c r="G51" s="73"/>
      <c r="H51" s="73"/>
      <c r="I51" s="73"/>
      <c r="J51" s="73"/>
      <c r="K51" s="73"/>
      <c r="L51" s="73"/>
      <c r="M51" s="73"/>
      <c r="N51" s="73"/>
      <c r="O51" s="73"/>
      <c r="P51" s="73"/>
    </row>
    <row r="52" spans="2:16">
      <c r="B52" s="73"/>
      <c r="C52" s="73"/>
      <c r="D52" s="73"/>
      <c r="E52" s="73"/>
      <c r="F52" s="73"/>
      <c r="G52" s="73"/>
      <c r="H52" s="73"/>
      <c r="I52" s="73"/>
      <c r="J52" s="73"/>
      <c r="K52" s="73"/>
      <c r="L52" s="73"/>
      <c r="M52" s="73"/>
      <c r="N52" s="73"/>
      <c r="O52" s="73"/>
      <c r="P52" s="73"/>
    </row>
    <row r="53" spans="2:16">
      <c r="B53" s="73"/>
      <c r="C53" s="73"/>
      <c r="D53" s="73"/>
      <c r="E53" s="73"/>
      <c r="F53" s="73"/>
      <c r="G53" s="73"/>
      <c r="H53" s="73"/>
      <c r="I53" s="73"/>
      <c r="J53" s="73"/>
      <c r="K53" s="73"/>
      <c r="L53" s="73"/>
      <c r="M53" s="73"/>
      <c r="N53" s="73"/>
      <c r="O53" s="73"/>
      <c r="P53" s="73"/>
    </row>
    <row r="54" spans="2:16">
      <c r="B54" s="73"/>
      <c r="C54" s="73"/>
      <c r="D54" s="73"/>
      <c r="E54" s="73"/>
      <c r="F54" s="73"/>
      <c r="G54" s="73"/>
      <c r="H54" s="73"/>
      <c r="I54" s="73"/>
      <c r="J54" s="73"/>
      <c r="K54" s="73"/>
      <c r="L54" s="73"/>
      <c r="M54" s="73"/>
      <c r="N54" s="73"/>
      <c r="O54" s="73"/>
      <c r="P54" s="73"/>
    </row>
    <row r="55" spans="2:16">
      <c r="B55" s="73"/>
      <c r="C55" s="73"/>
      <c r="D55" s="73"/>
      <c r="E55" s="73"/>
      <c r="F55" s="73"/>
      <c r="G55" s="73"/>
      <c r="H55" s="73"/>
      <c r="I55" s="73"/>
      <c r="J55" s="73"/>
      <c r="K55" s="73"/>
      <c r="L55" s="73"/>
      <c r="M55" s="73"/>
      <c r="N55" s="73"/>
      <c r="O55" s="73"/>
      <c r="P55" s="73"/>
    </row>
    <row r="56" spans="2:16">
      <c r="B56" s="73"/>
      <c r="C56" s="73"/>
      <c r="D56" s="73"/>
      <c r="E56" s="73"/>
      <c r="F56" s="73"/>
      <c r="G56" s="73"/>
      <c r="H56" s="73"/>
      <c r="I56" s="73"/>
      <c r="J56" s="73"/>
      <c r="K56" s="73"/>
      <c r="L56" s="73"/>
      <c r="M56" s="73"/>
      <c r="N56" s="73"/>
      <c r="O56" s="73"/>
      <c r="P56" s="73"/>
    </row>
    <row r="57" spans="2:16">
      <c r="B57" s="73"/>
      <c r="C57" s="73"/>
      <c r="D57" s="73"/>
      <c r="E57" s="73"/>
      <c r="F57" s="73"/>
      <c r="G57" s="73"/>
      <c r="H57" s="73"/>
      <c r="I57" s="73"/>
      <c r="J57" s="73"/>
      <c r="K57" s="73"/>
      <c r="L57" s="73"/>
      <c r="M57" s="73"/>
      <c r="N57" s="73"/>
      <c r="O57" s="73"/>
      <c r="P57" s="73"/>
    </row>
    <row r="58" spans="2:16">
      <c r="B58" s="73"/>
      <c r="C58" s="73"/>
      <c r="D58" s="73"/>
      <c r="E58" s="73"/>
      <c r="F58" s="73"/>
      <c r="G58" s="73"/>
      <c r="H58" s="73"/>
      <c r="I58" s="73"/>
      <c r="J58" s="73"/>
      <c r="K58" s="73"/>
      <c r="L58" s="73"/>
      <c r="M58" s="73"/>
      <c r="N58" s="73"/>
      <c r="O58" s="73"/>
      <c r="P58" s="73"/>
    </row>
  </sheetData>
  <mergeCells count="2">
    <mergeCell ref="BK2:BN2"/>
    <mergeCell ref="BO2:BS2"/>
  </mergeCells>
  <phoneticPr fontId="7"/>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BA27"/>
  <sheetViews>
    <sheetView workbookViewId="0">
      <selection activeCell="AB16" sqref="AB16"/>
    </sheetView>
  </sheetViews>
  <sheetFormatPr baseColWidth="10" defaultColWidth="8.83203125" defaultRowHeight="18"/>
  <cols>
    <col min="1" max="1" width="11.1640625" customWidth="1"/>
    <col min="2" max="2" width="6.6640625" customWidth="1"/>
    <col min="3" max="3" width="7.6640625" customWidth="1"/>
    <col min="4" max="53" width="6.1640625" customWidth="1"/>
  </cols>
  <sheetData>
    <row r="1" spans="1:53">
      <c r="A1" t="s">
        <v>234</v>
      </c>
    </row>
    <row r="2" spans="1:53">
      <c r="A2" s="94">
        <f>報告用!BO2</f>
        <v>44231</v>
      </c>
      <c r="B2" s="95"/>
    </row>
    <row r="3" spans="1:53">
      <c r="A3" s="53" t="s">
        <v>229</v>
      </c>
      <c r="B3" s="53">
        <f>HLOOKUP(発生・消化曲線!A2,発生・消化曲線!$D$14:$BA$19,5)</f>
        <v>2</v>
      </c>
    </row>
    <row r="4" spans="1:53">
      <c r="A4" s="53" t="s">
        <v>211</v>
      </c>
      <c r="B4" s="53">
        <f>HLOOKUP(A2,発生・消化曲線!$D$22:$BA$27,5)</f>
        <v>3</v>
      </c>
    </row>
    <row r="5" spans="1:53">
      <c r="A5" s="55" t="s">
        <v>237</v>
      </c>
      <c r="B5" s="53">
        <f>(B3-B4)</f>
        <v>-1</v>
      </c>
    </row>
    <row r="7" spans="1:53">
      <c r="A7" t="s">
        <v>238</v>
      </c>
    </row>
    <row r="8" spans="1:53">
      <c r="A8" s="98" t="s">
        <v>239</v>
      </c>
      <c r="B8" s="98"/>
    </row>
    <row r="9" spans="1:53">
      <c r="A9" s="53" t="s">
        <v>229</v>
      </c>
      <c r="B9" s="56">
        <f>SUM(K18:BA18)</f>
        <v>89</v>
      </c>
    </row>
    <row r="10" spans="1:53">
      <c r="A10" s="53" t="s">
        <v>211</v>
      </c>
      <c r="B10" s="56">
        <f>SUM(K26:BA26)</f>
        <v>135</v>
      </c>
    </row>
    <row r="13" spans="1:53">
      <c r="A13" t="s">
        <v>227</v>
      </c>
      <c r="AB13" t="s">
        <v>1028</v>
      </c>
    </row>
    <row r="14" spans="1:53">
      <c r="A14" s="96" t="s">
        <v>235</v>
      </c>
      <c r="B14" s="54" t="s">
        <v>226</v>
      </c>
      <c r="C14" s="54" t="s">
        <v>228</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c r="AC14" s="57">
        <v>44232</v>
      </c>
      <c r="AD14" s="57">
        <v>44233</v>
      </c>
      <c r="AE14" s="57">
        <v>44234</v>
      </c>
      <c r="AF14" s="57">
        <v>44235</v>
      </c>
      <c r="AG14" s="57">
        <v>44236</v>
      </c>
      <c r="AH14" s="57">
        <v>44237</v>
      </c>
      <c r="AI14" s="57">
        <v>44238</v>
      </c>
      <c r="AJ14" s="57">
        <v>44239</v>
      </c>
      <c r="AK14" s="57">
        <v>44240</v>
      </c>
      <c r="AL14" s="57">
        <v>44241</v>
      </c>
      <c r="AM14" s="57">
        <v>44242</v>
      </c>
      <c r="AN14" s="57">
        <v>44243</v>
      </c>
      <c r="AO14" s="57">
        <v>44244</v>
      </c>
      <c r="AP14" s="57">
        <v>44245</v>
      </c>
      <c r="AQ14" s="57">
        <v>44246</v>
      </c>
      <c r="AR14" s="57">
        <v>44247</v>
      </c>
      <c r="AS14" s="57">
        <v>44248</v>
      </c>
      <c r="AT14" s="57">
        <v>44249</v>
      </c>
      <c r="AU14" s="57">
        <v>44250</v>
      </c>
      <c r="AV14" s="57">
        <v>44251</v>
      </c>
      <c r="AW14" s="57">
        <v>44252</v>
      </c>
      <c r="AX14" s="57">
        <v>44253</v>
      </c>
      <c r="AY14" s="57">
        <v>44254</v>
      </c>
      <c r="AZ14" s="57">
        <v>44255</v>
      </c>
      <c r="BA14" s="57">
        <v>44256</v>
      </c>
    </row>
    <row r="15" spans="1:53">
      <c r="A15" s="97"/>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c r="AC15" s="58">
        <f t="shared" ref="AC15:AV15" si="1">AC14</f>
        <v>44232</v>
      </c>
      <c r="AD15" s="58">
        <f t="shared" si="1"/>
        <v>44233</v>
      </c>
      <c r="AE15" s="58">
        <f t="shared" si="1"/>
        <v>44234</v>
      </c>
      <c r="AF15" s="58">
        <f t="shared" si="1"/>
        <v>44235</v>
      </c>
      <c r="AG15" s="58">
        <f t="shared" si="1"/>
        <v>44236</v>
      </c>
      <c r="AH15" s="58">
        <f t="shared" si="1"/>
        <v>44237</v>
      </c>
      <c r="AI15" s="58">
        <f t="shared" si="1"/>
        <v>44238</v>
      </c>
      <c r="AJ15" s="58">
        <f t="shared" si="1"/>
        <v>44239</v>
      </c>
      <c r="AK15" s="58">
        <f t="shared" si="1"/>
        <v>44240</v>
      </c>
      <c r="AL15" s="58">
        <f t="shared" si="1"/>
        <v>44241</v>
      </c>
      <c r="AM15" s="58">
        <f t="shared" si="1"/>
        <v>44242</v>
      </c>
      <c r="AN15" s="58">
        <f t="shared" si="1"/>
        <v>44243</v>
      </c>
      <c r="AO15" s="58">
        <f t="shared" si="1"/>
        <v>44244</v>
      </c>
      <c r="AP15" s="58">
        <f t="shared" si="1"/>
        <v>44245</v>
      </c>
      <c r="AQ15" s="58">
        <f t="shared" si="1"/>
        <v>44246</v>
      </c>
      <c r="AR15" s="58">
        <f t="shared" si="1"/>
        <v>44247</v>
      </c>
      <c r="AS15" s="58">
        <f t="shared" si="1"/>
        <v>44248</v>
      </c>
      <c r="AT15" s="58">
        <f t="shared" si="1"/>
        <v>44249</v>
      </c>
      <c r="AU15" s="58">
        <f t="shared" si="1"/>
        <v>44250</v>
      </c>
      <c r="AV15" s="58">
        <f t="shared" si="1"/>
        <v>44251</v>
      </c>
      <c r="AW15" s="58">
        <f t="shared" ref="AW15:BA15" si="2">AW14</f>
        <v>44252</v>
      </c>
      <c r="AX15" s="58">
        <f t="shared" si="2"/>
        <v>44253</v>
      </c>
      <c r="AY15" s="58">
        <f t="shared" si="2"/>
        <v>44254</v>
      </c>
      <c r="AZ15" s="58">
        <f t="shared" si="2"/>
        <v>44255</v>
      </c>
      <c r="BA15" s="58">
        <f t="shared" si="2"/>
        <v>44256</v>
      </c>
    </row>
    <row r="16" spans="1:53">
      <c r="A16" s="63" t="s">
        <v>56</v>
      </c>
      <c r="B16" s="56">
        <f>COUNTIFS('SP1～SP5'!A9:A1048576,"&lt;&gt;",'SP1～SP5'!F9:F1048576,"")</f>
        <v>5</v>
      </c>
      <c r="C16" s="56">
        <f>COUNTIF('SP1～SP5'!$F:$F,"&lt;2021/01/11")</f>
        <v>26</v>
      </c>
      <c r="D16" s="56">
        <f>COUNTIFS('SP1～SP5'!$F:$F,発生・消化曲線!D$22)</f>
        <v>9</v>
      </c>
      <c r="E16" s="56">
        <f>COUNTIFS('SP1～SP5'!$F:$F,発生・消化曲線!E$22)</f>
        <v>17</v>
      </c>
      <c r="F16" s="56">
        <f>COUNTIFS('SP1～SP5'!$F:$F,発生・消化曲線!F$22)</f>
        <v>19</v>
      </c>
      <c r="G16" s="56">
        <f>COUNTIFS('SP1～SP5'!$F:$F,発生・消化曲線!G$22)</f>
        <v>14</v>
      </c>
      <c r="H16" s="56">
        <f>COUNTIFS('SP1～SP5'!$F:$F,発生・消化曲線!H$22)</f>
        <v>13</v>
      </c>
      <c r="I16" s="56">
        <f>COUNTIFS('SP1～SP5'!$F:$F,発生・消化曲線!I$22)</f>
        <v>0</v>
      </c>
      <c r="J16" s="56">
        <f>COUNTIFS('SP1～SP5'!$F:$F,発生・消化曲線!J$22)</f>
        <v>0</v>
      </c>
      <c r="K16" s="56">
        <f>COUNTIFS('SP1～SP5'!$F:$F,発生・消化曲線!K$22)</f>
        <v>16</v>
      </c>
      <c r="L16" s="56">
        <f>COUNTIFS('SP1～SP5'!$F:$F,発生・消化曲線!L$22)</f>
        <v>4</v>
      </c>
      <c r="M16" s="56">
        <f>COUNTIFS('SP1～SP5'!$F:$F,発生・消化曲線!M$22)</f>
        <v>3</v>
      </c>
      <c r="N16" s="56">
        <f>COUNTIFS('SP1～SP5'!$F:$F,発生・消化曲線!N$22)</f>
        <v>6</v>
      </c>
      <c r="O16" s="56">
        <f>COUNTIFS('SP1～SP5'!$F:$F,発生・消化曲線!O$22)</f>
        <v>3</v>
      </c>
      <c r="P16" s="56">
        <f>COUNTIFS('SP1～SP5'!$F:$F,発生・消化曲線!P$22)</f>
        <v>0</v>
      </c>
      <c r="Q16" s="56">
        <f>COUNTIFS('SP1～SP5'!$F:$F,発生・消化曲線!Q$22)</f>
        <v>0</v>
      </c>
      <c r="R16" s="56">
        <f>COUNTIFS('SP1～SP5'!$F:$F,発生・消化曲線!R$22)</f>
        <v>2</v>
      </c>
      <c r="S16" s="56">
        <f>COUNTIFS('SP1～SP5'!$F:$F,発生・消化曲線!S$22)</f>
        <v>2</v>
      </c>
      <c r="T16" s="56">
        <f>COUNTIFS('SP1～SP5'!$F:$F,発生・消化曲線!T$22)</f>
        <v>8</v>
      </c>
      <c r="U16" s="56">
        <f>COUNTIFS('SP1～SP5'!$F:$F,発生・消化曲線!U$22)</f>
        <v>5</v>
      </c>
      <c r="V16" s="56">
        <f>COUNTIFS('SP1～SP5'!$F:$F,発生・消化曲線!V$22)</f>
        <v>5</v>
      </c>
      <c r="W16" s="56">
        <f>COUNTIFS('SP1～SP5'!$F:$F,発生・消化曲線!W$22)</f>
        <v>0</v>
      </c>
      <c r="X16" s="56">
        <f>COUNTIFS('SP1～SP5'!$F:$F,発生・消化曲線!X$22)</f>
        <v>0</v>
      </c>
      <c r="Y16" s="56">
        <f>COUNTIFS('SP1～SP5'!$F:$F,発生・消化曲線!Y$22)</f>
        <v>0</v>
      </c>
      <c r="Z16" s="56">
        <f>COUNTIFS('SP1～SP5'!$F:$F,発生・消化曲線!Z$22)</f>
        <v>0</v>
      </c>
      <c r="AA16" s="56">
        <f>COUNTIFS('SP1～SP5'!$F:$F,発生・消化曲線!AA$22)</f>
        <v>0</v>
      </c>
      <c r="AB16" s="56">
        <f>COUNTIFS('SP1～SP5'!$F:$F,発生・消化曲線!AB$22)</f>
        <v>1</v>
      </c>
      <c r="AC16" s="56">
        <f>COUNTIFS('SP1～SP5'!$F:$F,発生・消化曲線!AC$22)</f>
        <v>0</v>
      </c>
      <c r="AD16" s="56">
        <f>COUNTIFS('SP1～SP5'!$F:$F,発生・消化曲線!AD$22)</f>
        <v>0</v>
      </c>
      <c r="AE16" s="56">
        <f>COUNTIFS('SP1～SP5'!$F:$F,発生・消化曲線!AE$22)</f>
        <v>0</v>
      </c>
      <c r="AF16" s="56">
        <f>COUNTIFS('SP1～SP5'!$F:$F,発生・消化曲線!AF$22)</f>
        <v>0</v>
      </c>
      <c r="AG16" s="56">
        <f>COUNTIFS('SP1～SP5'!$F:$F,発生・消化曲線!AG$22)</f>
        <v>0</v>
      </c>
      <c r="AH16" s="56">
        <f>COUNTIFS('SP1～SP5'!$F:$F,発生・消化曲線!AH$22)</f>
        <v>0</v>
      </c>
      <c r="AI16" s="56">
        <f>COUNTIFS('SP1～SP5'!$F:$F,発生・消化曲線!AI$22)</f>
        <v>0</v>
      </c>
      <c r="AJ16" s="56">
        <f>COUNTIFS('SP1～SP5'!$F:$F,発生・消化曲線!AJ$22)</f>
        <v>0</v>
      </c>
      <c r="AK16" s="56">
        <f>COUNTIFS('SP1～SP5'!$F:$F,発生・消化曲線!AK$22)</f>
        <v>0</v>
      </c>
      <c r="AL16" s="56">
        <f>COUNTIFS('SP1～SP5'!$F:$F,発生・消化曲線!AL$22)</f>
        <v>0</v>
      </c>
      <c r="AM16" s="56">
        <f>COUNTIFS('SP1～SP5'!$F:$F,発生・消化曲線!AM$22)</f>
        <v>0</v>
      </c>
      <c r="AN16" s="56">
        <f>COUNTIFS('SP1～SP5'!$F:$F,発生・消化曲線!AN$22)</f>
        <v>0</v>
      </c>
      <c r="AO16" s="56">
        <f>COUNTIFS('SP1～SP5'!$F:$F,発生・消化曲線!AO$22)</f>
        <v>0</v>
      </c>
      <c r="AP16" s="56">
        <f>COUNTIFS('SP1～SP5'!$F:$F,発生・消化曲線!AP$22)</f>
        <v>0</v>
      </c>
      <c r="AQ16" s="56">
        <f>COUNTIFS('SP1～SP5'!$F:$F,発生・消化曲線!AQ$22)</f>
        <v>0</v>
      </c>
      <c r="AR16" s="56">
        <f>COUNTIFS('SP1～SP5'!$F:$F,発生・消化曲線!AR$22)</f>
        <v>0</v>
      </c>
      <c r="AS16" s="56">
        <f>COUNTIFS('SP1～SP5'!$F:$F,発生・消化曲線!AS$22)</f>
        <v>0</v>
      </c>
      <c r="AT16" s="56">
        <f>COUNTIFS('SP1～SP5'!$F:$F,発生・消化曲線!AT$22)</f>
        <v>0</v>
      </c>
      <c r="AU16" s="56">
        <f>COUNTIFS('SP1～SP5'!$F:$F,発生・消化曲線!AU$22)</f>
        <v>0</v>
      </c>
      <c r="AV16" s="56">
        <f>COUNTIFS('SP1～SP5'!$F:$F,発生・消化曲線!AV$22)</f>
        <v>0</v>
      </c>
      <c r="AW16" s="56">
        <f>COUNTIFS('SP1～SP5'!$F:$F,発生・消化曲線!AW$22)</f>
        <v>0</v>
      </c>
      <c r="AX16" s="56">
        <f>COUNTIFS('SP1～SP5'!$F:$F,発生・消化曲線!AX$22)</f>
        <v>0</v>
      </c>
      <c r="AY16" s="56">
        <f>COUNTIFS('SP1～SP5'!$F:$F,発生・消化曲線!AY$22)</f>
        <v>0</v>
      </c>
      <c r="AZ16" s="56">
        <f>COUNTIFS('SP1～SP5'!$F:$F,発生・消化曲線!AZ$22)</f>
        <v>0</v>
      </c>
      <c r="BA16" s="56">
        <f>COUNTIFS('SP1～SP5'!$F:$F,発生・消化曲線!BA$22)</f>
        <v>0</v>
      </c>
    </row>
    <row r="17" spans="1:53" ht="19" thickBot="1">
      <c r="A17" s="63" t="s">
        <v>221</v>
      </c>
      <c r="B17" s="56">
        <f>COUNTIFS('SP6'!A9:A1048576,"&lt;&gt;",'SP6'!F9:F1048576,"")</f>
        <v>0</v>
      </c>
      <c r="C17" s="56">
        <f>COUNTIF('SP6'!$F:$F,"&lt;2021/01/11")</f>
        <v>0</v>
      </c>
      <c r="D17" s="56">
        <f>COUNTIFS('SP6'!$F:$F,発生・消化曲線!D$22)</f>
        <v>0</v>
      </c>
      <c r="E17" s="56">
        <f>COUNTIFS('SP6'!$F:$F,発生・消化曲線!E$22)</f>
        <v>0</v>
      </c>
      <c r="F17" s="56">
        <f>COUNTIFS('SP6'!$F:$F,発生・消化曲線!F$22)</f>
        <v>0</v>
      </c>
      <c r="G17" s="56">
        <f>COUNTIFS('SP6'!$F:$F,発生・消化曲線!G$22)</f>
        <v>0</v>
      </c>
      <c r="H17" s="56">
        <f>COUNTIFS('SP6'!$F:$F,発生・消化曲線!H$22)</f>
        <v>0</v>
      </c>
      <c r="I17" s="56">
        <f>COUNTIFS('SP6'!$F:$F,発生・消化曲線!I$22)</f>
        <v>0</v>
      </c>
      <c r="J17" s="56">
        <f>COUNTIFS('SP6'!$F:$F,発生・消化曲線!J$22)</f>
        <v>0</v>
      </c>
      <c r="K17" s="56">
        <f>COUNTIFS('SP6'!$F:$F,発生・消化曲線!K$22)</f>
        <v>0</v>
      </c>
      <c r="L17" s="56">
        <f>COUNTIFS('SP6'!$F:$F,発生・消化曲線!L$22)</f>
        <v>5</v>
      </c>
      <c r="M17" s="56">
        <f>COUNTIFS('SP6'!$F:$F,発生・消化曲線!M$22)</f>
        <v>3</v>
      </c>
      <c r="N17" s="56">
        <f>COUNTIFS('SP6'!$F:$F,発生・消化曲線!N$22)</f>
        <v>0</v>
      </c>
      <c r="O17" s="56">
        <f>COUNTIFS('SP6'!$F:$F,発生・消化曲線!O$22)</f>
        <v>0</v>
      </c>
      <c r="P17" s="56">
        <f>COUNTIFS('SP6'!$F:$F,発生・消化曲線!P$22)</f>
        <v>0</v>
      </c>
      <c r="Q17" s="56">
        <f>COUNTIFS('SP6'!$F:$F,発生・消化曲線!Q$22)</f>
        <v>0</v>
      </c>
      <c r="R17" s="56">
        <f>COUNTIFS('SP6'!$F:$F,発生・消化曲線!R$22)</f>
        <v>0</v>
      </c>
      <c r="S17" s="56">
        <f>COUNTIFS('SP6'!$F:$F,発生・消化曲線!S$22)</f>
        <v>1</v>
      </c>
      <c r="T17" s="56">
        <f>COUNTIFS('SP6'!$F:$F,発生・消化曲線!T$22)</f>
        <v>8</v>
      </c>
      <c r="U17" s="56">
        <f>COUNTIFS('SP6'!$F:$F,発生・消化曲線!U$22)</f>
        <v>3</v>
      </c>
      <c r="V17" s="56">
        <f>COUNTIFS('SP6'!$F:$F,発生・消化曲線!V$22)</f>
        <v>0</v>
      </c>
      <c r="W17" s="56">
        <f>COUNTIFS('SP6'!$F:$F,発生・消化曲線!W$22)</f>
        <v>0</v>
      </c>
      <c r="X17" s="56">
        <f>COUNTIFS('SP6'!$F:$F,発生・消化曲線!X$22)</f>
        <v>0</v>
      </c>
      <c r="Y17" s="56">
        <f>COUNTIFS('SP6'!$F:$F,発生・消化曲線!Y$22)</f>
        <v>1</v>
      </c>
      <c r="Z17" s="56">
        <f>COUNTIFS('SP6'!$F:$F,発生・消化曲線!Z$22)</f>
        <v>3</v>
      </c>
      <c r="AA17" s="56">
        <f>COUNTIFS('SP6'!$F:$F,発生・消化曲線!AA$22)</f>
        <v>9</v>
      </c>
      <c r="AB17" s="56">
        <f>COUNTIFS('SP6'!$F:$F,発生・消化曲線!AB$22)</f>
        <v>1</v>
      </c>
      <c r="AC17" s="56">
        <f>COUNTIFS('SP6'!$F:$F,発生・消化曲線!AC$22)</f>
        <v>0</v>
      </c>
      <c r="AD17" s="56">
        <f>COUNTIFS('SP6'!$F:$F,発生・消化曲線!AD$22)</f>
        <v>0</v>
      </c>
      <c r="AE17" s="56">
        <f>COUNTIFS('SP6'!$F:$F,発生・消化曲線!AE$22)</f>
        <v>0</v>
      </c>
      <c r="AF17" s="56">
        <f>COUNTIFS('SP6'!$F:$F,発生・消化曲線!AF$22)</f>
        <v>0</v>
      </c>
      <c r="AG17" s="56">
        <f>COUNTIFS('SP6'!$F:$F,発生・消化曲線!AG$22)</f>
        <v>0</v>
      </c>
      <c r="AH17" s="56">
        <f>COUNTIFS('SP6'!$F:$F,発生・消化曲線!AH$22)</f>
        <v>0</v>
      </c>
      <c r="AI17" s="56">
        <f>COUNTIFS('SP6'!$F:$F,発生・消化曲線!AI$22)</f>
        <v>0</v>
      </c>
      <c r="AJ17" s="56">
        <f>COUNTIFS('SP6'!$F:$F,発生・消化曲線!AJ$22)</f>
        <v>0</v>
      </c>
      <c r="AK17" s="56">
        <f>COUNTIFS('SP6'!$F:$F,発生・消化曲線!AK$22)</f>
        <v>0</v>
      </c>
      <c r="AL17" s="56">
        <f>COUNTIFS('SP6'!$F:$F,発生・消化曲線!AL$22)</f>
        <v>0</v>
      </c>
      <c r="AM17" s="56">
        <f>COUNTIFS('SP6'!$F:$F,発生・消化曲線!AM$22)</f>
        <v>0</v>
      </c>
      <c r="AN17" s="56">
        <f>COUNTIFS('SP6'!$F:$F,発生・消化曲線!AN$22)</f>
        <v>0</v>
      </c>
      <c r="AO17" s="56">
        <f>COUNTIFS('SP6'!$F:$F,発生・消化曲線!AO$22)</f>
        <v>0</v>
      </c>
      <c r="AP17" s="56">
        <f>COUNTIFS('SP6'!$F:$F,発生・消化曲線!AP$22)</f>
        <v>0</v>
      </c>
      <c r="AQ17" s="56">
        <f>COUNTIFS('SP6'!$F:$F,発生・消化曲線!AQ$22)</f>
        <v>0</v>
      </c>
      <c r="AR17" s="56">
        <f>COUNTIFS('SP6'!$F:$F,発生・消化曲線!AR$22)</f>
        <v>0</v>
      </c>
      <c r="AS17" s="56">
        <f>COUNTIFS('SP6'!$F:$F,発生・消化曲線!AS$22)</f>
        <v>0</v>
      </c>
      <c r="AT17" s="56">
        <f>COUNTIFS('SP6'!$F:$F,発生・消化曲線!AT$22)</f>
        <v>0</v>
      </c>
      <c r="AU17" s="56">
        <f>COUNTIFS('SP6'!$F:$F,発生・消化曲線!AU$22)</f>
        <v>0</v>
      </c>
      <c r="AV17" s="56">
        <f>COUNTIFS('SP6'!$F:$F,発生・消化曲線!AV$22)</f>
        <v>0</v>
      </c>
      <c r="AW17" s="56">
        <f>COUNTIFS('SP6'!$F:$F,発生・消化曲線!AW$22)</f>
        <v>0</v>
      </c>
      <c r="AX17" s="56">
        <f>COUNTIFS('SP6'!$F:$F,発生・消化曲線!AX$22)</f>
        <v>0</v>
      </c>
      <c r="AY17" s="56">
        <f>COUNTIFS('SP6'!$F:$F,発生・消化曲線!AY$22)</f>
        <v>0</v>
      </c>
      <c r="AZ17" s="56">
        <f>COUNTIFS('SP6'!$F:$F,発生・消化曲線!AZ$22)</f>
        <v>0</v>
      </c>
      <c r="BA17" s="56">
        <f>COUNTIFS('SP6'!$F:$F,発生・消化曲線!BA$22)</f>
        <v>0</v>
      </c>
    </row>
    <row r="18" spans="1:53" ht="19" thickTop="1">
      <c r="A18" s="60" t="s">
        <v>229</v>
      </c>
      <c r="B18" s="61">
        <f t="shared" ref="B18:AF18" si="3">SUM(B16:B17)</f>
        <v>5</v>
      </c>
      <c r="C18" s="61">
        <f t="shared" si="3"/>
        <v>26</v>
      </c>
      <c r="D18" s="61">
        <f t="shared" si="3"/>
        <v>9</v>
      </c>
      <c r="E18" s="61">
        <f t="shared" si="3"/>
        <v>17</v>
      </c>
      <c r="F18" s="61">
        <f t="shared" si="3"/>
        <v>19</v>
      </c>
      <c r="G18" s="61">
        <f t="shared" si="3"/>
        <v>14</v>
      </c>
      <c r="H18" s="61">
        <f t="shared" si="3"/>
        <v>13</v>
      </c>
      <c r="I18" s="61">
        <f t="shared" si="3"/>
        <v>0</v>
      </c>
      <c r="J18" s="61">
        <f t="shared" si="3"/>
        <v>0</v>
      </c>
      <c r="K18" s="61">
        <f t="shared" si="3"/>
        <v>16</v>
      </c>
      <c r="L18" s="61">
        <f t="shared" si="3"/>
        <v>9</v>
      </c>
      <c r="M18" s="61">
        <f t="shared" si="3"/>
        <v>6</v>
      </c>
      <c r="N18" s="61">
        <f t="shared" si="3"/>
        <v>6</v>
      </c>
      <c r="O18" s="61">
        <f t="shared" si="3"/>
        <v>3</v>
      </c>
      <c r="P18" s="61">
        <f t="shared" si="3"/>
        <v>0</v>
      </c>
      <c r="Q18" s="61">
        <f t="shared" si="3"/>
        <v>0</v>
      </c>
      <c r="R18" s="61">
        <f t="shared" si="3"/>
        <v>2</v>
      </c>
      <c r="S18" s="61">
        <f t="shared" si="3"/>
        <v>3</v>
      </c>
      <c r="T18" s="61">
        <f t="shared" si="3"/>
        <v>16</v>
      </c>
      <c r="U18" s="61">
        <f t="shared" si="3"/>
        <v>8</v>
      </c>
      <c r="V18" s="61">
        <f t="shared" si="3"/>
        <v>5</v>
      </c>
      <c r="W18" s="61">
        <f t="shared" si="3"/>
        <v>0</v>
      </c>
      <c r="X18" s="61">
        <f t="shared" si="3"/>
        <v>0</v>
      </c>
      <c r="Y18" s="61">
        <f t="shared" si="3"/>
        <v>1</v>
      </c>
      <c r="Z18" s="61">
        <f t="shared" si="3"/>
        <v>3</v>
      </c>
      <c r="AA18" s="61">
        <f t="shared" si="3"/>
        <v>9</v>
      </c>
      <c r="AB18" s="61">
        <f t="shared" si="3"/>
        <v>2</v>
      </c>
      <c r="AC18" s="61">
        <f t="shared" si="3"/>
        <v>0</v>
      </c>
      <c r="AD18" s="61">
        <f t="shared" si="3"/>
        <v>0</v>
      </c>
      <c r="AE18" s="61">
        <f t="shared" si="3"/>
        <v>0</v>
      </c>
      <c r="AF18" s="61">
        <f t="shared" si="3"/>
        <v>0</v>
      </c>
      <c r="AG18" s="61">
        <f t="shared" ref="AG18:AV18" si="4">SUM(AG16:AG17)</f>
        <v>0</v>
      </c>
      <c r="AH18" s="61">
        <f t="shared" si="4"/>
        <v>0</v>
      </c>
      <c r="AI18" s="61">
        <f t="shared" si="4"/>
        <v>0</v>
      </c>
      <c r="AJ18" s="61">
        <f t="shared" si="4"/>
        <v>0</v>
      </c>
      <c r="AK18" s="61">
        <f t="shared" si="4"/>
        <v>0</v>
      </c>
      <c r="AL18" s="61">
        <f t="shared" si="4"/>
        <v>0</v>
      </c>
      <c r="AM18" s="61">
        <f t="shared" si="4"/>
        <v>0</v>
      </c>
      <c r="AN18" s="61">
        <f t="shared" si="4"/>
        <v>0</v>
      </c>
      <c r="AO18" s="61">
        <f t="shared" si="4"/>
        <v>0</v>
      </c>
      <c r="AP18" s="61">
        <f t="shared" si="4"/>
        <v>0</v>
      </c>
      <c r="AQ18" s="61">
        <f t="shared" si="4"/>
        <v>0</v>
      </c>
      <c r="AR18" s="61">
        <f t="shared" si="4"/>
        <v>0</v>
      </c>
      <c r="AS18" s="61">
        <f t="shared" si="4"/>
        <v>0</v>
      </c>
      <c r="AT18" s="61">
        <f t="shared" si="4"/>
        <v>0</v>
      </c>
      <c r="AU18" s="61">
        <f t="shared" si="4"/>
        <v>0</v>
      </c>
      <c r="AV18" s="61">
        <f t="shared" si="4"/>
        <v>0</v>
      </c>
      <c r="AW18" s="61">
        <f t="shared" ref="AW18" si="5">SUM(AW16:AW17)</f>
        <v>0</v>
      </c>
      <c r="AX18" s="61">
        <f t="shared" ref="AX18" si="6">SUM(AX16:AX17)</f>
        <v>0</v>
      </c>
      <c r="AY18" s="61">
        <f t="shared" ref="AY18" si="7">SUM(AY16:AY17)</f>
        <v>0</v>
      </c>
      <c r="AZ18" s="61">
        <f t="shared" ref="AZ18" si="8">SUM(AZ16:AZ17)</f>
        <v>0</v>
      </c>
      <c r="BA18" s="61">
        <f t="shared" ref="BA18" si="9">SUM(BA16:BA17)</f>
        <v>0</v>
      </c>
    </row>
    <row r="19" spans="1:53">
      <c r="A19" s="59" t="s">
        <v>209</v>
      </c>
      <c r="B19" s="56">
        <f>B18</f>
        <v>5</v>
      </c>
      <c r="C19" s="56">
        <f t="shared" ref="C19:AF19" si="10">B19+C18</f>
        <v>31</v>
      </c>
      <c r="D19" s="56">
        <f t="shared" si="10"/>
        <v>40</v>
      </c>
      <c r="E19" s="56">
        <f t="shared" si="10"/>
        <v>57</v>
      </c>
      <c r="F19" s="56">
        <f t="shared" si="10"/>
        <v>76</v>
      </c>
      <c r="G19" s="56">
        <f t="shared" si="10"/>
        <v>90</v>
      </c>
      <c r="H19" s="56">
        <f t="shared" si="10"/>
        <v>103</v>
      </c>
      <c r="I19" s="56">
        <f t="shared" si="10"/>
        <v>103</v>
      </c>
      <c r="J19" s="56">
        <f t="shared" si="10"/>
        <v>103</v>
      </c>
      <c r="K19" s="56">
        <f t="shared" si="10"/>
        <v>119</v>
      </c>
      <c r="L19" s="56">
        <f t="shared" si="10"/>
        <v>128</v>
      </c>
      <c r="M19" s="56">
        <f t="shared" si="10"/>
        <v>134</v>
      </c>
      <c r="N19" s="56">
        <f t="shared" si="10"/>
        <v>140</v>
      </c>
      <c r="O19" s="56">
        <f t="shared" si="10"/>
        <v>143</v>
      </c>
      <c r="P19" s="56">
        <f t="shared" si="10"/>
        <v>143</v>
      </c>
      <c r="Q19" s="56">
        <f t="shared" si="10"/>
        <v>143</v>
      </c>
      <c r="R19" s="56">
        <f t="shared" si="10"/>
        <v>145</v>
      </c>
      <c r="S19" s="56">
        <f t="shared" si="10"/>
        <v>148</v>
      </c>
      <c r="T19" s="56">
        <f t="shared" si="10"/>
        <v>164</v>
      </c>
      <c r="U19" s="56">
        <f t="shared" si="10"/>
        <v>172</v>
      </c>
      <c r="V19" s="56">
        <f t="shared" si="10"/>
        <v>177</v>
      </c>
      <c r="W19" s="56">
        <f t="shared" si="10"/>
        <v>177</v>
      </c>
      <c r="X19" s="56">
        <f t="shared" si="10"/>
        <v>177</v>
      </c>
      <c r="Y19" s="56">
        <f t="shared" si="10"/>
        <v>178</v>
      </c>
      <c r="Z19" s="56">
        <f t="shared" si="10"/>
        <v>181</v>
      </c>
      <c r="AA19" s="56">
        <f t="shared" si="10"/>
        <v>190</v>
      </c>
      <c r="AB19" s="56">
        <f t="shared" si="10"/>
        <v>192</v>
      </c>
      <c r="AC19" s="56">
        <f t="shared" si="10"/>
        <v>192</v>
      </c>
      <c r="AD19" s="56">
        <f t="shared" si="10"/>
        <v>192</v>
      </c>
      <c r="AE19" s="56">
        <f t="shared" si="10"/>
        <v>192</v>
      </c>
      <c r="AF19" s="56">
        <f t="shared" si="10"/>
        <v>192</v>
      </c>
      <c r="AG19" s="56">
        <f t="shared" ref="AG19" si="11">AF19+AG18</f>
        <v>192</v>
      </c>
      <c r="AH19" s="56">
        <f t="shared" ref="AH19" si="12">AG19+AH18</f>
        <v>192</v>
      </c>
      <c r="AI19" s="56">
        <f t="shared" ref="AI19" si="13">AH19+AI18</f>
        <v>192</v>
      </c>
      <c r="AJ19" s="56">
        <f t="shared" ref="AJ19" si="14">AI19+AJ18</f>
        <v>192</v>
      </c>
      <c r="AK19" s="56">
        <f t="shared" ref="AK19" si="15">AJ19+AK18</f>
        <v>192</v>
      </c>
      <c r="AL19" s="56">
        <f t="shared" ref="AL19" si="16">AK19+AL18</f>
        <v>192</v>
      </c>
      <c r="AM19" s="56">
        <f t="shared" ref="AM19" si="17">AL19+AM18</f>
        <v>192</v>
      </c>
      <c r="AN19" s="56">
        <f t="shared" ref="AN19" si="18">AM19+AN18</f>
        <v>192</v>
      </c>
      <c r="AO19" s="56">
        <f t="shared" ref="AO19" si="19">AN19+AO18</f>
        <v>192</v>
      </c>
      <c r="AP19" s="56">
        <f t="shared" ref="AP19" si="20">AO19+AP18</f>
        <v>192</v>
      </c>
      <c r="AQ19" s="56">
        <f t="shared" ref="AQ19" si="21">AP19+AQ18</f>
        <v>192</v>
      </c>
      <c r="AR19" s="56">
        <f t="shared" ref="AR19" si="22">AQ19+AR18</f>
        <v>192</v>
      </c>
      <c r="AS19" s="56">
        <f t="shared" ref="AS19" si="23">AR19+AS18</f>
        <v>192</v>
      </c>
      <c r="AT19" s="56">
        <f t="shared" ref="AT19" si="24">AS19+AT18</f>
        <v>192</v>
      </c>
      <c r="AU19" s="56">
        <f t="shared" ref="AU19" si="25">AT19+AU18</f>
        <v>192</v>
      </c>
      <c r="AV19" s="56">
        <f t="shared" ref="AV19" si="26">AU19+AV18</f>
        <v>192</v>
      </c>
      <c r="AW19" s="56">
        <f t="shared" ref="AW19" si="27">AV19+AW18</f>
        <v>192</v>
      </c>
      <c r="AX19" s="56">
        <f t="shared" ref="AX19" si="28">AW19+AX18</f>
        <v>192</v>
      </c>
      <c r="AY19" s="56">
        <f t="shared" ref="AY19" si="29">AX19+AY18</f>
        <v>192</v>
      </c>
      <c r="AZ19" s="56">
        <f t="shared" ref="AZ19" si="30">AY19+AZ18</f>
        <v>192</v>
      </c>
      <c r="BA19" s="56">
        <f t="shared" ref="BA19" si="31">AZ19+BA18</f>
        <v>192</v>
      </c>
    </row>
    <row r="21" spans="1:53">
      <c r="A21" t="s">
        <v>236</v>
      </c>
      <c r="AB21" s="81" t="s">
        <v>1028</v>
      </c>
    </row>
    <row r="22" spans="1:53">
      <c r="A22" s="96" t="s">
        <v>235</v>
      </c>
      <c r="B22" s="54" t="s">
        <v>226</v>
      </c>
      <c r="C22" s="54" t="s">
        <v>228</v>
      </c>
      <c r="D22" s="57">
        <v>44207</v>
      </c>
      <c r="E22" s="57">
        <v>44208</v>
      </c>
      <c r="F22" s="57">
        <v>44209</v>
      </c>
      <c r="G22" s="57">
        <v>44210</v>
      </c>
      <c r="H22" s="57">
        <v>44211</v>
      </c>
      <c r="I22" s="57">
        <v>44212</v>
      </c>
      <c r="J22" s="57">
        <v>44213</v>
      </c>
      <c r="K22" s="57">
        <v>44214</v>
      </c>
      <c r="L22" s="57">
        <v>44215</v>
      </c>
      <c r="M22" s="57">
        <v>44216</v>
      </c>
      <c r="N22" s="57">
        <v>44217</v>
      </c>
      <c r="O22" s="57">
        <v>44218</v>
      </c>
      <c r="P22" s="57">
        <v>44219</v>
      </c>
      <c r="Q22" s="57">
        <v>44220</v>
      </c>
      <c r="R22" s="57">
        <v>44221</v>
      </c>
      <c r="S22" s="57">
        <v>44222</v>
      </c>
      <c r="T22" s="57">
        <v>44223</v>
      </c>
      <c r="U22" s="57">
        <v>44224</v>
      </c>
      <c r="V22" s="57">
        <v>44225</v>
      </c>
      <c r="W22" s="57">
        <v>44226</v>
      </c>
      <c r="X22" s="57">
        <v>44227</v>
      </c>
      <c r="Y22" s="57">
        <v>44228</v>
      </c>
      <c r="Z22" s="57">
        <v>44229</v>
      </c>
      <c r="AA22" s="57">
        <v>44230</v>
      </c>
      <c r="AB22" s="57">
        <v>44231</v>
      </c>
      <c r="AC22" s="57">
        <v>44232</v>
      </c>
      <c r="AD22" s="57">
        <v>44233</v>
      </c>
      <c r="AE22" s="57">
        <v>44234</v>
      </c>
      <c r="AF22" s="57">
        <v>44235</v>
      </c>
      <c r="AG22" s="57">
        <v>44236</v>
      </c>
      <c r="AH22" s="57">
        <v>44237</v>
      </c>
      <c r="AI22" s="57">
        <v>44238</v>
      </c>
      <c r="AJ22" s="57">
        <v>44239</v>
      </c>
      <c r="AK22" s="57">
        <v>44240</v>
      </c>
      <c r="AL22" s="57">
        <v>44241</v>
      </c>
      <c r="AM22" s="57">
        <v>44242</v>
      </c>
      <c r="AN22" s="57">
        <v>44243</v>
      </c>
      <c r="AO22" s="57">
        <v>44244</v>
      </c>
      <c r="AP22" s="57">
        <v>44245</v>
      </c>
      <c r="AQ22" s="57">
        <v>44246</v>
      </c>
      <c r="AR22" s="57">
        <v>44247</v>
      </c>
      <c r="AS22" s="57">
        <v>44248</v>
      </c>
      <c r="AT22" s="57">
        <v>44249</v>
      </c>
      <c r="AU22" s="57">
        <v>44250</v>
      </c>
      <c r="AV22" s="57">
        <v>44251</v>
      </c>
      <c r="AW22" s="57">
        <v>44252</v>
      </c>
      <c r="AX22" s="57">
        <v>44253</v>
      </c>
      <c r="AY22" s="57">
        <v>44254</v>
      </c>
      <c r="AZ22" s="57">
        <v>44255</v>
      </c>
      <c r="BA22" s="57">
        <v>44256</v>
      </c>
    </row>
    <row r="23" spans="1:53">
      <c r="A23" s="97"/>
      <c r="B23" s="54"/>
      <c r="C23" s="54"/>
      <c r="D23" s="58">
        <f t="shared" ref="D23:AB23" si="32">D22</f>
        <v>44207</v>
      </c>
      <c r="E23" s="58">
        <f t="shared" si="32"/>
        <v>44208</v>
      </c>
      <c r="F23" s="58">
        <f t="shared" si="32"/>
        <v>44209</v>
      </c>
      <c r="G23" s="58">
        <f t="shared" si="32"/>
        <v>44210</v>
      </c>
      <c r="H23" s="58">
        <f t="shared" si="32"/>
        <v>44211</v>
      </c>
      <c r="I23" s="58">
        <f t="shared" si="32"/>
        <v>44212</v>
      </c>
      <c r="J23" s="58">
        <f t="shared" si="32"/>
        <v>44213</v>
      </c>
      <c r="K23" s="58">
        <f t="shared" si="32"/>
        <v>44214</v>
      </c>
      <c r="L23" s="58">
        <f t="shared" si="32"/>
        <v>44215</v>
      </c>
      <c r="M23" s="58">
        <f t="shared" si="32"/>
        <v>44216</v>
      </c>
      <c r="N23" s="58">
        <f t="shared" si="32"/>
        <v>44217</v>
      </c>
      <c r="O23" s="58">
        <f t="shared" si="32"/>
        <v>44218</v>
      </c>
      <c r="P23" s="58">
        <f t="shared" si="32"/>
        <v>44219</v>
      </c>
      <c r="Q23" s="58">
        <f t="shared" si="32"/>
        <v>44220</v>
      </c>
      <c r="R23" s="58">
        <f t="shared" si="32"/>
        <v>44221</v>
      </c>
      <c r="S23" s="58">
        <f t="shared" si="32"/>
        <v>44222</v>
      </c>
      <c r="T23" s="58">
        <f t="shared" si="32"/>
        <v>44223</v>
      </c>
      <c r="U23" s="58">
        <f t="shared" si="32"/>
        <v>44224</v>
      </c>
      <c r="V23" s="58">
        <f t="shared" si="32"/>
        <v>44225</v>
      </c>
      <c r="W23" s="58">
        <f t="shared" si="32"/>
        <v>44226</v>
      </c>
      <c r="X23" s="58">
        <f t="shared" si="32"/>
        <v>44227</v>
      </c>
      <c r="Y23" s="58">
        <f t="shared" si="32"/>
        <v>44228</v>
      </c>
      <c r="Z23" s="58">
        <f t="shared" si="32"/>
        <v>44229</v>
      </c>
      <c r="AA23" s="58">
        <f t="shared" si="32"/>
        <v>44230</v>
      </c>
      <c r="AB23" s="58">
        <f t="shared" si="32"/>
        <v>44231</v>
      </c>
      <c r="AC23" s="58">
        <f t="shared" ref="AC23:BA23" si="33">AC22</f>
        <v>44232</v>
      </c>
      <c r="AD23" s="58">
        <f t="shared" si="33"/>
        <v>44233</v>
      </c>
      <c r="AE23" s="58">
        <f t="shared" si="33"/>
        <v>44234</v>
      </c>
      <c r="AF23" s="58">
        <f t="shared" si="33"/>
        <v>44235</v>
      </c>
      <c r="AG23" s="58">
        <f t="shared" si="33"/>
        <v>44236</v>
      </c>
      <c r="AH23" s="58">
        <f t="shared" si="33"/>
        <v>44237</v>
      </c>
      <c r="AI23" s="58">
        <f t="shared" si="33"/>
        <v>44238</v>
      </c>
      <c r="AJ23" s="58">
        <f t="shared" si="33"/>
        <v>44239</v>
      </c>
      <c r="AK23" s="58">
        <f t="shared" si="33"/>
        <v>44240</v>
      </c>
      <c r="AL23" s="58">
        <f t="shared" si="33"/>
        <v>44241</v>
      </c>
      <c r="AM23" s="58">
        <f t="shared" si="33"/>
        <v>44242</v>
      </c>
      <c r="AN23" s="58">
        <f t="shared" si="33"/>
        <v>44243</v>
      </c>
      <c r="AO23" s="58">
        <f t="shared" si="33"/>
        <v>44244</v>
      </c>
      <c r="AP23" s="58">
        <f t="shared" si="33"/>
        <v>44245</v>
      </c>
      <c r="AQ23" s="58">
        <f t="shared" si="33"/>
        <v>44246</v>
      </c>
      <c r="AR23" s="58">
        <f t="shared" si="33"/>
        <v>44247</v>
      </c>
      <c r="AS23" s="58">
        <f t="shared" si="33"/>
        <v>44248</v>
      </c>
      <c r="AT23" s="58">
        <f t="shared" si="33"/>
        <v>44249</v>
      </c>
      <c r="AU23" s="58">
        <f t="shared" si="33"/>
        <v>44250</v>
      </c>
      <c r="AV23" s="58">
        <f t="shared" si="33"/>
        <v>44251</v>
      </c>
      <c r="AW23" s="58">
        <f t="shared" si="33"/>
        <v>44252</v>
      </c>
      <c r="AX23" s="58">
        <f t="shared" si="33"/>
        <v>44253</v>
      </c>
      <c r="AY23" s="58">
        <f t="shared" si="33"/>
        <v>44254</v>
      </c>
      <c r="AZ23" s="58">
        <f t="shared" si="33"/>
        <v>44255</v>
      </c>
      <c r="BA23" s="58">
        <f t="shared" si="33"/>
        <v>44256</v>
      </c>
    </row>
    <row r="24" spans="1:53">
      <c r="A24" s="63" t="s">
        <v>56</v>
      </c>
      <c r="B24" s="56">
        <f>COUNTIFS('SP1～SP5'!$E:$E,"完了",'SP1～SP5'!$G:$G,"")</f>
        <v>7</v>
      </c>
      <c r="C24" s="56">
        <f>COUNTIFS('SP1～SP5'!$E:$E,"完了",'SP1～SP5'!$G:$G,"&lt;2021/01/11")</f>
        <v>7</v>
      </c>
      <c r="D24" s="56">
        <f>COUNTIFS('SP1～SP5'!$E:$E,"完了",'SP1～SP5'!$G:$G,発生・消化曲線!D$22)</f>
        <v>8</v>
      </c>
      <c r="E24" s="56">
        <f>COUNTIFS('SP1～SP5'!$E:$E,"完了",'SP1～SP5'!$G:$G,発生・消化曲線!E$22)</f>
        <v>4</v>
      </c>
      <c r="F24" s="56">
        <f>COUNTIFS('SP1～SP5'!$E:$E,"完了",'SP1～SP5'!$G:$G,発生・消化曲線!F$22)</f>
        <v>8</v>
      </c>
      <c r="G24" s="56">
        <f>COUNTIFS('SP1～SP5'!$E:$E,"完了",'SP1～SP5'!$G:$G,発生・消化曲線!G$22)</f>
        <v>1</v>
      </c>
      <c r="H24" s="56">
        <f>COUNTIFS('SP1～SP5'!$E:$E,"完了",'SP1～SP5'!$G:$G,発生・消化曲線!H$22)</f>
        <v>3</v>
      </c>
      <c r="I24" s="56">
        <f>COUNTIFS('SP1～SP5'!$E:$E,"完了",'SP1～SP5'!$G:$G,発生・消化曲線!I$22)</f>
        <v>0</v>
      </c>
      <c r="J24" s="56">
        <f>COUNTIFS('SP1～SP5'!$E:$E,"完了",'SP1～SP5'!$G:$G,発生・消化曲線!J$22)</f>
        <v>0</v>
      </c>
      <c r="K24" s="56">
        <f>COUNTIFS('SP1～SP5'!$E:$E,"完了",'SP1～SP5'!$G:$G,発生・消化曲線!K$22)</f>
        <v>13</v>
      </c>
      <c r="L24" s="56">
        <f>COUNTIFS('SP1～SP5'!$E:$E,"完了",'SP1～SP5'!$G:$G,発生・消化曲線!L$22)</f>
        <v>6</v>
      </c>
      <c r="M24" s="56">
        <f>COUNTIFS('SP1～SP5'!$E:$E,"完了",'SP1～SP5'!$G:$G,発生・消化曲線!M$22)</f>
        <v>18</v>
      </c>
      <c r="N24" s="56">
        <f>COUNTIFS('SP1～SP5'!$E:$E,"完了",'SP1～SP5'!$G:$G,発生・消化曲線!N$22)</f>
        <v>12</v>
      </c>
      <c r="O24" s="56">
        <f>COUNTIFS('SP1～SP5'!$E:$E,"完了",'SP1～SP5'!$G:$G,発生・消化曲線!O$22)</f>
        <v>7</v>
      </c>
      <c r="P24" s="56">
        <f>COUNTIFS('SP1～SP5'!$E:$E,"完了",'SP1～SP5'!$G:$G,発生・消化曲線!P$22)</f>
        <v>0</v>
      </c>
      <c r="Q24" s="56">
        <f>COUNTIFS('SP1～SP5'!$E:$E,"完了",'SP1～SP5'!$G:$G,発生・消化曲線!Q$22)</f>
        <v>0</v>
      </c>
      <c r="R24" s="56">
        <f>COUNTIFS('SP1～SP5'!$E:$E,"完了",'SP1～SP5'!$G:$G,発生・消化曲線!R$22)</f>
        <v>3</v>
      </c>
      <c r="S24" s="56">
        <f>COUNTIFS('SP1～SP5'!$E:$E,"完了",'SP1～SP5'!$G:$G,発生・消化曲線!S$22)</f>
        <v>14</v>
      </c>
      <c r="T24" s="56">
        <f>COUNTIFS('SP1～SP5'!$E:$E,"完了",'SP1～SP5'!$G:$G,発生・消化曲線!T$22)</f>
        <v>13</v>
      </c>
      <c r="U24" s="56">
        <f>COUNTIFS('SP1～SP5'!$E:$E,"完了",'SP1～SP5'!$G:$G,発生・消化曲線!U$22)</f>
        <v>15</v>
      </c>
      <c r="V24" s="56">
        <f>COUNTIFS('SP1～SP5'!$E:$E,"完了",'SP1～SP5'!$G:$G,発生・消化曲線!V$22)</f>
        <v>7</v>
      </c>
      <c r="W24" s="56">
        <f>COUNTIFS('SP1～SP5'!$E:$E,"完了",'SP1～SP5'!$G:$G,発生・消化曲線!W$22)</f>
        <v>0</v>
      </c>
      <c r="X24" s="56">
        <f>COUNTIFS('SP1～SP5'!$E:$E,"完了",'SP1～SP5'!$G:$G,発生・消化曲線!X$22)</f>
        <v>0</v>
      </c>
      <c r="Y24" s="56">
        <f>COUNTIFS('SP1～SP5'!$E:$E,"完了",'SP1～SP5'!$G:$G,発生・消化曲線!Y$22)</f>
        <v>4</v>
      </c>
      <c r="Z24" s="56">
        <f>COUNTIFS('SP1～SP5'!$E:$E,"完了",'SP1～SP5'!$G:$G,発生・消化曲線!Z$22)</f>
        <v>0</v>
      </c>
      <c r="AA24" s="56">
        <f>COUNTIFS('SP1～SP5'!$E:$E,"完了",'SP1～SP5'!$G:$G,発生・消化曲線!AA$22)</f>
        <v>4</v>
      </c>
      <c r="AB24" s="56">
        <f>COUNTIFS('SP1～SP5'!$E:$E,"完了",'SP1～SP5'!$G:$G,発生・消化曲線!AB$22)</f>
        <v>0</v>
      </c>
      <c r="AC24" s="56">
        <f>COUNTIFS('SP1～SP5'!$E:$E,"完了",'SP1～SP5'!$G:$G,発生・消化曲線!AC$22)</f>
        <v>0</v>
      </c>
      <c r="AD24" s="56">
        <f>COUNTIFS('SP1～SP5'!$E:$E,"完了",'SP1～SP5'!$G:$G,発生・消化曲線!AD$22)</f>
        <v>0</v>
      </c>
      <c r="AE24" s="56">
        <f>COUNTIFS('SP1～SP5'!$E:$E,"完了",'SP1～SP5'!$G:$G,発生・消化曲線!AE$22)</f>
        <v>0</v>
      </c>
      <c r="AF24" s="56">
        <f>COUNTIFS('SP1～SP5'!$E:$E,"完了",'SP1～SP5'!$G:$G,発生・消化曲線!AF$22)</f>
        <v>0</v>
      </c>
      <c r="AG24" s="56">
        <f>COUNTIFS('SP1～SP5'!$E:$E,"完了",'SP1～SP5'!$G:$G,発生・消化曲線!AG$22)</f>
        <v>0</v>
      </c>
      <c r="AH24" s="56">
        <f>COUNTIFS('SP1～SP5'!$E:$E,"完了",'SP1～SP5'!$G:$G,発生・消化曲線!AH$22)</f>
        <v>0</v>
      </c>
      <c r="AI24" s="56">
        <f>COUNTIFS('SP1～SP5'!$E:$E,"完了",'SP1～SP5'!$G:$G,発生・消化曲線!AI$22)</f>
        <v>0</v>
      </c>
      <c r="AJ24" s="56">
        <f>COUNTIFS('SP1～SP5'!$E:$E,"完了",'SP1～SP5'!$G:$G,発生・消化曲線!AJ$22)</f>
        <v>0</v>
      </c>
      <c r="AK24" s="56">
        <f>COUNTIFS('SP1～SP5'!$E:$E,"完了",'SP1～SP5'!$G:$G,発生・消化曲線!AK$22)</f>
        <v>0</v>
      </c>
      <c r="AL24" s="56">
        <f>COUNTIFS('SP1～SP5'!$E:$E,"完了",'SP1～SP5'!$G:$G,発生・消化曲線!AL$22)</f>
        <v>0</v>
      </c>
      <c r="AM24" s="56">
        <f>COUNTIFS('SP1～SP5'!$E:$E,"完了",'SP1～SP5'!$G:$G,発生・消化曲線!AM$22)</f>
        <v>0</v>
      </c>
      <c r="AN24" s="56">
        <f>COUNTIFS('SP1～SP5'!$E:$E,"完了",'SP1～SP5'!$G:$G,発生・消化曲線!AN$22)</f>
        <v>0</v>
      </c>
      <c r="AO24" s="56">
        <f>COUNTIFS('SP1～SP5'!$E:$E,"完了",'SP1～SP5'!$G:$G,発生・消化曲線!AO$22)</f>
        <v>0</v>
      </c>
      <c r="AP24" s="56">
        <f>COUNTIFS('SP1～SP5'!$E:$E,"完了",'SP1～SP5'!$G:$G,発生・消化曲線!AP$22)</f>
        <v>0</v>
      </c>
      <c r="AQ24" s="56">
        <f>COUNTIFS('SP1～SP5'!$E:$E,"完了",'SP1～SP5'!$G:$G,発生・消化曲線!AQ$22)</f>
        <v>0</v>
      </c>
      <c r="AR24" s="56">
        <f>COUNTIFS('SP1～SP5'!$E:$E,"完了",'SP1～SP5'!$G:$G,発生・消化曲線!AR$22)</f>
        <v>0</v>
      </c>
      <c r="AS24" s="56">
        <f>COUNTIFS('SP1～SP5'!$E:$E,"完了",'SP1～SP5'!$G:$G,発生・消化曲線!AS$22)</f>
        <v>0</v>
      </c>
      <c r="AT24" s="56">
        <f>COUNTIFS('SP1～SP5'!$E:$E,"完了",'SP1～SP5'!$G:$G,発生・消化曲線!AT$22)</f>
        <v>0</v>
      </c>
      <c r="AU24" s="56">
        <f>COUNTIFS('SP1～SP5'!$E:$E,"完了",'SP1～SP5'!$G:$G,発生・消化曲線!AU$22)</f>
        <v>0</v>
      </c>
      <c r="AV24" s="56">
        <f>COUNTIFS('SP1～SP5'!$E:$E,"完了",'SP1～SP5'!$G:$G,発生・消化曲線!AV$22)</f>
        <v>0</v>
      </c>
      <c r="AW24" s="56">
        <f>COUNTIFS('SP1～SP5'!$E:$E,"完了",'SP1～SP5'!$G:$G,発生・消化曲線!AW$22)</f>
        <v>0</v>
      </c>
      <c r="AX24" s="56">
        <f>COUNTIFS('SP1～SP5'!$E:$E,"完了",'SP1～SP5'!$G:$G,発生・消化曲線!AX$22)</f>
        <v>0</v>
      </c>
      <c r="AY24" s="56">
        <f>COUNTIFS('SP1～SP5'!$E:$E,"完了",'SP1～SP5'!$G:$G,発生・消化曲線!AY$22)</f>
        <v>0</v>
      </c>
      <c r="AZ24" s="56">
        <f>COUNTIFS('SP1～SP5'!$E:$E,"完了",'SP1～SP5'!$G:$G,発生・消化曲線!AZ$22)</f>
        <v>0</v>
      </c>
      <c r="BA24" s="56">
        <f>COUNTIFS('SP1～SP5'!$E:$E,"完了",'SP1～SP5'!$G:$G,発生・消化曲線!BA$22)</f>
        <v>0</v>
      </c>
    </row>
    <row r="25" spans="1:53" ht="19" thickBot="1">
      <c r="A25" s="63" t="s">
        <v>221</v>
      </c>
      <c r="B25" s="56">
        <f>COUNTIFS('SP6'!$E:$E,"完了",'SP6'!$G:$G,"")</f>
        <v>1</v>
      </c>
      <c r="C25" s="56">
        <f>COUNTIFS('SP6'!$E:$E,"完了",'SP6'!$G:$G,"&lt;2021/01/11")</f>
        <v>0</v>
      </c>
      <c r="D25" s="56">
        <f>COUNTIFS('SP6'!$E:$E,"完了",'SP6'!$G:$G,発生・消化曲線!D$22)</f>
        <v>0</v>
      </c>
      <c r="E25" s="56">
        <f>COUNTIFS('SP6'!$E:$E,"完了",'SP6'!$G:$G,発生・消化曲線!E$22)</f>
        <v>0</v>
      </c>
      <c r="F25" s="56">
        <f>COUNTIFS('SP6'!$E:$E,"完了",'SP6'!$G:$G,発生・消化曲線!F$22)</f>
        <v>0</v>
      </c>
      <c r="G25" s="56">
        <f>COUNTIFS('SP6'!$E:$E,"完了",'SP6'!$G:$G,発生・消化曲線!G$22)</f>
        <v>0</v>
      </c>
      <c r="H25" s="56">
        <f>COUNTIFS('SP6'!$E:$E,"完了",'SP6'!$G:$G,発生・消化曲線!H$22)</f>
        <v>0</v>
      </c>
      <c r="I25" s="56">
        <f>COUNTIFS('SP6'!$E:$E,"完了",'SP6'!$G:$G,発生・消化曲線!I$22)</f>
        <v>0</v>
      </c>
      <c r="J25" s="56">
        <f>COUNTIFS('SP6'!$E:$E,"完了",'SP6'!$G:$G,発生・消化曲線!J$22)</f>
        <v>0</v>
      </c>
      <c r="K25" s="56">
        <f>COUNTIFS('SP6'!$E:$E,"完了",'SP6'!$G:$G,発生・消化曲線!K$22)</f>
        <v>0</v>
      </c>
      <c r="L25" s="56">
        <f>COUNTIFS('SP6'!$E:$E,"完了",'SP6'!$G:$G,発生・消化曲線!L$22)</f>
        <v>0</v>
      </c>
      <c r="M25" s="56">
        <f>COUNTIFS('SP6'!$E:$E,"完了",'SP6'!$G:$G,発生・消化曲線!M$22)</f>
        <v>1</v>
      </c>
      <c r="N25" s="56">
        <f>COUNTIFS('SP6'!$E:$E,"完了",'SP6'!$G:$G,発生・消化曲線!N$22)</f>
        <v>2</v>
      </c>
      <c r="O25" s="56">
        <f>COUNTIFS('SP6'!$E:$E,"完了",'SP6'!$G:$G,発生・消化曲線!O$22)</f>
        <v>0</v>
      </c>
      <c r="P25" s="56">
        <f>COUNTIFS('SP6'!$E:$E,"完了",'SP6'!$G:$G,発生・消化曲線!P$22)</f>
        <v>0</v>
      </c>
      <c r="Q25" s="56">
        <f>COUNTIFS('SP6'!$E:$E,"完了",'SP6'!$G:$G,発生・消化曲線!Q$22)</f>
        <v>0</v>
      </c>
      <c r="R25" s="56">
        <f>COUNTIFS('SP6'!$E:$E,"完了",'SP6'!$G:$G,発生・消化曲線!R$22)</f>
        <v>0</v>
      </c>
      <c r="S25" s="56">
        <f>COUNTIFS('SP6'!$E:$E,"完了",'SP6'!$G:$G,発生・消化曲線!S$22)</f>
        <v>0</v>
      </c>
      <c r="T25" s="56">
        <f>COUNTIFS('SP6'!$E:$E,"完了",'SP6'!$G:$G,発生・消化曲線!T$22)</f>
        <v>1</v>
      </c>
      <c r="U25" s="56">
        <f>COUNTIFS('SP6'!$E:$E,"完了",'SP6'!$G:$G,発生・消化曲線!U$22)</f>
        <v>2</v>
      </c>
      <c r="V25" s="56">
        <f>COUNTIFS('SP6'!$E:$E,"完了",'SP6'!$G:$G,発生・消化曲線!V$22)</f>
        <v>1</v>
      </c>
      <c r="W25" s="56">
        <f>COUNTIFS('SP6'!$E:$E,"完了",'SP6'!$G:$G,発生・消化曲線!W$22)</f>
        <v>0</v>
      </c>
      <c r="X25" s="56">
        <f>COUNTIFS('SP6'!$E:$E,"完了",'SP6'!$G:$G,発生・消化曲線!X$22)</f>
        <v>0</v>
      </c>
      <c r="Y25" s="56">
        <f>COUNTIFS('SP6'!$E:$E,"完了",'SP6'!$G:$G,発生・消化曲線!Y$22)</f>
        <v>1</v>
      </c>
      <c r="Z25" s="56">
        <f>COUNTIFS('SP6'!$E:$E,"完了",'SP6'!$G:$G,発生・消化曲線!Z$22)</f>
        <v>3</v>
      </c>
      <c r="AA25" s="56">
        <f>COUNTIFS('SP6'!$E:$E,"完了",'SP6'!$G:$G,発生・消化曲線!AA$22)</f>
        <v>5</v>
      </c>
      <c r="AB25" s="56">
        <f>COUNTIFS('SP6'!$E:$E,"完了",'SP6'!$G:$G,発生・消化曲線!AB$22)</f>
        <v>3</v>
      </c>
      <c r="AC25" s="56">
        <f>COUNTIFS('SP6'!$E:$E,"完了",'SP6'!$G:$G,発生・消化曲線!AC$22)</f>
        <v>0</v>
      </c>
      <c r="AD25" s="56">
        <f>COUNTIFS('SP6'!$E:$E,"完了",'SP6'!$G:$G,発生・消化曲線!AD$22)</f>
        <v>0</v>
      </c>
      <c r="AE25" s="56">
        <f>COUNTIFS('SP6'!$E:$E,"完了",'SP6'!$G:$G,発生・消化曲線!AE$22)</f>
        <v>0</v>
      </c>
      <c r="AF25" s="56">
        <f>COUNTIFS('SP6'!$E:$E,"完了",'SP6'!$G:$G,発生・消化曲線!AF$22)</f>
        <v>0</v>
      </c>
      <c r="AG25" s="56">
        <f>COUNTIFS('SP6'!$E:$E,"完了",'SP6'!$G:$G,発生・消化曲線!AG$22)</f>
        <v>0</v>
      </c>
      <c r="AH25" s="56">
        <f>COUNTIFS('SP6'!$E:$E,"完了",'SP6'!$G:$G,発生・消化曲線!AH$22)</f>
        <v>0</v>
      </c>
      <c r="AI25" s="56">
        <f>COUNTIFS('SP6'!$E:$E,"完了",'SP6'!$G:$G,発生・消化曲線!AI$22)</f>
        <v>0</v>
      </c>
      <c r="AJ25" s="56">
        <f>COUNTIFS('SP6'!$E:$E,"完了",'SP6'!$G:$G,発生・消化曲線!AJ$22)</f>
        <v>0</v>
      </c>
      <c r="AK25" s="56">
        <f>COUNTIFS('SP6'!$E:$E,"完了",'SP6'!$G:$G,発生・消化曲線!AK$22)</f>
        <v>0</v>
      </c>
      <c r="AL25" s="56">
        <f>COUNTIFS('SP6'!$E:$E,"完了",'SP6'!$G:$G,発生・消化曲線!AL$22)</f>
        <v>0</v>
      </c>
      <c r="AM25" s="56">
        <f>COUNTIFS('SP6'!$E:$E,"完了",'SP6'!$G:$G,発生・消化曲線!AM$22)</f>
        <v>0</v>
      </c>
      <c r="AN25" s="56">
        <f>COUNTIFS('SP6'!$E:$E,"完了",'SP6'!$G:$G,発生・消化曲線!AN$22)</f>
        <v>0</v>
      </c>
      <c r="AO25" s="56">
        <f>COUNTIFS('SP6'!$E:$E,"完了",'SP6'!$G:$G,発生・消化曲線!AO$22)</f>
        <v>0</v>
      </c>
      <c r="AP25" s="56">
        <f>COUNTIFS('SP6'!$E:$E,"完了",'SP6'!$G:$G,発生・消化曲線!AP$22)</f>
        <v>0</v>
      </c>
      <c r="AQ25" s="56">
        <f>COUNTIFS('SP6'!$E:$E,"完了",'SP6'!$G:$G,発生・消化曲線!AQ$22)</f>
        <v>0</v>
      </c>
      <c r="AR25" s="56">
        <f>COUNTIFS('SP6'!$E:$E,"完了",'SP6'!$G:$G,発生・消化曲線!AR$22)</f>
        <v>0</v>
      </c>
      <c r="AS25" s="56">
        <f>COUNTIFS('SP6'!$E:$E,"完了",'SP6'!$G:$G,発生・消化曲線!AS$22)</f>
        <v>0</v>
      </c>
      <c r="AT25" s="56">
        <f>COUNTIFS('SP6'!$E:$E,"完了",'SP6'!$G:$G,発生・消化曲線!AT$22)</f>
        <v>0</v>
      </c>
      <c r="AU25" s="56">
        <f>COUNTIFS('SP6'!$E:$E,"完了",'SP6'!$G:$G,発生・消化曲線!AU$22)</f>
        <v>0</v>
      </c>
      <c r="AV25" s="56">
        <f>COUNTIFS('SP6'!$E:$E,"完了",'SP6'!$G:$G,発生・消化曲線!AV$22)</f>
        <v>0</v>
      </c>
      <c r="AW25" s="56">
        <f>COUNTIFS('SP6'!$E:$E,"完了",'SP6'!$G:$G,発生・消化曲線!AW$22)</f>
        <v>0</v>
      </c>
      <c r="AX25" s="56">
        <f>COUNTIFS('SP6'!$E:$E,"完了",'SP6'!$G:$G,発生・消化曲線!AX$22)</f>
        <v>0</v>
      </c>
      <c r="AY25" s="56">
        <f>COUNTIFS('SP6'!$E:$E,"完了",'SP6'!$G:$G,発生・消化曲線!AY$22)</f>
        <v>0</v>
      </c>
      <c r="AZ25" s="56">
        <f>COUNTIFS('SP6'!$E:$E,"完了",'SP6'!$G:$G,発生・消化曲線!AZ$22)</f>
        <v>0</v>
      </c>
      <c r="BA25" s="56">
        <f>COUNTIFS('SP6'!$E:$E,"完了",'SP6'!$G:$G,発生・消化曲線!BA$22)</f>
        <v>0</v>
      </c>
    </row>
    <row r="26" spans="1:53" ht="19" thickTop="1">
      <c r="A26" s="60" t="s">
        <v>225</v>
      </c>
      <c r="B26" s="61">
        <f t="shared" ref="B26:AB26" si="34">SUM(B24:B25)</f>
        <v>8</v>
      </c>
      <c r="C26" s="61">
        <f t="shared" si="34"/>
        <v>7</v>
      </c>
      <c r="D26" s="61">
        <f t="shared" si="34"/>
        <v>8</v>
      </c>
      <c r="E26" s="61">
        <f t="shared" si="34"/>
        <v>4</v>
      </c>
      <c r="F26" s="61">
        <f t="shared" si="34"/>
        <v>8</v>
      </c>
      <c r="G26" s="61">
        <f t="shared" si="34"/>
        <v>1</v>
      </c>
      <c r="H26" s="61">
        <f t="shared" si="34"/>
        <v>3</v>
      </c>
      <c r="I26" s="61">
        <f t="shared" si="34"/>
        <v>0</v>
      </c>
      <c r="J26" s="61">
        <f t="shared" si="34"/>
        <v>0</v>
      </c>
      <c r="K26" s="61">
        <f t="shared" si="34"/>
        <v>13</v>
      </c>
      <c r="L26" s="61">
        <f t="shared" si="34"/>
        <v>6</v>
      </c>
      <c r="M26" s="61">
        <f t="shared" si="34"/>
        <v>19</v>
      </c>
      <c r="N26" s="61">
        <f t="shared" si="34"/>
        <v>14</v>
      </c>
      <c r="O26" s="61">
        <f t="shared" si="34"/>
        <v>7</v>
      </c>
      <c r="P26" s="61">
        <f t="shared" si="34"/>
        <v>0</v>
      </c>
      <c r="Q26" s="61">
        <f t="shared" si="34"/>
        <v>0</v>
      </c>
      <c r="R26" s="61">
        <f t="shared" si="34"/>
        <v>3</v>
      </c>
      <c r="S26" s="61">
        <f t="shared" si="34"/>
        <v>14</v>
      </c>
      <c r="T26" s="61">
        <f t="shared" si="34"/>
        <v>14</v>
      </c>
      <c r="U26" s="61">
        <f t="shared" si="34"/>
        <v>17</v>
      </c>
      <c r="V26" s="61">
        <f t="shared" si="34"/>
        <v>8</v>
      </c>
      <c r="W26" s="61">
        <f t="shared" si="34"/>
        <v>0</v>
      </c>
      <c r="X26" s="61">
        <f t="shared" si="34"/>
        <v>0</v>
      </c>
      <c r="Y26" s="61">
        <f t="shared" si="34"/>
        <v>5</v>
      </c>
      <c r="Z26" s="61">
        <f t="shared" si="34"/>
        <v>3</v>
      </c>
      <c r="AA26" s="61">
        <f t="shared" si="34"/>
        <v>9</v>
      </c>
      <c r="AB26" s="61">
        <f t="shared" si="34"/>
        <v>3</v>
      </c>
      <c r="AC26" s="61">
        <f t="shared" ref="AC26:BA26" si="35">SUM(AC24:AC25)</f>
        <v>0</v>
      </c>
      <c r="AD26" s="61">
        <f t="shared" si="35"/>
        <v>0</v>
      </c>
      <c r="AE26" s="61">
        <f t="shared" si="35"/>
        <v>0</v>
      </c>
      <c r="AF26" s="61">
        <f t="shared" si="35"/>
        <v>0</v>
      </c>
      <c r="AG26" s="61">
        <f t="shared" si="35"/>
        <v>0</v>
      </c>
      <c r="AH26" s="61">
        <f t="shared" si="35"/>
        <v>0</v>
      </c>
      <c r="AI26" s="61">
        <f t="shared" si="35"/>
        <v>0</v>
      </c>
      <c r="AJ26" s="61">
        <f t="shared" si="35"/>
        <v>0</v>
      </c>
      <c r="AK26" s="61">
        <f t="shared" si="35"/>
        <v>0</v>
      </c>
      <c r="AL26" s="61">
        <f t="shared" si="35"/>
        <v>0</v>
      </c>
      <c r="AM26" s="61">
        <f t="shared" si="35"/>
        <v>0</v>
      </c>
      <c r="AN26" s="61">
        <f t="shared" si="35"/>
        <v>0</v>
      </c>
      <c r="AO26" s="61">
        <f t="shared" si="35"/>
        <v>0</v>
      </c>
      <c r="AP26" s="61">
        <f t="shared" si="35"/>
        <v>0</v>
      </c>
      <c r="AQ26" s="61">
        <f t="shared" si="35"/>
        <v>0</v>
      </c>
      <c r="AR26" s="61">
        <f t="shared" si="35"/>
        <v>0</v>
      </c>
      <c r="AS26" s="61">
        <f t="shared" si="35"/>
        <v>0</v>
      </c>
      <c r="AT26" s="61">
        <f t="shared" si="35"/>
        <v>0</v>
      </c>
      <c r="AU26" s="61">
        <f t="shared" si="35"/>
        <v>0</v>
      </c>
      <c r="AV26" s="61">
        <f t="shared" si="35"/>
        <v>0</v>
      </c>
      <c r="AW26" s="61">
        <f t="shared" si="35"/>
        <v>0</v>
      </c>
      <c r="AX26" s="61">
        <f t="shared" si="35"/>
        <v>0</v>
      </c>
      <c r="AY26" s="61">
        <f t="shared" si="35"/>
        <v>0</v>
      </c>
      <c r="AZ26" s="61">
        <f t="shared" si="35"/>
        <v>0</v>
      </c>
      <c r="BA26" s="61">
        <f t="shared" si="35"/>
        <v>0</v>
      </c>
    </row>
    <row r="27" spans="1:53">
      <c r="A27" s="59" t="s">
        <v>209</v>
      </c>
      <c r="B27" s="56">
        <f>B26</f>
        <v>8</v>
      </c>
      <c r="C27" s="56">
        <f t="shared" ref="C27:AB27" si="36">B27+C26</f>
        <v>15</v>
      </c>
      <c r="D27" s="56">
        <f t="shared" si="36"/>
        <v>23</v>
      </c>
      <c r="E27" s="56">
        <f t="shared" si="36"/>
        <v>27</v>
      </c>
      <c r="F27" s="56">
        <f t="shared" si="36"/>
        <v>35</v>
      </c>
      <c r="G27" s="56">
        <f t="shared" si="36"/>
        <v>36</v>
      </c>
      <c r="H27" s="56">
        <f t="shared" si="36"/>
        <v>39</v>
      </c>
      <c r="I27" s="56">
        <f t="shared" si="36"/>
        <v>39</v>
      </c>
      <c r="J27" s="56">
        <f t="shared" si="36"/>
        <v>39</v>
      </c>
      <c r="K27" s="56">
        <f t="shared" si="36"/>
        <v>52</v>
      </c>
      <c r="L27" s="56">
        <f t="shared" si="36"/>
        <v>58</v>
      </c>
      <c r="M27" s="56">
        <f t="shared" si="36"/>
        <v>77</v>
      </c>
      <c r="N27" s="56">
        <f t="shared" si="36"/>
        <v>91</v>
      </c>
      <c r="O27" s="56">
        <f t="shared" si="36"/>
        <v>98</v>
      </c>
      <c r="P27" s="56">
        <f t="shared" si="36"/>
        <v>98</v>
      </c>
      <c r="Q27" s="56">
        <f t="shared" si="36"/>
        <v>98</v>
      </c>
      <c r="R27" s="56">
        <f t="shared" si="36"/>
        <v>101</v>
      </c>
      <c r="S27" s="56">
        <f t="shared" si="36"/>
        <v>115</v>
      </c>
      <c r="T27" s="56">
        <f t="shared" si="36"/>
        <v>129</v>
      </c>
      <c r="U27" s="56">
        <f t="shared" si="36"/>
        <v>146</v>
      </c>
      <c r="V27" s="56">
        <f t="shared" si="36"/>
        <v>154</v>
      </c>
      <c r="W27" s="56">
        <f t="shared" si="36"/>
        <v>154</v>
      </c>
      <c r="X27" s="56">
        <f t="shared" si="36"/>
        <v>154</v>
      </c>
      <c r="Y27" s="56">
        <f t="shared" si="36"/>
        <v>159</v>
      </c>
      <c r="Z27" s="56">
        <f t="shared" si="36"/>
        <v>162</v>
      </c>
      <c r="AA27" s="56">
        <f t="shared" si="36"/>
        <v>171</v>
      </c>
      <c r="AB27" s="56">
        <f t="shared" si="36"/>
        <v>174</v>
      </c>
      <c r="AC27" s="56">
        <f t="shared" ref="AC27" si="37">AB27+AC26</f>
        <v>174</v>
      </c>
      <c r="AD27" s="56">
        <f t="shared" ref="AD27" si="38">AC27+AD26</f>
        <v>174</v>
      </c>
      <c r="AE27" s="56">
        <f t="shared" ref="AE27" si="39">AD27+AE26</f>
        <v>174</v>
      </c>
      <c r="AF27" s="56">
        <f t="shared" ref="AF27" si="40">AE27+AF26</f>
        <v>174</v>
      </c>
      <c r="AG27" s="56">
        <f t="shared" ref="AG27" si="41">AF27+AG26</f>
        <v>174</v>
      </c>
      <c r="AH27" s="56">
        <f t="shared" ref="AH27" si="42">AG27+AH26</f>
        <v>174</v>
      </c>
      <c r="AI27" s="56">
        <f t="shared" ref="AI27" si="43">AH27+AI26</f>
        <v>174</v>
      </c>
      <c r="AJ27" s="56">
        <f t="shared" ref="AJ27" si="44">AI27+AJ26</f>
        <v>174</v>
      </c>
      <c r="AK27" s="56">
        <f t="shared" ref="AK27" si="45">AJ27+AK26</f>
        <v>174</v>
      </c>
      <c r="AL27" s="56">
        <f t="shared" ref="AL27" si="46">AK27+AL26</f>
        <v>174</v>
      </c>
      <c r="AM27" s="56">
        <f t="shared" ref="AM27" si="47">AL27+AM26</f>
        <v>174</v>
      </c>
      <c r="AN27" s="56">
        <f t="shared" ref="AN27" si="48">AM27+AN26</f>
        <v>174</v>
      </c>
      <c r="AO27" s="56">
        <f t="shared" ref="AO27" si="49">AN27+AO26</f>
        <v>174</v>
      </c>
      <c r="AP27" s="56">
        <f t="shared" ref="AP27" si="50">AO27+AP26</f>
        <v>174</v>
      </c>
      <c r="AQ27" s="56">
        <f t="shared" ref="AQ27" si="51">AP27+AQ26</f>
        <v>174</v>
      </c>
      <c r="AR27" s="56">
        <f t="shared" ref="AR27" si="52">AQ27+AR26</f>
        <v>174</v>
      </c>
      <c r="AS27" s="56">
        <f t="shared" ref="AS27" si="53">AR27+AS26</f>
        <v>174</v>
      </c>
      <c r="AT27" s="56">
        <f t="shared" ref="AT27" si="54">AS27+AT26</f>
        <v>174</v>
      </c>
      <c r="AU27" s="56">
        <f t="shared" ref="AU27" si="55">AT27+AU26</f>
        <v>174</v>
      </c>
      <c r="AV27" s="56">
        <f t="shared" ref="AV27" si="56">AU27+AV26</f>
        <v>174</v>
      </c>
      <c r="AW27" s="56">
        <f t="shared" ref="AW27" si="57">AV27+AW26</f>
        <v>174</v>
      </c>
      <c r="AX27" s="56">
        <f t="shared" ref="AX27" si="58">AW27+AX26</f>
        <v>174</v>
      </c>
      <c r="AY27" s="56">
        <f t="shared" ref="AY27" si="59">AX27+AY26</f>
        <v>174</v>
      </c>
      <c r="AZ27" s="56">
        <f t="shared" ref="AZ27" si="60">AY27+AZ26</f>
        <v>174</v>
      </c>
      <c r="BA27" s="56">
        <f t="shared" ref="BA27" si="61">AZ27+BA26</f>
        <v>174</v>
      </c>
    </row>
  </sheetData>
  <mergeCells count="4">
    <mergeCell ref="A2:B2"/>
    <mergeCell ref="A14:A15"/>
    <mergeCell ref="A22:A23"/>
    <mergeCell ref="A8:B8"/>
  </mergeCells>
  <phoneticPr fontId="7"/>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D7"/>
  <sheetViews>
    <sheetView workbookViewId="0">
      <selection activeCell="F25" sqref="F25"/>
    </sheetView>
  </sheetViews>
  <sheetFormatPr baseColWidth="10" defaultColWidth="8.83203125" defaultRowHeight="18"/>
  <cols>
    <col min="1" max="1" width="17.1640625" bestFit="1" customWidth="1"/>
    <col min="2" max="3" width="10.83203125" hidden="1" customWidth="1"/>
  </cols>
  <sheetData>
    <row r="1" spans="1:4">
      <c r="A1" s="18" t="s">
        <v>220</v>
      </c>
      <c r="B1" s="18"/>
    </row>
    <row r="2" spans="1:4">
      <c r="A2" s="99" t="s">
        <v>214</v>
      </c>
      <c r="B2" s="100"/>
      <c r="C2" s="100"/>
      <c r="D2" s="101"/>
    </row>
    <row r="3" spans="1:4" ht="18.75" customHeight="1">
      <c r="A3" s="62" t="s">
        <v>213</v>
      </c>
      <c r="B3" s="40">
        <f>COUNTIF('SP1～SP5'!$E:$E,ステータス!$A3)</f>
        <v>1</v>
      </c>
      <c r="C3" s="40">
        <f>COUNTIF('SP6'!$E:$E,ステータス!$A3)</f>
        <v>6</v>
      </c>
      <c r="D3" s="40">
        <f>SUM(B3:C3)</f>
        <v>7</v>
      </c>
    </row>
    <row r="4" spans="1:4">
      <c r="A4" s="62" t="s">
        <v>212</v>
      </c>
      <c r="B4" s="40">
        <f>COUNTIF('SP1～SP5'!E:E,ステータス!A4)</f>
        <v>3</v>
      </c>
      <c r="C4" s="40">
        <f>COUNTIF('SP6'!$E:$E,ステータス!$A4)</f>
        <v>7</v>
      </c>
      <c r="D4" s="40">
        <f>SUM(B4:C4)</f>
        <v>10</v>
      </c>
    </row>
    <row r="5" spans="1:4">
      <c r="A5" s="62" t="s">
        <v>97</v>
      </c>
      <c r="B5" s="40">
        <f>COUNTIF('SP1～SP5'!E:E,ステータス!A5)</f>
        <v>0</v>
      </c>
      <c r="C5" s="40">
        <f>COUNTIF('SP6'!$E:$E,ステータス!$A5)</f>
        <v>2</v>
      </c>
      <c r="D5" s="40">
        <f>SUM(B5:C5)</f>
        <v>2</v>
      </c>
    </row>
    <row r="6" spans="1:4">
      <c r="A6" s="62" t="s">
        <v>211</v>
      </c>
      <c r="B6" s="40">
        <f>COUNTIF('SP1～SP5'!E:E,ステータス!A6)</f>
        <v>154</v>
      </c>
      <c r="C6" s="40">
        <f>COUNTIF('SP6'!$E:$E,ステータス!$A6)</f>
        <v>20</v>
      </c>
      <c r="D6" s="40">
        <f>SUM(B6:C6)</f>
        <v>174</v>
      </c>
    </row>
    <row r="7" spans="1:4">
      <c r="A7" s="51" t="s">
        <v>209</v>
      </c>
      <c r="B7" s="40">
        <f>SUM(B3:B6)</f>
        <v>158</v>
      </c>
      <c r="C7" s="40">
        <f>SUM(C3:C6)</f>
        <v>35</v>
      </c>
      <c r="D7" s="40">
        <f>SUM(D3:D6)</f>
        <v>193</v>
      </c>
    </row>
  </sheetData>
  <mergeCells count="1">
    <mergeCell ref="A2:D2"/>
  </mergeCells>
  <phoneticPr fontId="7"/>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D10"/>
  <sheetViews>
    <sheetView workbookViewId="0">
      <selection activeCell="B1" sqref="B1:C1048576"/>
    </sheetView>
  </sheetViews>
  <sheetFormatPr baseColWidth="10" defaultColWidth="8.83203125" defaultRowHeight="18"/>
  <cols>
    <col min="1" max="1" width="17.1640625" bestFit="1" customWidth="1"/>
    <col min="2" max="3" width="11.1640625" hidden="1" customWidth="1"/>
  </cols>
  <sheetData>
    <row r="1" spans="1:4">
      <c r="A1" s="80" t="s">
        <v>233</v>
      </c>
      <c r="B1" s="50" t="s">
        <v>56</v>
      </c>
      <c r="C1" s="50" t="s">
        <v>221</v>
      </c>
      <c r="D1" s="51" t="s">
        <v>209</v>
      </c>
    </row>
    <row r="2" spans="1:4">
      <c r="A2" s="6" t="s">
        <v>230</v>
      </c>
      <c r="B2" s="53">
        <f>COUNTIFS('SP1～SP5'!$E:$E,"完了",'SP1～SP5'!$H:$H,A2)</f>
        <v>0</v>
      </c>
      <c r="C2" s="53">
        <f>COUNTIFS('SP6'!$E:$E,"完了",'SP6'!$H:$H,A2)</f>
        <v>0</v>
      </c>
      <c r="D2" s="56">
        <f t="shared" ref="D2:D9" si="0">SUM(B2:C2)</f>
        <v>0</v>
      </c>
    </row>
    <row r="3" spans="1:4">
      <c r="A3" s="6" t="s">
        <v>73</v>
      </c>
      <c r="B3" s="53">
        <f>COUNTIFS('SP1～SP5'!$E:$E,"完了",'SP1～SP5'!$H:$H,A3)</f>
        <v>4</v>
      </c>
      <c r="C3" s="53">
        <f>COUNTIFS('SP6'!$E:$E,"完了",'SP6'!$H:$H,A3)</f>
        <v>0</v>
      </c>
      <c r="D3" s="56">
        <f t="shared" si="0"/>
        <v>4</v>
      </c>
    </row>
    <row r="4" spans="1:4">
      <c r="A4" s="6" t="s">
        <v>36</v>
      </c>
      <c r="B4" s="53">
        <f>COUNTIFS('SP1～SP5'!$E:$E,"完了",'SP1～SP5'!$H:$H,A4)</f>
        <v>24</v>
      </c>
      <c r="C4" s="53">
        <f>COUNTIFS('SP6'!$E:$E,"完了",'SP6'!$H:$H,A4)</f>
        <v>3</v>
      </c>
      <c r="D4" s="56">
        <f t="shared" si="0"/>
        <v>27</v>
      </c>
    </row>
    <row r="5" spans="1:4">
      <c r="A5" s="6" t="s">
        <v>22</v>
      </c>
      <c r="B5" s="53">
        <f>COUNTIFS('SP1～SP5'!$E:$E,"完了",'SP1～SP5'!$H:$H,A5)</f>
        <v>111</v>
      </c>
      <c r="C5" s="53">
        <f>COUNTIFS('SP6'!$E:$E,"完了",'SP6'!$H:$H,A5)</f>
        <v>15</v>
      </c>
      <c r="D5" s="56">
        <f t="shared" si="0"/>
        <v>126</v>
      </c>
    </row>
    <row r="6" spans="1:4">
      <c r="A6" s="6" t="s">
        <v>231</v>
      </c>
      <c r="B6" s="53">
        <f>COUNTIFS('SP1～SP5'!$E:$E,"完了",'SP1～SP5'!$H:$H,A6)</f>
        <v>0</v>
      </c>
      <c r="C6" s="53">
        <f>COUNTIFS('SP6'!$E:$E,"完了",'SP6'!$H:$H,A6)</f>
        <v>0</v>
      </c>
      <c r="D6" s="56">
        <f t="shared" si="0"/>
        <v>0</v>
      </c>
    </row>
    <row r="7" spans="1:4">
      <c r="A7" s="6" t="s">
        <v>232</v>
      </c>
      <c r="B7" s="53">
        <f>COUNTIFS('SP1～SP5'!$E:$E,"完了",'SP1～SP5'!$H:$H,A7)</f>
        <v>0</v>
      </c>
      <c r="C7" s="53">
        <f>COUNTIFS('SP6'!$E:$E,"完了",'SP6'!$H:$H,A7)</f>
        <v>0</v>
      </c>
      <c r="D7" s="56">
        <f t="shared" si="0"/>
        <v>0</v>
      </c>
    </row>
    <row r="8" spans="1:4">
      <c r="A8" s="6" t="s">
        <v>147</v>
      </c>
      <c r="B8" s="53">
        <f>COUNTIFS('SP1～SP5'!$E:$E,"完了",'SP1～SP5'!$H:$H,A8)</f>
        <v>1</v>
      </c>
      <c r="C8" s="53">
        <f>COUNTIFS('SP6'!$E:$E,"完了",'SP6'!$H:$H,A8)</f>
        <v>1</v>
      </c>
      <c r="D8" s="56">
        <f t="shared" si="0"/>
        <v>2</v>
      </c>
    </row>
    <row r="9" spans="1:4">
      <c r="A9" s="6" t="s">
        <v>23</v>
      </c>
      <c r="B9" s="53">
        <f>COUNTIFS('SP1～SP5'!$E:$E,"完了",'SP1～SP5'!$H:$H,A9)</f>
        <v>9</v>
      </c>
      <c r="C9" s="53">
        <f>COUNTIFS('SP6'!$E:$E,"完了",'SP6'!$H:$H,A9)</f>
        <v>1</v>
      </c>
      <c r="D9" s="56">
        <f t="shared" si="0"/>
        <v>10</v>
      </c>
    </row>
    <row r="10" spans="1:4">
      <c r="A10" s="51" t="s">
        <v>209</v>
      </c>
      <c r="B10" s="53">
        <f>SUM(B2:B9)</f>
        <v>149</v>
      </c>
      <c r="C10" s="53">
        <f>SUM(C2:C9)</f>
        <v>20</v>
      </c>
      <c r="D10" s="56">
        <f>SUM(D2:D9)</f>
        <v>169</v>
      </c>
    </row>
  </sheetData>
  <phoneticPr fontId="7"/>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D23"/>
  <sheetViews>
    <sheetView workbookViewId="0">
      <selection activeCell="B1" sqref="B1:C1048576"/>
    </sheetView>
  </sheetViews>
  <sheetFormatPr baseColWidth="10" defaultColWidth="8.83203125" defaultRowHeight="18"/>
  <cols>
    <col min="1" max="1" width="19.1640625" customWidth="1"/>
    <col min="2" max="2" width="9.5" hidden="1" customWidth="1"/>
    <col min="3" max="3" width="9" hidden="1" customWidth="1"/>
  </cols>
  <sheetData>
    <row r="1" spans="1:4">
      <c r="A1" s="54" t="s">
        <v>224</v>
      </c>
      <c r="B1" s="50" t="s">
        <v>56</v>
      </c>
      <c r="C1" s="50" t="s">
        <v>221</v>
      </c>
      <c r="D1" s="51" t="s">
        <v>209</v>
      </c>
    </row>
    <row r="2" spans="1:4">
      <c r="A2" s="53" t="s">
        <v>272</v>
      </c>
      <c r="B2" s="53">
        <f>COUNTIFS('SP1～SP5'!$D:$D,$A2,'SP1～SP5'!$E:$E,"完了")</f>
        <v>13</v>
      </c>
      <c r="C2" s="53">
        <f>COUNTIFS('SP6'!$E:$E,$A2,'SP1～SP5'!$E:$E,"完了")</f>
        <v>0</v>
      </c>
      <c r="D2" s="53">
        <f t="shared" ref="D2:D22" si="0">SUM(B2:C2)</f>
        <v>13</v>
      </c>
    </row>
    <row r="3" spans="1:4">
      <c r="A3" s="53" t="s">
        <v>223</v>
      </c>
      <c r="B3" s="53">
        <f>COUNTIFS('SP1～SP5'!$D:$D,$A3,'SP1～SP5'!$E:$E,"完了")</f>
        <v>18</v>
      </c>
      <c r="C3" s="53">
        <f>COUNTIFS('SP6'!$E:$E,$A3,'SP1～SP5'!$E:$E,"完了")</f>
        <v>0</v>
      </c>
      <c r="D3" s="53">
        <f t="shared" si="0"/>
        <v>18</v>
      </c>
    </row>
    <row r="4" spans="1:4">
      <c r="A4" s="53" t="s">
        <v>267</v>
      </c>
      <c r="B4" s="53">
        <f>COUNTIFS('SP1～SP5'!$D:$D,$A4,'SP1～SP5'!$E:$E,"完了")</f>
        <v>15</v>
      </c>
      <c r="C4" s="53">
        <f>COUNTIFS('SP6'!$E:$E,$A4,'SP1～SP5'!$E:$E,"完了")</f>
        <v>0</v>
      </c>
      <c r="D4" s="53">
        <f t="shared" si="0"/>
        <v>15</v>
      </c>
    </row>
    <row r="5" spans="1:4">
      <c r="A5" s="53" t="s">
        <v>242</v>
      </c>
      <c r="B5" s="53">
        <f>COUNTIFS('SP1～SP5'!$D:$D,$A5,'SP1～SP5'!$E:$E,"完了")</f>
        <v>32</v>
      </c>
      <c r="C5" s="53">
        <f>COUNTIFS('SP6'!$E:$E,$A5,'SP1～SP5'!$E:$E,"完了")</f>
        <v>0</v>
      </c>
      <c r="D5" s="53">
        <f t="shared" si="0"/>
        <v>32</v>
      </c>
    </row>
    <row r="6" spans="1:4">
      <c r="A6" s="53" t="s">
        <v>274</v>
      </c>
      <c r="B6" s="53">
        <f>COUNTIFS('SP1～SP5'!$D:$D,$A6,'SP1～SP5'!$E:$E,"完了")</f>
        <v>3</v>
      </c>
      <c r="C6" s="53">
        <f>COUNTIFS('SP6'!$E:$E,$A6,'SP1～SP5'!$E:$E,"完了")</f>
        <v>0</v>
      </c>
      <c r="D6" s="53">
        <f t="shared" si="0"/>
        <v>3</v>
      </c>
    </row>
    <row r="7" spans="1:4">
      <c r="A7" s="53" t="s">
        <v>240</v>
      </c>
      <c r="B7" s="53">
        <f>COUNTIFS('SP1～SP5'!$D:$D,$A7,'SP1～SP5'!$E:$E,"完了")</f>
        <v>9</v>
      </c>
      <c r="C7" s="53">
        <f>COUNTIFS('SP6'!$E:$E,$A7,'SP1～SP5'!$E:$E,"完了")</f>
        <v>0</v>
      </c>
      <c r="D7" s="53">
        <f t="shared" si="0"/>
        <v>9</v>
      </c>
    </row>
    <row r="8" spans="1:4">
      <c r="A8" s="53" t="s">
        <v>301</v>
      </c>
      <c r="B8" s="53">
        <f>COUNTIFS('SP1～SP5'!$D:$D,$A8,'SP1～SP5'!$E:$E,"完了")</f>
        <v>6</v>
      </c>
      <c r="C8" s="53">
        <f>COUNTIFS('SP6'!$E:$E,$A8,'SP1～SP5'!$E:$E,"完了")</f>
        <v>0</v>
      </c>
      <c r="D8" s="53">
        <f t="shared" si="0"/>
        <v>6</v>
      </c>
    </row>
    <row r="9" spans="1:4">
      <c r="A9" s="53" t="s">
        <v>271</v>
      </c>
      <c r="B9" s="53">
        <f>COUNTIFS('SP1～SP5'!$D:$D,$A9,'SP1～SP5'!$E:$E,"完了")</f>
        <v>4</v>
      </c>
      <c r="C9" s="53">
        <f>COUNTIFS('SP6'!$E:$E,$A9,'SP1～SP5'!$E:$E,"完了")</f>
        <v>0</v>
      </c>
      <c r="D9" s="53">
        <f t="shared" si="0"/>
        <v>4</v>
      </c>
    </row>
    <row r="10" spans="1:4">
      <c r="A10" s="53" t="s">
        <v>268</v>
      </c>
      <c r="B10" s="53">
        <f>COUNTIFS('SP1～SP5'!$D:$D,$A10,'SP1～SP5'!$E:$E,"完了")</f>
        <v>2</v>
      </c>
      <c r="C10" s="53">
        <f>COUNTIFS('SP6'!$E:$E,$A10,'SP1～SP5'!$E:$E,"完了")</f>
        <v>0</v>
      </c>
      <c r="D10" s="53">
        <f t="shared" si="0"/>
        <v>2</v>
      </c>
    </row>
    <row r="11" spans="1:4">
      <c r="A11" s="53" t="s">
        <v>270</v>
      </c>
      <c r="B11" s="53">
        <f>COUNTIFS('SP1～SP5'!$D:$D,$A11,'SP1～SP5'!$E:$E,"完了")</f>
        <v>7</v>
      </c>
      <c r="C11" s="53">
        <f>COUNTIFS('SP6'!$E:$E,$A11,'SP1～SP5'!$E:$E,"完了")</f>
        <v>0</v>
      </c>
      <c r="D11" s="53">
        <f t="shared" si="0"/>
        <v>7</v>
      </c>
    </row>
    <row r="12" spans="1:4">
      <c r="A12" s="53" t="s">
        <v>275</v>
      </c>
      <c r="B12" s="53">
        <f>COUNTIFS('SP1～SP5'!$D:$D,$A12,'SP1～SP5'!$E:$E,"完了")</f>
        <v>2</v>
      </c>
      <c r="C12" s="53">
        <f>COUNTIFS('SP6'!$E:$E,$A12,'SP1～SP5'!$E:$E,"完了")</f>
        <v>0</v>
      </c>
      <c r="D12" s="53">
        <f t="shared" si="0"/>
        <v>2</v>
      </c>
    </row>
    <row r="13" spans="1:4">
      <c r="A13" s="53" t="s">
        <v>277</v>
      </c>
      <c r="B13" s="53">
        <f>COUNTIFS('SP1～SP5'!$D:$D,$A13,'SP1～SP5'!$E:$E,"完了")</f>
        <v>7</v>
      </c>
      <c r="C13" s="53">
        <f>COUNTIFS('SP6'!$E:$E,$A13,'SP1～SP5'!$E:$E,"完了")</f>
        <v>0</v>
      </c>
      <c r="D13" s="53">
        <f t="shared" si="0"/>
        <v>7</v>
      </c>
    </row>
    <row r="14" spans="1:4">
      <c r="A14" s="53" t="s">
        <v>279</v>
      </c>
      <c r="B14" s="53">
        <f>COUNTIFS('SP1～SP5'!$D:$D,$A14,'SP1～SP5'!$E:$E,"完了")</f>
        <v>4</v>
      </c>
      <c r="C14" s="53">
        <f>COUNTIFS('SP6'!$E:$E,$A14,'SP1～SP5'!$E:$E,"完了")</f>
        <v>0</v>
      </c>
      <c r="D14" s="53">
        <f t="shared" si="0"/>
        <v>4</v>
      </c>
    </row>
    <row r="15" spans="1:4">
      <c r="A15" s="53" t="s">
        <v>281</v>
      </c>
      <c r="B15" s="53">
        <f>COUNTIFS('SP1～SP5'!$D:$D,$A15,'SP1～SP5'!$E:$E,"完了")</f>
        <v>2</v>
      </c>
      <c r="C15" s="53">
        <f>COUNTIFS('SP6'!$E:$E,$A15,'SP1～SP5'!$E:$E,"完了")</f>
        <v>0</v>
      </c>
      <c r="D15" s="53">
        <f t="shared" si="0"/>
        <v>2</v>
      </c>
    </row>
    <row r="16" spans="1:4">
      <c r="A16" s="53" t="s">
        <v>282</v>
      </c>
      <c r="B16" s="53">
        <f>COUNTIFS('SP1～SP5'!$D:$D,$A16,'SP1～SP5'!$E:$E,"完了")</f>
        <v>1</v>
      </c>
      <c r="C16" s="53">
        <f>COUNTIFS('SP6'!$E:$E,$A16,'SP1～SP5'!$E:$E,"完了")</f>
        <v>0</v>
      </c>
      <c r="D16" s="53">
        <f t="shared" si="0"/>
        <v>1</v>
      </c>
    </row>
    <row r="17" spans="1:4">
      <c r="A17" s="53" t="s">
        <v>263</v>
      </c>
      <c r="B17" s="53">
        <f>COUNTIFS('SP1～SP5'!$D:$D,$A17,'SP1～SP5'!$E:$E,"完了")</f>
        <v>1</v>
      </c>
      <c r="C17" s="53">
        <f>COUNTIFS('SP6'!$E:$E,$A17,'SP1～SP5'!$E:$E,"完了")</f>
        <v>0</v>
      </c>
      <c r="D17" s="53">
        <f t="shared" si="0"/>
        <v>1</v>
      </c>
    </row>
    <row r="18" spans="1:4">
      <c r="A18" s="53" t="s">
        <v>269</v>
      </c>
      <c r="B18" s="53">
        <f>COUNTIFS('SP1～SP5'!$D:$D,$A18,'SP1～SP5'!$E:$E,"完了")</f>
        <v>12</v>
      </c>
      <c r="C18" s="53">
        <f>COUNTIFS('SP6'!$E:$E,$A18,'SP1～SP5'!$E:$E,"完了")</f>
        <v>0</v>
      </c>
      <c r="D18" s="53">
        <f t="shared" si="0"/>
        <v>12</v>
      </c>
    </row>
    <row r="19" spans="1:4">
      <c r="A19" s="53" t="s">
        <v>278</v>
      </c>
      <c r="B19" s="53">
        <f>COUNTIFS('SP1～SP5'!$D:$D,$A19,'SP1～SP5'!$E:$E,"完了")</f>
        <v>1</v>
      </c>
      <c r="C19" s="53">
        <f>COUNTIFS('SP6'!$E:$E,$A19,'SP1～SP5'!$E:$E,"完了")</f>
        <v>0</v>
      </c>
      <c r="D19" s="53">
        <f t="shared" si="0"/>
        <v>1</v>
      </c>
    </row>
    <row r="20" spans="1:4">
      <c r="A20" s="53" t="s">
        <v>280</v>
      </c>
      <c r="B20" s="53">
        <f>COUNTIFS('SP1～SP5'!$D:$D,$A20,'SP1～SP5'!$E:$E,"完了")</f>
        <v>1</v>
      </c>
      <c r="C20" s="53">
        <f>COUNTIFS('SP6'!$E:$E,$A20,'SP1～SP5'!$E:$E,"完了")</f>
        <v>0</v>
      </c>
      <c r="D20" s="53">
        <f t="shared" si="0"/>
        <v>1</v>
      </c>
    </row>
    <row r="21" spans="1:4">
      <c r="A21" s="53"/>
      <c r="B21" s="53">
        <f>COUNTIFS('SP1～SP5'!$D:$D,$A21,'SP1～SP5'!$E:$E,"完了")</f>
        <v>0</v>
      </c>
      <c r="C21" s="53">
        <f>COUNTIFS('SP6'!$E:$E,$A21,'SP1～SP5'!$E:$E,"完了")</f>
        <v>0</v>
      </c>
      <c r="D21" s="53">
        <f t="shared" si="0"/>
        <v>0</v>
      </c>
    </row>
    <row r="22" spans="1:4">
      <c r="A22" s="53"/>
      <c r="B22" s="53">
        <f>COUNTIFS('SP1～SP5'!$D:$D,$A22,'SP1～SP5'!$E:$E,"完了")</f>
        <v>0</v>
      </c>
      <c r="C22" s="53">
        <f>COUNTIFS('SP6'!$E:$E,$A22,'SP1～SP5'!$E:$E,"完了")</f>
        <v>0</v>
      </c>
      <c r="D22" s="53">
        <f t="shared" si="0"/>
        <v>0</v>
      </c>
    </row>
    <row r="23" spans="1:4">
      <c r="A23" s="51" t="s">
        <v>209</v>
      </c>
      <c r="B23" s="53">
        <f>SUM(B2:B22)</f>
        <v>140</v>
      </c>
      <c r="C23" s="53">
        <f>SUM(C2:C22)</f>
        <v>0</v>
      </c>
      <c r="D23" s="53">
        <f>SUM(D2:D22)</f>
        <v>140</v>
      </c>
    </row>
  </sheetData>
  <phoneticPr fontId="7"/>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baseColWidth="10" defaultColWidth="8.83203125" defaultRowHeight="18"/>
  <cols>
    <col min="1" max="1" width="4.5" style="18" customWidth="1"/>
    <col min="2" max="2" width="23.1640625" style="18" customWidth="1"/>
    <col min="3" max="15" width="7.6640625" style="18" customWidth="1"/>
    <col min="16" max="16384" width="8.83203125" style="18"/>
  </cols>
  <sheetData>
    <row r="1" spans="1:15" ht="27">
      <c r="A1" s="47" t="s">
        <v>219</v>
      </c>
    </row>
    <row r="2" spans="1:15">
      <c r="A2" s="106" t="s">
        <v>218</v>
      </c>
      <c r="B2" s="107"/>
      <c r="C2" s="49">
        <v>44214</v>
      </c>
      <c r="D2" s="49">
        <v>44215</v>
      </c>
      <c r="E2" s="49">
        <v>44216</v>
      </c>
      <c r="F2" s="49">
        <v>44217</v>
      </c>
      <c r="G2" s="49">
        <v>44218</v>
      </c>
      <c r="H2" s="49">
        <v>44221</v>
      </c>
      <c r="I2" s="49">
        <v>44222</v>
      </c>
      <c r="J2" s="49">
        <v>44223</v>
      </c>
      <c r="K2" s="49">
        <v>44224</v>
      </c>
      <c r="L2" s="49">
        <v>44225</v>
      </c>
      <c r="M2" s="49">
        <v>44228</v>
      </c>
      <c r="N2" s="49"/>
      <c r="O2" s="49"/>
    </row>
    <row r="3" spans="1:15">
      <c r="B3" s="24" t="s">
        <v>217</v>
      </c>
      <c r="N3" s="31"/>
      <c r="O3" s="31"/>
    </row>
    <row r="4" spans="1:15">
      <c r="B4" s="31" t="s">
        <v>216</v>
      </c>
      <c r="C4" s="31">
        <v>10</v>
      </c>
      <c r="D4" s="31">
        <v>10</v>
      </c>
      <c r="E4" s="31">
        <v>10</v>
      </c>
      <c r="F4" s="31">
        <v>10</v>
      </c>
      <c r="G4" s="31">
        <v>10</v>
      </c>
      <c r="H4" s="31">
        <v>10</v>
      </c>
      <c r="I4" s="31">
        <v>10</v>
      </c>
      <c r="J4" s="31">
        <v>10</v>
      </c>
      <c r="K4" s="31">
        <v>10</v>
      </c>
      <c r="L4" s="31">
        <v>10</v>
      </c>
      <c r="M4" s="31">
        <v>10</v>
      </c>
      <c r="N4" s="31"/>
      <c r="O4" s="31"/>
    </row>
    <row r="5" spans="1:15" ht="38">
      <c r="B5" s="46" t="s">
        <v>215</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102" t="s">
        <v>214</v>
      </c>
      <c r="B7" s="45" t="s">
        <v>213</v>
      </c>
      <c r="C7" s="40">
        <v>72</v>
      </c>
      <c r="D7" s="40">
        <v>65</v>
      </c>
      <c r="E7" s="40">
        <f>17+48</f>
        <v>65</v>
      </c>
      <c r="F7" s="40">
        <v>54</v>
      </c>
      <c r="G7" s="40"/>
      <c r="H7" s="40"/>
      <c r="I7" s="40"/>
      <c r="J7" s="40"/>
      <c r="K7" s="40"/>
      <c r="L7" s="40"/>
      <c r="M7" s="40"/>
      <c r="N7" s="40"/>
      <c r="O7" s="40"/>
    </row>
    <row r="8" spans="1:15">
      <c r="A8" s="102"/>
      <c r="B8" s="45" t="s">
        <v>212</v>
      </c>
      <c r="C8" s="40">
        <v>9</v>
      </c>
      <c r="D8" s="40">
        <v>11</v>
      </c>
      <c r="E8" s="40">
        <v>5</v>
      </c>
      <c r="F8" s="40">
        <v>4</v>
      </c>
      <c r="G8" s="40"/>
      <c r="H8" s="40"/>
      <c r="I8" s="40"/>
      <c r="J8" s="40"/>
      <c r="K8" s="40"/>
      <c r="L8" s="40"/>
      <c r="M8" s="40"/>
      <c r="N8" s="40"/>
      <c r="O8" s="40"/>
    </row>
    <row r="9" spans="1:15">
      <c r="A9" s="102"/>
      <c r="B9" s="45" t="s">
        <v>97</v>
      </c>
      <c r="C9" s="40">
        <v>10</v>
      </c>
      <c r="D9" s="40">
        <v>11</v>
      </c>
      <c r="E9" s="40">
        <v>11</v>
      </c>
      <c r="F9" s="40">
        <v>16</v>
      </c>
      <c r="G9" s="40"/>
      <c r="H9" s="40"/>
      <c r="I9" s="40"/>
      <c r="J9" s="40"/>
      <c r="K9" s="40"/>
      <c r="L9" s="40"/>
      <c r="M9" s="40"/>
      <c r="N9" s="40"/>
      <c r="O9" s="40"/>
    </row>
    <row r="10" spans="1:15">
      <c r="A10" s="102"/>
      <c r="B10" s="45" t="s">
        <v>211</v>
      </c>
      <c r="C10" s="40">
        <v>37</v>
      </c>
      <c r="D10" s="40">
        <v>46</v>
      </c>
      <c r="E10" s="40">
        <v>64</v>
      </c>
      <c r="F10" s="40">
        <v>79</v>
      </c>
      <c r="G10" s="40"/>
      <c r="H10" s="40"/>
      <c r="I10" s="40"/>
      <c r="J10" s="40"/>
      <c r="K10" s="40"/>
      <c r="L10" s="40"/>
      <c r="M10" s="40"/>
      <c r="N10" s="40"/>
      <c r="O10" s="40"/>
    </row>
    <row r="11" spans="1:15">
      <c r="A11" s="103" t="s">
        <v>210</v>
      </c>
      <c r="B11" s="44" t="s">
        <v>208</v>
      </c>
      <c r="C11" s="40">
        <f>SUM(C7:C9)</f>
        <v>91</v>
      </c>
      <c r="D11" s="40">
        <f>SUM(D7:D9)</f>
        <v>87</v>
      </c>
      <c r="E11" s="40">
        <f>SUM(E7:E9)</f>
        <v>81</v>
      </c>
      <c r="F11" s="40">
        <f>SUM(F7:F9)</f>
        <v>74</v>
      </c>
      <c r="G11" s="40"/>
      <c r="H11" s="40"/>
      <c r="I11" s="40"/>
      <c r="J11" s="40"/>
      <c r="K11" s="40"/>
      <c r="L11" s="40"/>
      <c r="M11" s="40"/>
      <c r="N11" s="40"/>
      <c r="O11" s="40"/>
    </row>
    <row r="12" spans="1:15">
      <c r="A12" s="104"/>
      <c r="B12" s="44" t="s">
        <v>207</v>
      </c>
      <c r="C12" s="40">
        <f>SUM(C7:C10)</f>
        <v>128</v>
      </c>
      <c r="D12" s="40">
        <f>SUM(D7:D10)</f>
        <v>133</v>
      </c>
      <c r="E12" s="40">
        <f>SUM(E7:E10)</f>
        <v>145</v>
      </c>
      <c r="F12" s="40">
        <f>SUM(F7:F10)</f>
        <v>153</v>
      </c>
      <c r="G12" s="40"/>
      <c r="H12" s="40"/>
      <c r="I12" s="40"/>
      <c r="J12" s="40"/>
      <c r="K12" s="40"/>
      <c r="L12" s="40"/>
      <c r="M12" s="40"/>
      <c r="N12" s="40"/>
      <c r="O12" s="40"/>
    </row>
    <row r="13" spans="1:15">
      <c r="A13" s="105" t="s">
        <v>206</v>
      </c>
      <c r="B13" s="42" t="s">
        <v>205</v>
      </c>
      <c r="C13" s="40" t="s">
        <v>202</v>
      </c>
      <c r="D13" s="43">
        <f>D12-C12</f>
        <v>5</v>
      </c>
      <c r="E13" s="43">
        <f>E12-D12</f>
        <v>12</v>
      </c>
      <c r="F13" s="43">
        <f>F12-E12</f>
        <v>8</v>
      </c>
      <c r="G13" s="40"/>
      <c r="H13" s="40"/>
      <c r="I13" s="40"/>
      <c r="J13" s="40"/>
      <c r="K13" s="40"/>
      <c r="L13" s="40"/>
      <c r="M13" s="40"/>
      <c r="N13" s="40"/>
      <c r="O13" s="40"/>
    </row>
    <row r="14" spans="1:15">
      <c r="A14" s="105"/>
      <c r="B14" s="42" t="s">
        <v>204</v>
      </c>
      <c r="C14" s="40" t="s">
        <v>202</v>
      </c>
      <c r="D14" s="41">
        <f>D10-C10</f>
        <v>9</v>
      </c>
      <c r="E14" s="41">
        <f>E10-D10</f>
        <v>18</v>
      </c>
      <c r="F14" s="41">
        <f>F10-E10</f>
        <v>15</v>
      </c>
      <c r="G14" s="40"/>
      <c r="H14" s="40"/>
      <c r="I14" s="40"/>
      <c r="J14" s="40"/>
      <c r="K14" s="40"/>
      <c r="L14" s="40"/>
      <c r="M14" s="40"/>
      <c r="N14" s="40"/>
      <c r="O14" s="40"/>
    </row>
    <row r="15" spans="1:15">
      <c r="A15" s="105"/>
      <c r="B15" s="39" t="s">
        <v>203</v>
      </c>
      <c r="C15" s="31" t="s">
        <v>202</v>
      </c>
      <c r="D15" s="38">
        <f>D13-D14</f>
        <v>-4</v>
      </c>
      <c r="E15" s="38">
        <f>E13-E14</f>
        <v>-6</v>
      </c>
      <c r="F15" s="38">
        <f>F13-F14</f>
        <v>-7</v>
      </c>
      <c r="G15" s="31"/>
      <c r="H15" s="31"/>
      <c r="I15" s="31"/>
      <c r="J15" s="31"/>
      <c r="K15" s="31"/>
      <c r="L15" s="31"/>
      <c r="M15" s="31"/>
      <c r="N15" s="31"/>
      <c r="O15" s="31"/>
    </row>
    <row r="17" spans="1:15" ht="38">
      <c r="B17" s="37" t="s">
        <v>201</v>
      </c>
      <c r="C17" s="31"/>
      <c r="D17" s="36">
        <f>D11/-AVERAGE($D15:D15)</f>
        <v>21.75</v>
      </c>
      <c r="E17" s="36">
        <f>E11/-AVERAGE($D15:E15)</f>
        <v>16.2</v>
      </c>
      <c r="F17" s="36">
        <f>F11/-AVERAGE($D15:F15)</f>
        <v>13.058823529411764</v>
      </c>
      <c r="G17" s="31"/>
      <c r="H17" s="31"/>
      <c r="I17" s="31"/>
      <c r="J17" s="31"/>
      <c r="K17" s="31"/>
      <c r="L17" s="31"/>
      <c r="M17" s="31"/>
      <c r="N17" s="31"/>
      <c r="O17" s="31"/>
    </row>
    <row r="18" spans="1:15">
      <c r="B18" s="35" t="s">
        <v>200</v>
      </c>
      <c r="C18" s="31"/>
      <c r="D18" s="48">
        <f>WORKDAY(D$2, D$17)</f>
        <v>44244</v>
      </c>
      <c r="E18" s="48">
        <f>WORKDAY(E$2, E$17)</f>
        <v>44238</v>
      </c>
      <c r="F18" s="48">
        <f>WORKDAY(F$2, F$17)</f>
        <v>44236</v>
      </c>
      <c r="G18" s="31"/>
      <c r="H18" s="31"/>
      <c r="I18" s="31"/>
      <c r="J18" s="31"/>
      <c r="K18" s="31"/>
      <c r="L18" s="31"/>
      <c r="M18" s="31"/>
      <c r="N18" s="31"/>
      <c r="O18" s="31"/>
    </row>
    <row r="19" spans="1:15" ht="19" thickBot="1">
      <c r="F19" s="24"/>
    </row>
    <row r="20" spans="1:15" ht="19" hidden="1" thickBot="1">
      <c r="B20" s="24" t="s">
        <v>199</v>
      </c>
    </row>
    <row r="21" spans="1:15" ht="19" hidden="1" thickBot="1">
      <c r="B21" s="34" t="s">
        <v>198</v>
      </c>
      <c r="C21" s="31"/>
      <c r="D21" s="31">
        <f>D15-D4</f>
        <v>-14</v>
      </c>
      <c r="E21" s="31">
        <f>E15-E4</f>
        <v>-16</v>
      </c>
      <c r="F21" s="31">
        <f>F15-F4</f>
        <v>-17</v>
      </c>
      <c r="G21" s="31"/>
      <c r="H21" s="31"/>
      <c r="I21" s="31"/>
      <c r="J21" s="31"/>
      <c r="K21" s="31"/>
      <c r="L21" s="31"/>
      <c r="M21" s="31"/>
      <c r="N21" s="31"/>
      <c r="O21" s="31"/>
    </row>
    <row r="22" spans="1:15" ht="39" hidden="1" thickBot="1">
      <c r="B22" s="33" t="s">
        <v>197</v>
      </c>
      <c r="C22" s="31"/>
      <c r="D22" s="31">
        <v>8</v>
      </c>
      <c r="E22" s="31">
        <v>7</v>
      </c>
      <c r="F22" s="31">
        <v>6</v>
      </c>
      <c r="G22" s="31"/>
      <c r="H22" s="31"/>
      <c r="I22" s="31"/>
      <c r="J22" s="31"/>
      <c r="K22" s="31"/>
      <c r="L22" s="31"/>
      <c r="M22" s="31"/>
      <c r="N22" s="31"/>
      <c r="O22" s="31"/>
    </row>
    <row r="23" spans="1:15" ht="19" hidden="1" thickBot="1">
      <c r="B23" s="32" t="s">
        <v>196</v>
      </c>
      <c r="C23" s="31"/>
      <c r="D23" s="31">
        <v>5</v>
      </c>
      <c r="E23" s="31">
        <v>5</v>
      </c>
      <c r="F23" s="31">
        <v>5</v>
      </c>
      <c r="G23" s="31"/>
      <c r="H23" s="31"/>
      <c r="I23" s="31"/>
      <c r="J23" s="31"/>
      <c r="K23" s="31"/>
      <c r="L23" s="31"/>
      <c r="M23" s="31"/>
      <c r="N23" s="31"/>
      <c r="O23" s="31"/>
    </row>
    <row r="24" spans="1:15" ht="19" hidden="1" thickBot="1">
      <c r="B24" s="30" t="s">
        <v>195</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194</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7"/>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filterMode="1">
    <tabColor theme="9" tint="0.79998168889431442"/>
  </sheetPr>
  <dimension ref="A1:V1000"/>
  <sheetViews>
    <sheetView showGridLines="0" topLeftCell="A2" zoomScale="72" zoomScaleNormal="55" workbookViewId="0"/>
  </sheetViews>
  <sheetFormatPr baseColWidth="10" defaultColWidth="8.83203125" defaultRowHeight="18"/>
  <cols>
    <col min="1" max="1" width="20.6640625" customWidth="1"/>
    <col min="2" max="2" width="34.6640625" bestFit="1" customWidth="1"/>
    <col min="3" max="4" width="9.1640625" bestFit="1"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8" t="s">
        <v>51</v>
      </c>
      <c r="C1" s="108"/>
      <c r="D1" s="52"/>
    </row>
    <row r="2" spans="1:22">
      <c r="A2" s="10" t="s">
        <v>2</v>
      </c>
      <c r="B2" s="108">
        <f>VLOOKUP(B1,親課題リスト!D4:E6,2)</f>
        <v>10597942</v>
      </c>
      <c r="C2" s="108"/>
      <c r="D2" s="52"/>
    </row>
    <row r="3" spans="1:22">
      <c r="A3" s="12" t="s">
        <v>1029</v>
      </c>
      <c r="B3" s="12"/>
    </row>
    <row r="4" spans="1:22" ht="6.75" customHeight="1"/>
    <row r="5" spans="1:22" ht="40.5" customHeight="1">
      <c r="A5" s="17" t="s">
        <v>11</v>
      </c>
      <c r="B5" s="17" t="s">
        <v>3</v>
      </c>
      <c r="C5" s="17" t="s">
        <v>12</v>
      </c>
      <c r="D5" s="16" t="s">
        <v>222</v>
      </c>
      <c r="E5" s="17" t="s">
        <v>13</v>
      </c>
      <c r="F5" s="17" t="s">
        <v>14</v>
      </c>
      <c r="G5" s="17" t="s">
        <v>15</v>
      </c>
      <c r="H5" s="16" t="s">
        <v>19</v>
      </c>
      <c r="I5" s="17" t="s">
        <v>16</v>
      </c>
      <c r="J5" s="16" t="s">
        <v>17</v>
      </c>
      <c r="K5" s="16" t="s">
        <v>18</v>
      </c>
      <c r="L5" s="16" t="s">
        <v>25</v>
      </c>
    </row>
    <row r="6" spans="1:22" ht="136" hidden="1">
      <c r="A6" s="9" t="s">
        <v>874</v>
      </c>
      <c r="B6" s="3" t="s">
        <v>875</v>
      </c>
      <c r="C6" s="3" t="s">
        <v>538</v>
      </c>
      <c r="D6" s="3"/>
      <c r="E6" s="3" t="s">
        <v>249</v>
      </c>
      <c r="F6" s="14">
        <v>44231</v>
      </c>
      <c r="G6" s="14"/>
      <c r="H6" s="3" t="s">
        <v>876</v>
      </c>
      <c r="I6" s="15" t="s">
        <v>877</v>
      </c>
      <c r="J6" s="15"/>
      <c r="K6" s="3"/>
      <c r="L6" s="15"/>
      <c r="M6" s="1"/>
      <c r="N6" s="1"/>
      <c r="O6" s="1"/>
      <c r="P6" s="1"/>
      <c r="Q6" s="1"/>
      <c r="R6" s="1"/>
      <c r="S6" s="1"/>
      <c r="T6" s="1"/>
      <c r="U6" s="1"/>
      <c r="V6" s="1"/>
    </row>
    <row r="7" spans="1:22" ht="85" hidden="1">
      <c r="A7" s="9" t="s">
        <v>598</v>
      </c>
      <c r="B7" s="3" t="s">
        <v>725</v>
      </c>
      <c r="C7" s="3" t="s">
        <v>255</v>
      </c>
      <c r="D7" s="3" t="s">
        <v>308</v>
      </c>
      <c r="E7" s="3" t="s">
        <v>253</v>
      </c>
      <c r="F7" s="14">
        <v>44225</v>
      </c>
      <c r="G7" s="14">
        <v>44228</v>
      </c>
      <c r="H7" s="3" t="s">
        <v>250</v>
      </c>
      <c r="I7" s="15" t="s">
        <v>726</v>
      </c>
      <c r="J7" s="15" t="s">
        <v>818</v>
      </c>
      <c r="K7" s="15" t="s">
        <v>819</v>
      </c>
      <c r="L7" s="15" t="s">
        <v>820</v>
      </c>
      <c r="M7" s="1"/>
      <c r="N7" s="1"/>
      <c r="O7" s="1"/>
      <c r="P7" s="1"/>
      <c r="Q7" s="1"/>
      <c r="R7" s="1"/>
      <c r="S7" s="1"/>
      <c r="T7" s="1"/>
      <c r="U7" s="1"/>
      <c r="V7" s="1"/>
    </row>
    <row r="8" spans="1:22" ht="102">
      <c r="A8" s="13" t="s">
        <v>599</v>
      </c>
      <c r="B8" s="3" t="s">
        <v>878</v>
      </c>
      <c r="C8" s="3" t="s">
        <v>577</v>
      </c>
      <c r="D8" s="3" t="s">
        <v>242</v>
      </c>
      <c r="E8" s="3" t="s">
        <v>21</v>
      </c>
      <c r="F8" s="14">
        <v>44225</v>
      </c>
      <c r="G8" s="14">
        <v>44228</v>
      </c>
      <c r="H8" s="3" t="s">
        <v>22</v>
      </c>
      <c r="I8" s="15" t="s">
        <v>879</v>
      </c>
      <c r="J8" s="15" t="s">
        <v>880</v>
      </c>
      <c r="K8" s="15" t="s">
        <v>881</v>
      </c>
      <c r="L8" s="3" t="s">
        <v>882</v>
      </c>
      <c r="M8" s="1"/>
      <c r="N8" s="1"/>
      <c r="O8" s="1"/>
      <c r="P8" s="1"/>
      <c r="Q8" s="1"/>
      <c r="R8" s="1"/>
      <c r="S8" s="1"/>
      <c r="T8" s="1"/>
      <c r="U8" s="1"/>
      <c r="V8" s="1"/>
    </row>
    <row r="9" spans="1:22">
      <c r="A9" s="13" t="s">
        <v>600</v>
      </c>
      <c r="B9" s="3" t="s">
        <v>601</v>
      </c>
      <c r="C9" s="3" t="s">
        <v>577</v>
      </c>
      <c r="D9" s="3" t="s">
        <v>242</v>
      </c>
      <c r="E9" s="3" t="s">
        <v>21</v>
      </c>
      <c r="F9" s="14">
        <v>44225</v>
      </c>
      <c r="G9" s="14">
        <v>44228</v>
      </c>
      <c r="H9" s="3" t="s">
        <v>22</v>
      </c>
      <c r="I9" s="3" t="s">
        <v>602</v>
      </c>
      <c r="J9" s="3" t="s">
        <v>603</v>
      </c>
      <c r="K9" s="3" t="s">
        <v>604</v>
      </c>
      <c r="L9" s="3" t="s">
        <v>605</v>
      </c>
      <c r="M9" s="1"/>
      <c r="N9" s="1"/>
      <c r="O9" s="1"/>
      <c r="P9" s="1"/>
      <c r="Q9" s="1"/>
      <c r="R9" s="1"/>
      <c r="S9" s="1"/>
      <c r="T9" s="1"/>
      <c r="U9" s="1"/>
      <c r="V9" s="1"/>
    </row>
    <row r="10" spans="1:22" ht="85">
      <c r="A10" s="13" t="s">
        <v>558</v>
      </c>
      <c r="B10" s="3" t="s">
        <v>727</v>
      </c>
      <c r="C10" s="3" t="s">
        <v>58</v>
      </c>
      <c r="D10" s="3" t="s">
        <v>269</v>
      </c>
      <c r="E10" s="3" t="s">
        <v>21</v>
      </c>
      <c r="F10" s="14">
        <v>44225</v>
      </c>
      <c r="G10" s="14">
        <v>44225</v>
      </c>
      <c r="H10" s="3" t="s">
        <v>23</v>
      </c>
      <c r="I10" s="15" t="s">
        <v>728</v>
      </c>
      <c r="J10" s="3"/>
      <c r="K10" s="3"/>
      <c r="L10" s="3" t="s">
        <v>63</v>
      </c>
      <c r="M10" s="1"/>
      <c r="N10" s="1"/>
      <c r="O10" s="1"/>
      <c r="P10" s="1"/>
      <c r="Q10" s="1"/>
      <c r="R10" s="1"/>
      <c r="S10" s="1"/>
      <c r="T10" s="1"/>
      <c r="U10" s="1"/>
      <c r="V10" s="1"/>
    </row>
    <row r="11" spans="1:22" ht="136" hidden="1">
      <c r="A11" s="9" t="s">
        <v>559</v>
      </c>
      <c r="B11" s="3" t="s">
        <v>883</v>
      </c>
      <c r="C11" s="3" t="s">
        <v>530</v>
      </c>
      <c r="D11" s="3" t="s">
        <v>1030</v>
      </c>
      <c r="E11" s="3" t="s">
        <v>253</v>
      </c>
      <c r="F11" s="14"/>
      <c r="G11" s="14"/>
      <c r="H11" s="3" t="s">
        <v>250</v>
      </c>
      <c r="I11" s="15" t="s">
        <v>884</v>
      </c>
      <c r="J11" s="15" t="s">
        <v>1031</v>
      </c>
      <c r="K11" s="3" t="s">
        <v>1032</v>
      </c>
      <c r="L11" s="15"/>
      <c r="M11" s="1"/>
      <c r="N11" s="1"/>
      <c r="O11" s="1"/>
      <c r="P11" s="1"/>
      <c r="Q11" s="1"/>
      <c r="R11" s="1"/>
      <c r="S11" s="1"/>
      <c r="T11" s="1"/>
      <c r="U11" s="1"/>
      <c r="V11" s="1"/>
    </row>
    <row r="12" spans="1:22" ht="34" hidden="1">
      <c r="A12" s="9" t="s">
        <v>560</v>
      </c>
      <c r="B12" s="3" t="s">
        <v>729</v>
      </c>
      <c r="C12" s="3" t="s">
        <v>256</v>
      </c>
      <c r="D12" s="3"/>
      <c r="E12" s="3" t="s">
        <v>253</v>
      </c>
      <c r="F12" s="14">
        <v>44225</v>
      </c>
      <c r="G12" s="14">
        <v>44225</v>
      </c>
      <c r="H12" s="3" t="s">
        <v>250</v>
      </c>
      <c r="I12" s="15" t="s">
        <v>730</v>
      </c>
      <c r="J12" s="15"/>
      <c r="K12" s="15"/>
      <c r="L12" s="15" t="s">
        <v>731</v>
      </c>
      <c r="M12" s="1"/>
      <c r="N12" s="1"/>
      <c r="O12" s="1"/>
      <c r="P12" s="1"/>
      <c r="Q12" s="1"/>
      <c r="R12" s="1"/>
      <c r="S12" s="1"/>
      <c r="T12" s="1"/>
      <c r="U12" s="1"/>
      <c r="V12" s="1"/>
    </row>
    <row r="13" spans="1:22" ht="255">
      <c r="A13" s="13" t="s">
        <v>561</v>
      </c>
      <c r="B13" s="3" t="s">
        <v>885</v>
      </c>
      <c r="C13" s="3" t="s">
        <v>109</v>
      </c>
      <c r="D13" s="3" t="s">
        <v>267</v>
      </c>
      <c r="E13" s="3" t="s">
        <v>21</v>
      </c>
      <c r="F13" s="14">
        <v>44224</v>
      </c>
      <c r="G13" s="14">
        <v>44225</v>
      </c>
      <c r="H13" s="3" t="s">
        <v>23</v>
      </c>
      <c r="I13" s="15" t="s">
        <v>886</v>
      </c>
      <c r="J13" s="3" t="s">
        <v>887</v>
      </c>
      <c r="K13" s="15" t="s">
        <v>888</v>
      </c>
      <c r="L13" s="3" t="s">
        <v>63</v>
      </c>
      <c r="M13" s="1"/>
      <c r="N13" s="1"/>
      <c r="O13" s="1"/>
      <c r="P13" s="1"/>
      <c r="Q13" s="1"/>
      <c r="R13" s="1"/>
      <c r="S13" s="1"/>
      <c r="T13" s="1"/>
      <c r="U13" s="1"/>
      <c r="V13" s="1"/>
    </row>
    <row r="14" spans="1:22" ht="51" hidden="1">
      <c r="A14" s="9" t="s">
        <v>350</v>
      </c>
      <c r="B14" s="3" t="s">
        <v>889</v>
      </c>
      <c r="C14" s="3" t="s">
        <v>273</v>
      </c>
      <c r="D14" s="3" t="s">
        <v>1033</v>
      </c>
      <c r="E14" s="3" t="s">
        <v>253</v>
      </c>
      <c r="F14" s="14">
        <v>44224</v>
      </c>
      <c r="G14" s="14">
        <v>44225</v>
      </c>
      <c r="H14" s="3" t="s">
        <v>297</v>
      </c>
      <c r="I14" s="15" t="s">
        <v>890</v>
      </c>
      <c r="J14" s="3" t="s">
        <v>1034</v>
      </c>
      <c r="K14" s="15" t="s">
        <v>1035</v>
      </c>
      <c r="L14" s="15" t="s">
        <v>1036</v>
      </c>
      <c r="M14" s="1"/>
      <c r="N14" s="1"/>
      <c r="O14" s="1"/>
      <c r="P14" s="1"/>
      <c r="Q14" s="1"/>
      <c r="R14" s="1"/>
      <c r="S14" s="1"/>
      <c r="T14" s="1"/>
      <c r="U14" s="1"/>
      <c r="V14" s="1"/>
    </row>
    <row r="15" spans="1:22" ht="68" hidden="1">
      <c r="A15" s="9" t="s">
        <v>310</v>
      </c>
      <c r="B15" s="3" t="s">
        <v>311</v>
      </c>
      <c r="C15" s="3" t="s">
        <v>252</v>
      </c>
      <c r="D15" s="3"/>
      <c r="E15" s="3" t="s">
        <v>253</v>
      </c>
      <c r="F15" s="14">
        <v>44224</v>
      </c>
      <c r="G15" s="14">
        <v>44224</v>
      </c>
      <c r="H15" s="3" t="s">
        <v>250</v>
      </c>
      <c r="I15" s="15" t="s">
        <v>312</v>
      </c>
      <c r="J15" s="15"/>
      <c r="K15" s="15"/>
      <c r="L15" s="15"/>
      <c r="M15" s="1"/>
      <c r="N15" s="1"/>
      <c r="O15" s="1"/>
      <c r="P15" s="1"/>
      <c r="Q15" s="1"/>
      <c r="R15" s="1"/>
      <c r="S15" s="1"/>
      <c r="T15" s="1"/>
      <c r="U15" s="1"/>
      <c r="V15" s="1"/>
    </row>
    <row r="16" spans="1:22" ht="34" hidden="1">
      <c r="A16" s="9" t="s">
        <v>313</v>
      </c>
      <c r="B16" s="3" t="s">
        <v>562</v>
      </c>
      <c r="C16" s="3" t="s">
        <v>538</v>
      </c>
      <c r="D16" s="3" t="s">
        <v>300</v>
      </c>
      <c r="E16" s="3" t="s">
        <v>253</v>
      </c>
      <c r="F16" s="14">
        <v>44224</v>
      </c>
      <c r="G16" s="14">
        <v>44224</v>
      </c>
      <c r="H16" s="3" t="s">
        <v>297</v>
      </c>
      <c r="I16" s="15" t="s">
        <v>563</v>
      </c>
      <c r="J16" s="15"/>
      <c r="K16" s="15"/>
      <c r="L16" s="3"/>
      <c r="M16" s="1"/>
      <c r="N16" s="1"/>
      <c r="O16" s="1"/>
      <c r="P16" s="1"/>
      <c r="Q16" s="1"/>
      <c r="R16" s="1"/>
      <c r="S16" s="1"/>
      <c r="T16" s="1"/>
      <c r="U16" s="1"/>
      <c r="V16" s="1"/>
    </row>
    <row r="17" spans="1:22" ht="238" hidden="1">
      <c r="A17" s="9" t="s">
        <v>314</v>
      </c>
      <c r="B17" s="3" t="s">
        <v>607</v>
      </c>
      <c r="C17" s="3" t="s">
        <v>262</v>
      </c>
      <c r="D17" s="3" t="s">
        <v>316</v>
      </c>
      <c r="E17" s="3" t="s">
        <v>261</v>
      </c>
      <c r="F17" s="14">
        <v>44224</v>
      </c>
      <c r="G17" s="14">
        <v>44230</v>
      </c>
      <c r="H17" s="3" t="s">
        <v>250</v>
      </c>
      <c r="I17" s="15" t="s">
        <v>608</v>
      </c>
      <c r="J17" s="15" t="s">
        <v>317</v>
      </c>
      <c r="K17" s="15" t="s">
        <v>821</v>
      </c>
      <c r="L17" s="15"/>
      <c r="M17" s="1"/>
      <c r="N17" s="1"/>
      <c r="O17" s="1"/>
      <c r="P17" s="1"/>
      <c r="Q17" s="1"/>
      <c r="R17" s="1"/>
      <c r="S17" s="1"/>
      <c r="T17" s="1"/>
      <c r="U17" s="1"/>
      <c r="V17" s="1"/>
    </row>
    <row r="18" spans="1:22" ht="340" hidden="1">
      <c r="A18" s="9" t="s">
        <v>315</v>
      </c>
      <c r="B18" s="3" t="s">
        <v>565</v>
      </c>
      <c r="C18" s="3" t="s">
        <v>262</v>
      </c>
      <c r="D18" s="3" t="s">
        <v>316</v>
      </c>
      <c r="E18" s="3" t="s">
        <v>261</v>
      </c>
      <c r="F18" s="14"/>
      <c r="G18" s="14"/>
      <c r="H18" s="15" t="s">
        <v>250</v>
      </c>
      <c r="I18" s="15" t="s">
        <v>566</v>
      </c>
      <c r="J18" s="15" t="s">
        <v>317</v>
      </c>
      <c r="K18" s="15" t="s">
        <v>822</v>
      </c>
      <c r="L18" s="15"/>
      <c r="M18" s="1"/>
      <c r="N18" s="1"/>
      <c r="O18" s="1"/>
      <c r="P18" s="1"/>
      <c r="Q18" s="1"/>
      <c r="R18" s="1"/>
      <c r="S18" s="1"/>
      <c r="T18" s="1"/>
      <c r="U18" s="1"/>
      <c r="V18" s="1"/>
    </row>
    <row r="19" spans="1:22" ht="68" hidden="1">
      <c r="A19" s="9" t="s">
        <v>318</v>
      </c>
      <c r="B19" s="3" t="s">
        <v>352</v>
      </c>
      <c r="C19" s="3" t="s">
        <v>329</v>
      </c>
      <c r="D19" s="3" t="s">
        <v>353</v>
      </c>
      <c r="E19" s="3" t="s">
        <v>253</v>
      </c>
      <c r="F19" s="14"/>
      <c r="G19" s="14"/>
      <c r="H19" s="3" t="s">
        <v>250</v>
      </c>
      <c r="I19" s="15" t="s">
        <v>355</v>
      </c>
      <c r="J19" s="15" t="s">
        <v>356</v>
      </c>
      <c r="K19" s="15" t="s">
        <v>357</v>
      </c>
      <c r="L19" s="15" t="s">
        <v>358</v>
      </c>
      <c r="M19" s="1"/>
      <c r="N19" s="1"/>
      <c r="O19" s="1"/>
      <c r="P19" s="1"/>
      <c r="Q19" s="1"/>
      <c r="R19" s="1"/>
      <c r="S19" s="1"/>
      <c r="T19" s="1"/>
      <c r="U19" s="1"/>
      <c r="V19" s="1"/>
    </row>
    <row r="20" spans="1:22" ht="204" hidden="1">
      <c r="A20" s="9" t="s">
        <v>319</v>
      </c>
      <c r="B20" s="3" t="s">
        <v>359</v>
      </c>
      <c r="C20" s="3" t="s">
        <v>266</v>
      </c>
      <c r="D20" s="3" t="s">
        <v>308</v>
      </c>
      <c r="E20" s="3" t="s">
        <v>253</v>
      </c>
      <c r="F20" s="14">
        <v>44223</v>
      </c>
      <c r="G20" s="14">
        <v>44224</v>
      </c>
      <c r="H20" s="3" t="s">
        <v>250</v>
      </c>
      <c r="I20" s="15" t="s">
        <v>360</v>
      </c>
      <c r="J20" s="15" t="s">
        <v>567</v>
      </c>
      <c r="K20" s="3" t="s">
        <v>568</v>
      </c>
      <c r="L20" s="15" t="s">
        <v>361</v>
      </c>
      <c r="M20" s="1"/>
      <c r="N20" s="1"/>
      <c r="O20" s="1"/>
      <c r="P20" s="1"/>
      <c r="Q20" s="1"/>
      <c r="R20" s="1"/>
      <c r="S20" s="1"/>
      <c r="T20" s="1"/>
      <c r="U20" s="1"/>
      <c r="V20" s="1"/>
    </row>
    <row r="21" spans="1:22" ht="85" hidden="1">
      <c r="A21" s="9" t="s">
        <v>285</v>
      </c>
      <c r="B21" s="3" t="s">
        <v>569</v>
      </c>
      <c r="C21" s="3" t="s">
        <v>266</v>
      </c>
      <c r="D21" s="3" t="s">
        <v>308</v>
      </c>
      <c r="E21" s="3" t="s">
        <v>253</v>
      </c>
      <c r="F21" s="14">
        <v>44223</v>
      </c>
      <c r="G21" s="14">
        <v>44225</v>
      </c>
      <c r="H21" s="3" t="s">
        <v>250</v>
      </c>
      <c r="I21" s="15" t="s">
        <v>570</v>
      </c>
      <c r="J21" s="15" t="s">
        <v>658</v>
      </c>
      <c r="K21" s="15" t="s">
        <v>659</v>
      </c>
      <c r="L21" s="15" t="s">
        <v>260</v>
      </c>
      <c r="M21" s="1"/>
      <c r="N21" s="1"/>
      <c r="O21" s="1"/>
      <c r="P21" s="1"/>
      <c r="Q21" s="1"/>
      <c r="R21" s="1"/>
      <c r="S21" s="1"/>
      <c r="T21" s="1"/>
      <c r="U21" s="1"/>
      <c r="V21" s="1"/>
    </row>
    <row r="22" spans="1:22" ht="153" hidden="1">
      <c r="A22" s="9" t="s">
        <v>286</v>
      </c>
      <c r="B22" s="3" t="s">
        <v>287</v>
      </c>
      <c r="C22" s="3" t="s">
        <v>257</v>
      </c>
      <c r="D22" s="3" t="s">
        <v>308</v>
      </c>
      <c r="E22" s="3" t="s">
        <v>253</v>
      </c>
      <c r="F22" s="14">
        <v>44223</v>
      </c>
      <c r="G22" s="14">
        <v>44225</v>
      </c>
      <c r="H22" s="3" t="s">
        <v>250</v>
      </c>
      <c r="I22" s="15" t="s">
        <v>288</v>
      </c>
      <c r="J22" s="15" t="s">
        <v>571</v>
      </c>
      <c r="K22" s="15" t="s">
        <v>572</v>
      </c>
      <c r="L22" s="15" t="s">
        <v>260</v>
      </c>
      <c r="M22" s="1"/>
      <c r="N22" s="1"/>
      <c r="O22" s="1"/>
      <c r="P22" s="1"/>
      <c r="Q22" s="1"/>
      <c r="R22" s="1"/>
      <c r="S22" s="1"/>
      <c r="T22" s="1"/>
      <c r="U22" s="1"/>
      <c r="V22" s="1"/>
    </row>
    <row r="23" spans="1:22" ht="85" hidden="1">
      <c r="A23" s="9" t="s">
        <v>289</v>
      </c>
      <c r="B23" s="3" t="s">
        <v>290</v>
      </c>
      <c r="C23" s="3" t="s">
        <v>273</v>
      </c>
      <c r="D23" s="3" t="s">
        <v>291</v>
      </c>
      <c r="E23" s="3" t="s">
        <v>253</v>
      </c>
      <c r="F23" s="14">
        <v>44223</v>
      </c>
      <c r="G23" s="14">
        <v>44223</v>
      </c>
      <c r="H23" s="15" t="s">
        <v>250</v>
      </c>
      <c r="I23" s="15" t="s">
        <v>292</v>
      </c>
      <c r="J23" s="15" t="s">
        <v>609</v>
      </c>
      <c r="K23" s="15" t="s">
        <v>320</v>
      </c>
      <c r="L23" s="15" t="s">
        <v>610</v>
      </c>
      <c r="M23" s="1"/>
      <c r="N23" s="1"/>
      <c r="O23" s="1"/>
      <c r="P23" s="1"/>
      <c r="Q23" s="1"/>
      <c r="R23" s="1"/>
      <c r="S23" s="1"/>
      <c r="T23" s="1"/>
      <c r="U23" s="1"/>
      <c r="V23" s="1"/>
    </row>
    <row r="24" spans="1:22" ht="306" hidden="1">
      <c r="A24" s="9" t="s">
        <v>293</v>
      </c>
      <c r="B24" s="3" t="s">
        <v>362</v>
      </c>
      <c r="C24" s="3" t="s">
        <v>258</v>
      </c>
      <c r="D24" s="3" t="s">
        <v>302</v>
      </c>
      <c r="E24" s="3" t="s">
        <v>253</v>
      </c>
      <c r="F24" s="14">
        <v>44223</v>
      </c>
      <c r="G24" s="14"/>
      <c r="H24" s="15" t="s">
        <v>250</v>
      </c>
      <c r="I24" s="15" t="s">
        <v>363</v>
      </c>
      <c r="J24" s="15" t="s">
        <v>1037</v>
      </c>
      <c r="K24" s="15" t="s">
        <v>1038</v>
      </c>
      <c r="L24" s="15" t="s">
        <v>364</v>
      </c>
      <c r="M24" s="1"/>
      <c r="N24" s="1"/>
      <c r="O24" s="1"/>
      <c r="P24" s="1"/>
      <c r="Q24" s="1"/>
      <c r="R24" s="1"/>
      <c r="S24" s="1"/>
      <c r="T24" s="1"/>
      <c r="U24" s="1"/>
      <c r="V24" s="1"/>
    </row>
    <row r="25" spans="1:22" ht="255" hidden="1">
      <c r="A25" s="9" t="s">
        <v>294</v>
      </c>
      <c r="B25" s="3" t="s">
        <v>365</v>
      </c>
      <c r="C25" s="3" t="s">
        <v>257</v>
      </c>
      <c r="D25" s="3" t="s">
        <v>611</v>
      </c>
      <c r="E25" s="3" t="s">
        <v>253</v>
      </c>
      <c r="F25" s="14">
        <v>44223</v>
      </c>
      <c r="G25" s="14">
        <v>44224</v>
      </c>
      <c r="H25" s="3" t="s">
        <v>297</v>
      </c>
      <c r="I25" s="15" t="s">
        <v>612</v>
      </c>
      <c r="J25" s="15"/>
      <c r="K25" s="3"/>
      <c r="L25" s="3" t="s">
        <v>366</v>
      </c>
      <c r="M25" s="1"/>
      <c r="N25" s="1"/>
      <c r="O25" s="1"/>
      <c r="P25" s="1"/>
      <c r="Q25" s="1"/>
      <c r="R25" s="1"/>
      <c r="S25" s="1"/>
      <c r="T25" s="1"/>
      <c r="U25" s="1"/>
      <c r="V25" s="1"/>
    </row>
    <row r="26" spans="1:22" ht="289" hidden="1">
      <c r="A26" s="9" t="s">
        <v>295</v>
      </c>
      <c r="B26" s="3" t="s">
        <v>321</v>
      </c>
      <c r="C26" s="3" t="s">
        <v>252</v>
      </c>
      <c r="D26" s="3" t="s">
        <v>291</v>
      </c>
      <c r="E26" s="3" t="s">
        <v>253</v>
      </c>
      <c r="F26" s="14">
        <v>44223</v>
      </c>
      <c r="G26" s="14">
        <v>44223</v>
      </c>
      <c r="H26" s="3" t="s">
        <v>259</v>
      </c>
      <c r="I26" s="15" t="s">
        <v>322</v>
      </c>
      <c r="J26" s="15" t="s">
        <v>733</v>
      </c>
      <c r="K26" s="15" t="s">
        <v>734</v>
      </c>
      <c r="L26" s="15" t="s">
        <v>573</v>
      </c>
      <c r="M26" s="1"/>
      <c r="N26" s="1"/>
      <c r="O26" s="1"/>
      <c r="P26" s="1"/>
      <c r="Q26" s="1"/>
      <c r="R26" s="1"/>
      <c r="S26" s="1"/>
      <c r="T26" s="1"/>
      <c r="U26" s="1"/>
      <c r="V26" s="1"/>
    </row>
    <row r="27" spans="1:22" ht="409.6" hidden="1">
      <c r="A27" s="9" t="s">
        <v>296</v>
      </c>
      <c r="B27" s="3" t="s">
        <v>367</v>
      </c>
      <c r="C27" s="3" t="s">
        <v>257</v>
      </c>
      <c r="D27" s="3" t="s">
        <v>368</v>
      </c>
      <c r="E27" s="3" t="s">
        <v>253</v>
      </c>
      <c r="F27" s="14">
        <v>44223</v>
      </c>
      <c r="G27" s="14">
        <v>44230</v>
      </c>
      <c r="H27" s="3" t="s">
        <v>297</v>
      </c>
      <c r="I27" s="15" t="s">
        <v>369</v>
      </c>
      <c r="J27" s="3" t="s">
        <v>823</v>
      </c>
      <c r="K27" s="15" t="s">
        <v>824</v>
      </c>
      <c r="L27" s="15" t="s">
        <v>660</v>
      </c>
      <c r="M27" s="1"/>
      <c r="N27" s="1"/>
      <c r="O27" s="1"/>
      <c r="P27" s="1"/>
      <c r="Q27" s="1"/>
      <c r="R27" s="1"/>
      <c r="S27" s="1"/>
      <c r="T27" s="1"/>
      <c r="U27" s="1"/>
      <c r="V27" s="1"/>
    </row>
    <row r="28" spans="1:22" ht="221" hidden="1">
      <c r="A28" s="9" t="s">
        <v>298</v>
      </c>
      <c r="B28" s="3" t="s">
        <v>370</v>
      </c>
      <c r="C28" s="3" t="s">
        <v>252</v>
      </c>
      <c r="D28" s="3" t="s">
        <v>353</v>
      </c>
      <c r="E28" s="3" t="s">
        <v>253</v>
      </c>
      <c r="F28" s="14">
        <v>44222</v>
      </c>
      <c r="G28" s="14">
        <v>44223</v>
      </c>
      <c r="H28" s="15" t="s">
        <v>250</v>
      </c>
      <c r="I28" s="15" t="s">
        <v>574</v>
      </c>
      <c r="J28" s="15" t="s">
        <v>575</v>
      </c>
      <c r="K28" s="15" t="s">
        <v>576</v>
      </c>
      <c r="L28" s="15" t="s">
        <v>613</v>
      </c>
      <c r="M28" s="1"/>
      <c r="N28" s="1"/>
      <c r="O28" s="1"/>
      <c r="P28" s="1"/>
      <c r="Q28" s="1"/>
      <c r="R28" s="1"/>
      <c r="S28" s="1"/>
      <c r="T28" s="1"/>
      <c r="U28" s="1"/>
      <c r="V28" s="1"/>
    </row>
    <row r="29" spans="1:22" ht="68" hidden="1">
      <c r="A29" s="9" t="s">
        <v>264</v>
      </c>
      <c r="B29" s="3" t="s">
        <v>371</v>
      </c>
      <c r="C29" s="3" t="s">
        <v>252</v>
      </c>
      <c r="D29" s="3" t="s">
        <v>353</v>
      </c>
      <c r="E29" s="3" t="s">
        <v>253</v>
      </c>
      <c r="F29" s="14">
        <v>44222</v>
      </c>
      <c r="G29" s="14">
        <v>44223</v>
      </c>
      <c r="H29" s="3" t="s">
        <v>250</v>
      </c>
      <c r="I29" s="15" t="s">
        <v>661</v>
      </c>
      <c r="J29" s="15" t="s">
        <v>662</v>
      </c>
      <c r="K29" s="15" t="s">
        <v>663</v>
      </c>
      <c r="L29" s="3" t="s">
        <v>664</v>
      </c>
      <c r="M29" s="1"/>
      <c r="N29" s="1"/>
      <c r="O29" s="1"/>
      <c r="P29" s="1"/>
      <c r="Q29" s="1"/>
      <c r="R29" s="1"/>
      <c r="S29" s="1"/>
      <c r="T29" s="1"/>
      <c r="U29" s="1"/>
      <c r="V29" s="1"/>
    </row>
    <row r="30" spans="1:22" ht="119" hidden="1">
      <c r="A30" s="9" t="s">
        <v>265</v>
      </c>
      <c r="B30" s="3" t="s">
        <v>372</v>
      </c>
      <c r="C30" s="3" t="s">
        <v>266</v>
      </c>
      <c r="D30" s="3" t="s">
        <v>308</v>
      </c>
      <c r="E30" s="3" t="s">
        <v>253</v>
      </c>
      <c r="F30" s="14">
        <v>44218</v>
      </c>
      <c r="G30" s="14">
        <v>44222</v>
      </c>
      <c r="H30" s="3" t="s">
        <v>250</v>
      </c>
      <c r="I30" s="15" t="s">
        <v>373</v>
      </c>
      <c r="J30" s="15" t="s">
        <v>1039</v>
      </c>
      <c r="K30" s="15" t="s">
        <v>614</v>
      </c>
      <c r="L30" s="3" t="s">
        <v>1040</v>
      </c>
      <c r="M30" s="1"/>
      <c r="N30" s="1"/>
      <c r="O30" s="1"/>
      <c r="P30" s="1"/>
      <c r="Q30" s="1"/>
      <c r="R30" s="1"/>
      <c r="S30" s="1"/>
      <c r="T30" s="1"/>
      <c r="U30" s="1"/>
      <c r="V30" s="1"/>
    </row>
    <row r="31" spans="1:22" ht="119" hidden="1">
      <c r="A31" s="9" t="s">
        <v>248</v>
      </c>
      <c r="B31" s="3" t="s">
        <v>374</v>
      </c>
      <c r="C31" s="3" t="s">
        <v>257</v>
      </c>
      <c r="D31" s="3" t="s">
        <v>307</v>
      </c>
      <c r="E31" s="3" t="s">
        <v>253</v>
      </c>
      <c r="F31" s="14">
        <v>44221</v>
      </c>
      <c r="G31" s="14"/>
      <c r="H31" s="15" t="s">
        <v>375</v>
      </c>
      <c r="I31" s="15" t="s">
        <v>376</v>
      </c>
      <c r="J31" s="15"/>
      <c r="K31" s="15" t="s">
        <v>615</v>
      </c>
      <c r="L31" s="15"/>
      <c r="M31" s="1"/>
      <c r="N31" s="1"/>
      <c r="O31" s="1"/>
      <c r="P31" s="1"/>
      <c r="Q31" s="1"/>
      <c r="R31" s="1"/>
      <c r="S31" s="1"/>
      <c r="T31" s="1"/>
      <c r="U31" s="1"/>
      <c r="V31" s="1"/>
    </row>
    <row r="32" spans="1:22" ht="102" hidden="1">
      <c r="A32" s="9" t="s">
        <v>241</v>
      </c>
      <c r="B32" s="3" t="s">
        <v>377</v>
      </c>
      <c r="C32" s="3" t="s">
        <v>256</v>
      </c>
      <c r="D32" s="3" t="s">
        <v>308</v>
      </c>
      <c r="E32" s="3" t="s">
        <v>253</v>
      </c>
      <c r="F32" s="14">
        <v>44221</v>
      </c>
      <c r="G32" s="14">
        <v>44223</v>
      </c>
      <c r="H32" s="15" t="s">
        <v>735</v>
      </c>
      <c r="I32" s="15" t="s">
        <v>736</v>
      </c>
      <c r="J32" s="15" t="s">
        <v>737</v>
      </c>
      <c r="K32" s="15" t="s">
        <v>738</v>
      </c>
      <c r="L32" s="15" t="s">
        <v>739</v>
      </c>
      <c r="M32" s="1"/>
      <c r="N32" s="1"/>
      <c r="O32" s="1"/>
      <c r="P32" s="1"/>
      <c r="Q32" s="1"/>
      <c r="R32" s="1"/>
      <c r="S32" s="1"/>
      <c r="T32" s="1"/>
      <c r="U32" s="1"/>
      <c r="V32" s="1"/>
    </row>
    <row r="33" spans="1:22" ht="51" hidden="1">
      <c r="A33" s="9" t="s">
        <v>57</v>
      </c>
      <c r="B33" s="3" t="s">
        <v>378</v>
      </c>
      <c r="C33" s="3" t="s">
        <v>266</v>
      </c>
      <c r="D33" s="3" t="s">
        <v>353</v>
      </c>
      <c r="E33" s="3" t="s">
        <v>253</v>
      </c>
      <c r="F33" s="14">
        <v>44218</v>
      </c>
      <c r="G33" s="14">
        <v>44222</v>
      </c>
      <c r="H33" s="15" t="s">
        <v>250</v>
      </c>
      <c r="I33" s="15" t="s">
        <v>379</v>
      </c>
      <c r="J33" s="15" t="s">
        <v>825</v>
      </c>
      <c r="K33" s="15" t="s">
        <v>665</v>
      </c>
      <c r="L33" s="15" t="s">
        <v>826</v>
      </c>
      <c r="M33" s="1"/>
      <c r="N33" s="1"/>
      <c r="O33" s="1"/>
      <c r="P33" s="1"/>
      <c r="Q33" s="1"/>
      <c r="R33" s="1"/>
      <c r="S33" s="1"/>
      <c r="T33" s="1"/>
      <c r="U33" s="1"/>
      <c r="V33" s="1"/>
    </row>
    <row r="34" spans="1:22" ht="136" hidden="1">
      <c r="A34" s="9" t="s">
        <v>59</v>
      </c>
      <c r="B34" s="3" t="s">
        <v>380</v>
      </c>
      <c r="C34" s="3" t="s">
        <v>381</v>
      </c>
      <c r="D34" s="3" t="s">
        <v>353</v>
      </c>
      <c r="E34" s="3" t="s">
        <v>253</v>
      </c>
      <c r="F34" s="14">
        <v>44218</v>
      </c>
      <c r="G34" s="14"/>
      <c r="H34" s="15" t="s">
        <v>250</v>
      </c>
      <c r="I34" s="15" t="s">
        <v>740</v>
      </c>
      <c r="J34" s="3" t="s">
        <v>741</v>
      </c>
      <c r="K34" s="15" t="s">
        <v>742</v>
      </c>
      <c r="L34" s="15" t="s">
        <v>1041</v>
      </c>
      <c r="M34" s="1"/>
      <c r="N34" s="1"/>
      <c r="O34" s="1"/>
      <c r="P34" s="1"/>
      <c r="Q34" s="1"/>
      <c r="R34" s="1"/>
      <c r="S34" s="1"/>
      <c r="T34" s="1"/>
      <c r="U34" s="1"/>
      <c r="V34" s="1"/>
    </row>
    <row r="35" spans="1:22" ht="51" hidden="1">
      <c r="A35" s="9" t="s">
        <v>299</v>
      </c>
      <c r="B35" s="3" t="s">
        <v>323</v>
      </c>
      <c r="C35" s="3" t="s">
        <v>255</v>
      </c>
      <c r="D35" s="3" t="s">
        <v>1042</v>
      </c>
      <c r="E35" s="3" t="s">
        <v>253</v>
      </c>
      <c r="F35" s="14">
        <v>44217</v>
      </c>
      <c r="G35" s="14">
        <v>44222</v>
      </c>
      <c r="H35" s="15" t="s">
        <v>250</v>
      </c>
      <c r="I35" s="15" t="s">
        <v>827</v>
      </c>
      <c r="J35" s="3" t="s">
        <v>250</v>
      </c>
      <c r="K35" s="15" t="s">
        <v>828</v>
      </c>
      <c r="L35" s="15"/>
      <c r="M35" s="1"/>
      <c r="N35" s="1"/>
      <c r="O35" s="1"/>
      <c r="P35" s="1"/>
      <c r="Q35" s="1"/>
      <c r="R35" s="1"/>
      <c r="S35" s="1"/>
      <c r="T35" s="1"/>
      <c r="U35" s="1"/>
      <c r="V35" s="1"/>
    </row>
    <row r="36" spans="1:22" ht="102" hidden="1">
      <c r="A36" s="9" t="s">
        <v>60</v>
      </c>
      <c r="B36" s="3" t="s">
        <v>382</v>
      </c>
      <c r="C36" s="3" t="s">
        <v>255</v>
      </c>
      <c r="D36" s="3"/>
      <c r="E36" s="3" t="s">
        <v>253</v>
      </c>
      <c r="F36" s="14">
        <v>44217</v>
      </c>
      <c r="G36" s="14">
        <v>44218</v>
      </c>
      <c r="H36" s="3" t="s">
        <v>250</v>
      </c>
      <c r="I36" s="15" t="s">
        <v>383</v>
      </c>
      <c r="J36" s="3" t="s">
        <v>1043</v>
      </c>
      <c r="K36" s="15" t="s">
        <v>1044</v>
      </c>
      <c r="L36" s="3" t="s">
        <v>1045</v>
      </c>
      <c r="M36" s="1"/>
      <c r="N36" s="1"/>
      <c r="O36" s="1"/>
      <c r="P36" s="1"/>
      <c r="Q36" s="1"/>
      <c r="R36" s="1"/>
      <c r="S36" s="1"/>
      <c r="T36" s="1"/>
      <c r="U36" s="1"/>
      <c r="V36" s="1"/>
    </row>
    <row r="37" spans="1:22" ht="340" hidden="1">
      <c r="A37" s="9" t="s">
        <v>61</v>
      </c>
      <c r="B37" s="3" t="s">
        <v>384</v>
      </c>
      <c r="C37" s="3" t="s">
        <v>252</v>
      </c>
      <c r="D37" s="3" t="s">
        <v>300</v>
      </c>
      <c r="E37" s="3" t="s">
        <v>253</v>
      </c>
      <c r="F37" s="14">
        <v>44217</v>
      </c>
      <c r="G37" s="14">
        <v>44217</v>
      </c>
      <c r="H37" s="3" t="s">
        <v>250</v>
      </c>
      <c r="I37" s="15" t="s">
        <v>385</v>
      </c>
      <c r="J37" s="3"/>
      <c r="K37" s="15"/>
      <c r="L37" s="3"/>
      <c r="M37" s="1"/>
      <c r="N37" s="1"/>
      <c r="O37" s="1"/>
      <c r="P37" s="1"/>
      <c r="Q37" s="1"/>
      <c r="R37" s="1"/>
      <c r="S37" s="1"/>
      <c r="T37" s="1"/>
      <c r="U37" s="1"/>
      <c r="V37" s="1"/>
    </row>
    <row r="38" spans="1:22" ht="187" hidden="1">
      <c r="A38" s="9" t="s">
        <v>62</v>
      </c>
      <c r="B38" s="3" t="s">
        <v>386</v>
      </c>
      <c r="C38" s="3" t="s">
        <v>252</v>
      </c>
      <c r="D38" s="3" t="s">
        <v>300</v>
      </c>
      <c r="E38" s="3" t="s">
        <v>253</v>
      </c>
      <c r="F38" s="14">
        <v>44217</v>
      </c>
      <c r="G38" s="14">
        <v>44217</v>
      </c>
      <c r="H38" s="3" t="s">
        <v>250</v>
      </c>
      <c r="I38" s="15" t="s">
        <v>387</v>
      </c>
      <c r="J38" s="15"/>
      <c r="K38" s="15"/>
      <c r="L38" s="15" t="s">
        <v>1036</v>
      </c>
      <c r="M38" s="1"/>
      <c r="N38" s="1"/>
      <c r="O38" s="1"/>
      <c r="P38" s="1"/>
      <c r="Q38" s="1"/>
      <c r="R38" s="1"/>
      <c r="S38" s="1"/>
      <c r="T38" s="1"/>
      <c r="U38" s="1"/>
      <c r="V38" s="1"/>
    </row>
    <row r="39" spans="1:22" ht="119" hidden="1">
      <c r="A39" s="9" t="s">
        <v>64</v>
      </c>
      <c r="B39" s="3" t="s">
        <v>251</v>
      </c>
      <c r="C39" s="3" t="s">
        <v>252</v>
      </c>
      <c r="D39" s="3" t="s">
        <v>300</v>
      </c>
      <c r="E39" s="3" t="s">
        <v>253</v>
      </c>
      <c r="F39" s="14">
        <v>44217</v>
      </c>
      <c r="G39" s="14">
        <v>44217</v>
      </c>
      <c r="H39" s="15" t="s">
        <v>250</v>
      </c>
      <c r="I39" s="15" t="s">
        <v>254</v>
      </c>
      <c r="J39" s="15"/>
      <c r="K39" s="15"/>
      <c r="L39" s="15"/>
      <c r="M39" s="1"/>
      <c r="N39" s="1"/>
      <c r="O39" s="1"/>
      <c r="P39" s="1"/>
      <c r="Q39" s="1"/>
      <c r="R39" s="1"/>
      <c r="S39" s="1"/>
      <c r="T39" s="1"/>
      <c r="U39" s="1"/>
      <c r="V39" s="1"/>
    </row>
    <row r="40" spans="1:22" ht="187" hidden="1">
      <c r="A40" s="9" t="s">
        <v>65</v>
      </c>
      <c r="B40" s="3" t="s">
        <v>388</v>
      </c>
      <c r="C40" s="3" t="s">
        <v>252</v>
      </c>
      <c r="D40" s="3" t="s">
        <v>389</v>
      </c>
      <c r="E40" s="3" t="s">
        <v>253</v>
      </c>
      <c r="F40" s="14">
        <v>44217</v>
      </c>
      <c r="G40" s="14">
        <v>44224</v>
      </c>
      <c r="H40" s="3" t="s">
        <v>1043</v>
      </c>
      <c r="I40" s="15" t="s">
        <v>390</v>
      </c>
      <c r="J40" s="3"/>
      <c r="K40" s="15"/>
      <c r="L40" s="15"/>
      <c r="M40" s="1"/>
      <c r="N40" s="1"/>
      <c r="O40" s="1"/>
      <c r="P40" s="1"/>
      <c r="Q40" s="1"/>
      <c r="R40" s="1"/>
      <c r="S40" s="1"/>
      <c r="T40" s="1"/>
      <c r="U40" s="1"/>
      <c r="V40" s="1"/>
    </row>
    <row r="41" spans="1:22" ht="409.6" hidden="1">
      <c r="A41" s="9" t="s">
        <v>66</v>
      </c>
      <c r="B41" s="3" t="s">
        <v>391</v>
      </c>
      <c r="C41" s="3" t="s">
        <v>252</v>
      </c>
      <c r="D41" s="3" t="s">
        <v>308</v>
      </c>
      <c r="E41" s="3" t="s">
        <v>253</v>
      </c>
      <c r="F41" s="14">
        <v>44216</v>
      </c>
      <c r="G41" s="14">
        <v>44224</v>
      </c>
      <c r="H41" s="15"/>
      <c r="I41" s="15" t="s">
        <v>392</v>
      </c>
      <c r="J41" s="15" t="s">
        <v>829</v>
      </c>
      <c r="K41" s="15" t="s">
        <v>830</v>
      </c>
      <c r="L41" s="15" t="s">
        <v>744</v>
      </c>
      <c r="M41" s="1"/>
      <c r="N41" s="1"/>
      <c r="O41" s="1"/>
      <c r="P41" s="1"/>
      <c r="Q41" s="1"/>
      <c r="R41" s="1"/>
      <c r="S41" s="1"/>
      <c r="T41" s="1"/>
      <c r="U41" s="1"/>
      <c r="V41" s="1"/>
    </row>
    <row r="42" spans="1:22" ht="136" hidden="1">
      <c r="A42" s="9" t="s">
        <v>67</v>
      </c>
      <c r="B42" s="3" t="s">
        <v>745</v>
      </c>
      <c r="C42" s="3" t="s">
        <v>257</v>
      </c>
      <c r="D42" s="3" t="s">
        <v>316</v>
      </c>
      <c r="E42" s="3" t="s">
        <v>253</v>
      </c>
      <c r="F42" s="14">
        <v>44216</v>
      </c>
      <c r="G42" s="14">
        <v>44224</v>
      </c>
      <c r="H42" s="15" t="s">
        <v>746</v>
      </c>
      <c r="I42" s="15" t="s">
        <v>747</v>
      </c>
      <c r="J42" s="3" t="s">
        <v>831</v>
      </c>
      <c r="K42" s="15" t="s">
        <v>832</v>
      </c>
      <c r="L42" s="15" t="s">
        <v>833</v>
      </c>
      <c r="M42" s="1"/>
      <c r="N42" s="1"/>
      <c r="O42" s="1"/>
      <c r="P42" s="1"/>
      <c r="Q42" s="1"/>
      <c r="R42" s="1"/>
      <c r="S42" s="1"/>
      <c r="T42" s="1"/>
      <c r="U42" s="1"/>
      <c r="V42" s="1"/>
    </row>
    <row r="43" spans="1:22" ht="102" hidden="1">
      <c r="A43" s="9" t="s">
        <v>68</v>
      </c>
      <c r="B43" s="3" t="s">
        <v>684</v>
      </c>
      <c r="C43" s="3" t="s">
        <v>252</v>
      </c>
      <c r="D43" s="3" t="s">
        <v>308</v>
      </c>
      <c r="E43" s="3" t="s">
        <v>253</v>
      </c>
      <c r="F43" s="14">
        <v>44216</v>
      </c>
      <c r="G43" s="14">
        <v>44216</v>
      </c>
      <c r="H43" s="15" t="s">
        <v>250</v>
      </c>
      <c r="I43" s="15" t="s">
        <v>685</v>
      </c>
      <c r="J43" s="15" t="s">
        <v>834</v>
      </c>
      <c r="K43" s="15" t="s">
        <v>835</v>
      </c>
      <c r="L43" s="15" t="s">
        <v>276</v>
      </c>
      <c r="M43" s="1"/>
      <c r="N43" s="1"/>
      <c r="O43" s="1"/>
      <c r="P43" s="1"/>
      <c r="Q43" s="1"/>
      <c r="R43" s="1"/>
      <c r="S43" s="1"/>
      <c r="T43" s="1"/>
      <c r="U43" s="1"/>
      <c r="V43" s="1"/>
    </row>
    <row r="44" spans="1:22" ht="153">
      <c r="A44" s="13" t="s">
        <v>69</v>
      </c>
      <c r="B44" s="3" t="s">
        <v>894</v>
      </c>
      <c r="C44" s="3" t="s">
        <v>28</v>
      </c>
      <c r="D44" s="3" t="s">
        <v>242</v>
      </c>
      <c r="E44" s="3" t="s">
        <v>21</v>
      </c>
      <c r="F44" s="14">
        <v>44215</v>
      </c>
      <c r="G44" s="14">
        <v>44222</v>
      </c>
      <c r="H44" s="3" t="s">
        <v>36</v>
      </c>
      <c r="I44" s="15" t="s">
        <v>895</v>
      </c>
      <c r="J44" s="3" t="s">
        <v>896</v>
      </c>
      <c r="K44" s="3" t="s">
        <v>897</v>
      </c>
      <c r="L44" s="3" t="s">
        <v>898</v>
      </c>
      <c r="M44" s="1"/>
      <c r="N44" s="1"/>
      <c r="O44" s="1"/>
      <c r="P44" s="1"/>
      <c r="Q44" s="1"/>
      <c r="R44" s="1"/>
      <c r="S44" s="1"/>
      <c r="T44" s="1"/>
      <c r="U44" s="1"/>
      <c r="V44" s="1"/>
    </row>
    <row r="45" spans="1:22" ht="119" hidden="1">
      <c r="A45" s="9" t="s">
        <v>70</v>
      </c>
      <c r="B45" s="3" t="s">
        <v>899</v>
      </c>
      <c r="C45" s="3" t="s">
        <v>273</v>
      </c>
      <c r="D45" s="3" t="s">
        <v>308</v>
      </c>
      <c r="E45" s="3" t="s">
        <v>253</v>
      </c>
      <c r="F45" s="14">
        <v>44215</v>
      </c>
      <c r="G45" s="14">
        <v>44222</v>
      </c>
      <c r="H45" s="3" t="s">
        <v>259</v>
      </c>
      <c r="I45" s="15" t="s">
        <v>900</v>
      </c>
      <c r="J45" s="15" t="s">
        <v>901</v>
      </c>
      <c r="K45" s="15" t="s">
        <v>902</v>
      </c>
      <c r="L45" s="15" t="s">
        <v>903</v>
      </c>
      <c r="M45" s="1"/>
      <c r="N45" s="1"/>
      <c r="O45" s="1"/>
      <c r="P45" s="1"/>
      <c r="Q45" s="1"/>
      <c r="R45" s="1"/>
      <c r="S45" s="1"/>
      <c r="T45" s="1"/>
      <c r="U45" s="1"/>
      <c r="V45" s="1"/>
    </row>
    <row r="46" spans="1:22" ht="51" hidden="1">
      <c r="A46" s="9" t="s">
        <v>71</v>
      </c>
      <c r="B46" s="3" t="s">
        <v>393</v>
      </c>
      <c r="C46" s="3" t="s">
        <v>394</v>
      </c>
      <c r="D46" s="3" t="s">
        <v>395</v>
      </c>
      <c r="E46" s="3" t="s">
        <v>253</v>
      </c>
      <c r="F46" s="14">
        <v>44215</v>
      </c>
      <c r="G46" s="14">
        <v>44217</v>
      </c>
      <c r="H46" s="3" t="s">
        <v>250</v>
      </c>
      <c r="I46" s="15" t="s">
        <v>396</v>
      </c>
      <c r="J46" s="15" t="s">
        <v>666</v>
      </c>
      <c r="K46" s="15" t="s">
        <v>667</v>
      </c>
      <c r="L46" s="3" t="s">
        <v>616</v>
      </c>
      <c r="M46" s="1"/>
      <c r="N46" s="1"/>
      <c r="O46" s="1"/>
      <c r="P46" s="1"/>
      <c r="Q46" s="1"/>
      <c r="R46" s="1"/>
      <c r="S46" s="1"/>
      <c r="T46" s="1"/>
      <c r="U46" s="1"/>
      <c r="V46" s="1"/>
    </row>
    <row r="47" spans="1:22" ht="34" hidden="1">
      <c r="A47" s="9" t="s">
        <v>72</v>
      </c>
      <c r="B47" s="3" t="s">
        <v>617</v>
      </c>
      <c r="C47" s="3" t="s">
        <v>255</v>
      </c>
      <c r="D47" s="3" t="s">
        <v>397</v>
      </c>
      <c r="E47" s="3" t="s">
        <v>253</v>
      </c>
      <c r="F47" s="14">
        <v>44215</v>
      </c>
      <c r="G47" s="14">
        <v>44215</v>
      </c>
      <c r="H47" s="3" t="s">
        <v>398</v>
      </c>
      <c r="I47" s="15" t="s">
        <v>618</v>
      </c>
      <c r="J47" s="15" t="s">
        <v>1046</v>
      </c>
      <c r="K47" s="15" t="s">
        <v>1047</v>
      </c>
      <c r="L47" s="3" t="s">
        <v>668</v>
      </c>
      <c r="M47" s="1"/>
      <c r="N47" s="1"/>
      <c r="O47" s="1"/>
      <c r="P47" s="1"/>
      <c r="Q47" s="1"/>
      <c r="R47" s="1"/>
      <c r="S47" s="1"/>
      <c r="T47" s="1"/>
      <c r="U47" s="1"/>
      <c r="V47" s="1"/>
    </row>
    <row r="48" spans="1:22" ht="119" hidden="1">
      <c r="A48" s="9" t="s">
        <v>74</v>
      </c>
      <c r="B48" s="3" t="s">
        <v>748</v>
      </c>
      <c r="C48" s="3" t="s">
        <v>252</v>
      </c>
      <c r="D48" s="3" t="s">
        <v>307</v>
      </c>
      <c r="E48" s="3" t="s">
        <v>253</v>
      </c>
      <c r="F48" s="14">
        <v>44214</v>
      </c>
      <c r="G48" s="14">
        <v>44217</v>
      </c>
      <c r="H48" s="3" t="s">
        <v>250</v>
      </c>
      <c r="I48" s="15" t="s">
        <v>749</v>
      </c>
      <c r="J48" s="15"/>
      <c r="K48" s="15"/>
      <c r="L48" s="3" t="s">
        <v>1036</v>
      </c>
      <c r="M48" s="1"/>
      <c r="N48" s="1"/>
      <c r="O48" s="1"/>
      <c r="P48" s="1"/>
      <c r="Q48" s="1"/>
      <c r="R48" s="1"/>
      <c r="S48" s="1"/>
      <c r="T48" s="1"/>
      <c r="U48" s="1"/>
      <c r="V48" s="1"/>
    </row>
    <row r="49" spans="1:22" ht="51" hidden="1">
      <c r="A49" s="9" t="s">
        <v>75</v>
      </c>
      <c r="B49" s="3" t="s">
        <v>686</v>
      </c>
      <c r="C49" s="3" t="s">
        <v>252</v>
      </c>
      <c r="D49" s="3" t="s">
        <v>307</v>
      </c>
      <c r="E49" s="3" t="s">
        <v>253</v>
      </c>
      <c r="F49" s="14">
        <v>44214</v>
      </c>
      <c r="G49" s="14">
        <v>44217</v>
      </c>
      <c r="H49" s="3" t="s">
        <v>250</v>
      </c>
      <c r="I49" s="15" t="s">
        <v>687</v>
      </c>
      <c r="J49" s="15"/>
      <c r="K49" s="15"/>
      <c r="L49" s="3"/>
      <c r="M49" s="1"/>
      <c r="N49" s="1"/>
      <c r="O49" s="1"/>
      <c r="P49" s="1"/>
      <c r="Q49" s="1"/>
      <c r="R49" s="1"/>
      <c r="S49" s="1"/>
      <c r="T49" s="1"/>
      <c r="U49" s="1"/>
      <c r="V49" s="1"/>
    </row>
    <row r="50" spans="1:22" ht="136">
      <c r="A50" s="13" t="s">
        <v>76</v>
      </c>
      <c r="B50" s="3" t="s">
        <v>904</v>
      </c>
      <c r="C50" s="3" t="s">
        <v>40</v>
      </c>
      <c r="D50" s="3" t="s">
        <v>893</v>
      </c>
      <c r="E50" s="3" t="s">
        <v>21</v>
      </c>
      <c r="F50" s="14">
        <v>44214</v>
      </c>
      <c r="G50" s="14">
        <v>44224</v>
      </c>
      <c r="H50" s="3" t="s">
        <v>22</v>
      </c>
      <c r="I50" s="15" t="s">
        <v>905</v>
      </c>
      <c r="J50" s="3"/>
      <c r="K50" s="3"/>
      <c r="L50" s="3" t="s">
        <v>63</v>
      </c>
      <c r="M50" s="1"/>
      <c r="N50" s="1"/>
      <c r="O50" s="1"/>
      <c r="P50" s="1"/>
      <c r="Q50" s="1"/>
      <c r="R50" s="1"/>
      <c r="S50" s="1"/>
      <c r="T50" s="1"/>
      <c r="U50" s="1"/>
      <c r="V50" s="1"/>
    </row>
    <row r="51" spans="1:22" ht="187" hidden="1">
      <c r="A51" s="9" t="s">
        <v>77</v>
      </c>
      <c r="B51" s="3" t="s">
        <v>906</v>
      </c>
      <c r="C51" s="3" t="s">
        <v>252</v>
      </c>
      <c r="D51" s="3" t="s">
        <v>300</v>
      </c>
      <c r="E51" s="3" t="s">
        <v>253</v>
      </c>
      <c r="F51" s="14">
        <v>44214</v>
      </c>
      <c r="G51" s="14">
        <v>44217</v>
      </c>
      <c r="H51" s="3" t="s">
        <v>250</v>
      </c>
      <c r="I51" s="15" t="s">
        <v>907</v>
      </c>
      <c r="J51" s="15" t="s">
        <v>1048</v>
      </c>
      <c r="K51" s="15" t="s">
        <v>1049</v>
      </c>
      <c r="L51" s="15"/>
      <c r="M51" s="1"/>
      <c r="N51" s="1"/>
      <c r="O51" s="1"/>
      <c r="P51" s="1"/>
      <c r="Q51" s="1"/>
      <c r="R51" s="1"/>
      <c r="S51" s="1"/>
      <c r="T51" s="1"/>
      <c r="U51" s="1"/>
      <c r="V51" s="1"/>
    </row>
    <row r="52" spans="1:22" ht="272" hidden="1">
      <c r="A52" s="9" t="s">
        <v>78</v>
      </c>
      <c r="B52" s="3" t="s">
        <v>324</v>
      </c>
      <c r="C52" s="3" t="s">
        <v>252</v>
      </c>
      <c r="D52" s="3" t="s">
        <v>307</v>
      </c>
      <c r="E52" s="3" t="s">
        <v>253</v>
      </c>
      <c r="F52" s="14">
        <v>44214</v>
      </c>
      <c r="G52" s="14">
        <v>44217</v>
      </c>
      <c r="H52" s="3" t="s">
        <v>250</v>
      </c>
      <c r="I52" s="15" t="s">
        <v>325</v>
      </c>
      <c r="J52" s="15"/>
      <c r="K52" s="3"/>
      <c r="L52" s="3"/>
      <c r="M52" s="1"/>
      <c r="N52" s="1"/>
      <c r="O52" s="1"/>
      <c r="P52" s="1"/>
      <c r="Q52" s="1"/>
      <c r="R52" s="1"/>
      <c r="S52" s="1"/>
      <c r="T52" s="1"/>
      <c r="U52" s="1"/>
      <c r="V52" s="1"/>
    </row>
    <row r="53" spans="1:22" ht="102" hidden="1">
      <c r="A53" s="9" t="s">
        <v>79</v>
      </c>
      <c r="B53" s="3" t="s">
        <v>619</v>
      </c>
      <c r="C53" s="3" t="s">
        <v>252</v>
      </c>
      <c r="D53" s="3" t="s">
        <v>389</v>
      </c>
      <c r="E53" s="3" t="s">
        <v>253</v>
      </c>
      <c r="F53" s="14">
        <v>44214</v>
      </c>
      <c r="G53" s="14">
        <v>44224</v>
      </c>
      <c r="H53" s="3" t="s">
        <v>250</v>
      </c>
      <c r="I53" s="15" t="s">
        <v>620</v>
      </c>
      <c r="J53" s="15"/>
      <c r="K53" s="3"/>
      <c r="L53" s="3"/>
      <c r="M53" s="1"/>
      <c r="N53" s="1"/>
      <c r="O53" s="1"/>
      <c r="P53" s="1"/>
      <c r="Q53" s="1"/>
      <c r="R53" s="1"/>
      <c r="S53" s="1"/>
      <c r="T53" s="1"/>
      <c r="U53" s="1"/>
      <c r="V53" s="1"/>
    </row>
    <row r="54" spans="1:22" ht="187" hidden="1">
      <c r="A54" s="9" t="s">
        <v>80</v>
      </c>
      <c r="B54" s="3" t="s">
        <v>399</v>
      </c>
      <c r="C54" s="3" t="s">
        <v>252</v>
      </c>
      <c r="D54" s="3" t="s">
        <v>389</v>
      </c>
      <c r="E54" s="3" t="s">
        <v>253</v>
      </c>
      <c r="F54" s="14">
        <v>44214</v>
      </c>
      <c r="G54" s="14">
        <v>44224</v>
      </c>
      <c r="H54" s="3" t="s">
        <v>250</v>
      </c>
      <c r="I54" s="15" t="s">
        <v>400</v>
      </c>
      <c r="J54" s="15" t="s">
        <v>750</v>
      </c>
      <c r="K54" s="15"/>
      <c r="L54" s="15"/>
      <c r="M54" s="1"/>
      <c r="N54" s="1"/>
      <c r="O54" s="1"/>
      <c r="P54" s="1"/>
      <c r="Q54" s="1"/>
      <c r="R54" s="1"/>
      <c r="S54" s="1"/>
      <c r="T54" s="1"/>
      <c r="U54" s="1"/>
      <c r="V54" s="1"/>
    </row>
    <row r="55" spans="1:22" ht="51" hidden="1">
      <c r="A55" s="9" t="s">
        <v>81</v>
      </c>
      <c r="B55" s="3" t="s">
        <v>401</v>
      </c>
      <c r="C55" s="3" t="s">
        <v>252</v>
      </c>
      <c r="D55" s="3" t="s">
        <v>300</v>
      </c>
      <c r="E55" s="3" t="s">
        <v>253</v>
      </c>
      <c r="F55" s="14">
        <v>44214</v>
      </c>
      <c r="G55" s="14">
        <v>44217</v>
      </c>
      <c r="H55" s="3" t="s">
        <v>250</v>
      </c>
      <c r="I55" s="15" t="s">
        <v>402</v>
      </c>
      <c r="J55" s="15" t="s">
        <v>1050</v>
      </c>
      <c r="K55" s="15" t="s">
        <v>1051</v>
      </c>
      <c r="L55" s="3"/>
      <c r="M55" s="1"/>
      <c r="N55" s="1"/>
      <c r="O55" s="1"/>
      <c r="P55" s="1"/>
      <c r="Q55" s="1"/>
      <c r="R55" s="1"/>
      <c r="S55" s="1"/>
      <c r="T55" s="1"/>
      <c r="U55" s="1"/>
      <c r="V55" s="1"/>
    </row>
    <row r="56" spans="1:22" ht="323" hidden="1">
      <c r="A56" s="9" t="s">
        <v>82</v>
      </c>
      <c r="B56" s="3" t="s">
        <v>578</v>
      </c>
      <c r="C56" s="3" t="s">
        <v>252</v>
      </c>
      <c r="D56" s="3" t="s">
        <v>300</v>
      </c>
      <c r="E56" s="3" t="s">
        <v>253</v>
      </c>
      <c r="F56" s="14">
        <v>44214</v>
      </c>
      <c r="G56" s="14">
        <v>44217</v>
      </c>
      <c r="H56" s="3" t="s">
        <v>250</v>
      </c>
      <c r="I56" s="15" t="s">
        <v>579</v>
      </c>
      <c r="J56" s="15"/>
      <c r="K56" s="15"/>
      <c r="L56" s="15"/>
      <c r="M56" s="1"/>
      <c r="N56" s="1"/>
      <c r="O56" s="1"/>
      <c r="P56" s="1"/>
      <c r="Q56" s="1"/>
      <c r="R56" s="1"/>
      <c r="S56" s="1"/>
      <c r="T56" s="1"/>
      <c r="U56" s="1"/>
      <c r="V56" s="1"/>
    </row>
    <row r="57" spans="1:22" ht="170" hidden="1">
      <c r="A57" s="9" t="s">
        <v>83</v>
      </c>
      <c r="B57" s="3" t="s">
        <v>751</v>
      </c>
      <c r="C57" s="3" t="s">
        <v>255</v>
      </c>
      <c r="D57" s="3" t="s">
        <v>302</v>
      </c>
      <c r="E57" s="3" t="s">
        <v>253</v>
      </c>
      <c r="F57" s="14">
        <v>44214</v>
      </c>
      <c r="G57" s="14">
        <v>44225</v>
      </c>
      <c r="H57" s="3" t="s">
        <v>250</v>
      </c>
      <c r="I57" s="15" t="s">
        <v>752</v>
      </c>
      <c r="J57" s="15" t="s">
        <v>250</v>
      </c>
      <c r="K57" s="15" t="s">
        <v>836</v>
      </c>
      <c r="L57" s="3" t="s">
        <v>1052</v>
      </c>
      <c r="M57" s="1"/>
      <c r="N57" s="1"/>
      <c r="O57" s="1"/>
      <c r="P57" s="1"/>
      <c r="Q57" s="1"/>
      <c r="R57" s="1"/>
      <c r="S57" s="1"/>
      <c r="T57" s="1"/>
      <c r="U57" s="1"/>
      <c r="V57" s="1"/>
    </row>
    <row r="58" spans="1:22" ht="68" hidden="1">
      <c r="A58" s="9" t="s">
        <v>84</v>
      </c>
      <c r="B58" s="3" t="s">
        <v>688</v>
      </c>
      <c r="C58" s="3" t="s">
        <v>252</v>
      </c>
      <c r="D58" s="3" t="s">
        <v>300</v>
      </c>
      <c r="E58" s="3" t="s">
        <v>253</v>
      </c>
      <c r="F58" s="14">
        <v>44214</v>
      </c>
      <c r="G58" s="14">
        <v>44217</v>
      </c>
      <c r="H58" s="3" t="s">
        <v>250</v>
      </c>
      <c r="I58" s="15" t="s">
        <v>689</v>
      </c>
      <c r="J58" s="15" t="s">
        <v>753</v>
      </c>
      <c r="K58" s="15" t="s">
        <v>1053</v>
      </c>
      <c r="L58" s="3"/>
      <c r="M58" s="1"/>
      <c r="N58" s="1"/>
      <c r="O58" s="1"/>
      <c r="P58" s="1"/>
      <c r="Q58" s="1"/>
      <c r="R58" s="1"/>
      <c r="S58" s="1"/>
      <c r="T58" s="1"/>
      <c r="U58" s="1"/>
      <c r="V58" s="1"/>
    </row>
    <row r="59" spans="1:22" ht="119">
      <c r="A59" s="13" t="s">
        <v>85</v>
      </c>
      <c r="B59" s="3" t="s">
        <v>908</v>
      </c>
      <c r="C59" s="3" t="s">
        <v>40</v>
      </c>
      <c r="D59" s="3" t="s">
        <v>893</v>
      </c>
      <c r="E59" s="3" t="s">
        <v>21</v>
      </c>
      <c r="F59" s="14">
        <v>44214</v>
      </c>
      <c r="G59" s="14">
        <v>44224</v>
      </c>
      <c r="H59" s="3" t="s">
        <v>22</v>
      </c>
      <c r="I59" s="15" t="s">
        <v>909</v>
      </c>
      <c r="J59" s="3" t="s">
        <v>910</v>
      </c>
      <c r="K59" s="3"/>
      <c r="L59" s="3"/>
      <c r="M59" s="1"/>
      <c r="N59" s="1"/>
      <c r="O59" s="1"/>
      <c r="P59" s="1"/>
      <c r="Q59" s="1"/>
      <c r="R59" s="1"/>
      <c r="S59" s="1"/>
      <c r="T59" s="1"/>
      <c r="U59" s="1"/>
      <c r="V59" s="1"/>
    </row>
    <row r="60" spans="1:22" ht="136" hidden="1">
      <c r="A60" s="9" t="s">
        <v>86</v>
      </c>
      <c r="B60" s="3" t="s">
        <v>911</v>
      </c>
      <c r="C60" s="3" t="s">
        <v>256</v>
      </c>
      <c r="D60" s="3" t="s">
        <v>308</v>
      </c>
      <c r="E60" s="3" t="s">
        <v>253</v>
      </c>
      <c r="F60" s="14">
        <v>44214</v>
      </c>
      <c r="G60" s="14">
        <v>44223</v>
      </c>
      <c r="H60" s="3" t="s">
        <v>259</v>
      </c>
      <c r="I60" s="15" t="s">
        <v>912</v>
      </c>
      <c r="J60" s="15" t="s">
        <v>1054</v>
      </c>
      <c r="K60" s="15" t="s">
        <v>1055</v>
      </c>
      <c r="L60" s="15" t="s">
        <v>1056</v>
      </c>
      <c r="M60" s="1"/>
      <c r="N60" s="1"/>
      <c r="O60" s="1"/>
      <c r="P60" s="1"/>
      <c r="Q60" s="1"/>
      <c r="R60" s="1"/>
      <c r="S60" s="1"/>
      <c r="T60" s="1"/>
      <c r="U60" s="1"/>
      <c r="V60" s="1"/>
    </row>
    <row r="61" spans="1:22" ht="34" hidden="1">
      <c r="A61" s="9" t="s">
        <v>87</v>
      </c>
      <c r="B61" s="3" t="s">
        <v>403</v>
      </c>
      <c r="C61" s="3" t="s">
        <v>252</v>
      </c>
      <c r="D61" s="3" t="s">
        <v>307</v>
      </c>
      <c r="E61" s="3" t="s">
        <v>253</v>
      </c>
      <c r="F61" s="14">
        <v>44214</v>
      </c>
      <c r="G61" s="14">
        <v>44214</v>
      </c>
      <c r="H61" s="3" t="s">
        <v>250</v>
      </c>
      <c r="I61" s="15" t="s">
        <v>404</v>
      </c>
      <c r="J61" s="15"/>
      <c r="K61" s="15"/>
      <c r="L61" s="15"/>
      <c r="M61" s="1"/>
      <c r="N61" s="1"/>
      <c r="O61" s="1"/>
      <c r="P61" s="1"/>
      <c r="Q61" s="1"/>
      <c r="R61" s="1"/>
      <c r="S61" s="1"/>
      <c r="T61" s="1"/>
      <c r="U61" s="1"/>
      <c r="V61" s="1"/>
    </row>
    <row r="62" spans="1:22" ht="119" hidden="1">
      <c r="A62" s="9" t="s">
        <v>88</v>
      </c>
      <c r="B62" s="3" t="s">
        <v>621</v>
      </c>
      <c r="C62" s="3" t="s">
        <v>256</v>
      </c>
      <c r="D62" s="3" t="s">
        <v>302</v>
      </c>
      <c r="E62" s="3" t="s">
        <v>253</v>
      </c>
      <c r="F62" s="14">
        <v>44214</v>
      </c>
      <c r="G62" s="14">
        <v>44223</v>
      </c>
      <c r="H62" s="3" t="s">
        <v>250</v>
      </c>
      <c r="I62" s="15" t="s">
        <v>622</v>
      </c>
      <c r="J62" s="15" t="s">
        <v>317</v>
      </c>
      <c r="K62" s="15" t="s">
        <v>837</v>
      </c>
      <c r="L62" s="15"/>
      <c r="M62" s="1"/>
      <c r="N62" s="1"/>
      <c r="O62" s="1"/>
      <c r="P62" s="1"/>
      <c r="Q62" s="1"/>
      <c r="R62" s="1"/>
      <c r="S62" s="1"/>
      <c r="T62" s="1"/>
      <c r="U62" s="1"/>
      <c r="V62" s="1"/>
    </row>
    <row r="63" spans="1:22" ht="238" hidden="1">
      <c r="A63" s="9" t="s">
        <v>89</v>
      </c>
      <c r="B63" s="3" t="s">
        <v>405</v>
      </c>
      <c r="C63" s="3" t="s">
        <v>256</v>
      </c>
      <c r="D63" s="3" t="s">
        <v>302</v>
      </c>
      <c r="E63" s="3" t="s">
        <v>253</v>
      </c>
      <c r="F63" s="14">
        <v>44214</v>
      </c>
      <c r="G63" s="14">
        <v>44218</v>
      </c>
      <c r="H63" s="3" t="s">
        <v>250</v>
      </c>
      <c r="I63" s="15" t="s">
        <v>406</v>
      </c>
      <c r="J63" s="15" t="s">
        <v>317</v>
      </c>
      <c r="K63" s="15" t="s">
        <v>754</v>
      </c>
      <c r="L63" s="15" t="s">
        <v>407</v>
      </c>
      <c r="M63" s="1"/>
      <c r="N63" s="1"/>
      <c r="O63" s="1"/>
      <c r="P63" s="1"/>
      <c r="Q63" s="1"/>
      <c r="R63" s="1"/>
      <c r="S63" s="1"/>
      <c r="T63" s="1"/>
      <c r="U63" s="1"/>
      <c r="V63" s="1"/>
    </row>
    <row r="64" spans="1:22" ht="272" hidden="1">
      <c r="A64" s="9" t="s">
        <v>90</v>
      </c>
      <c r="B64" s="3" t="s">
        <v>408</v>
      </c>
      <c r="C64" s="3" t="s">
        <v>256</v>
      </c>
      <c r="D64" s="3" t="s">
        <v>302</v>
      </c>
      <c r="E64" s="3" t="s">
        <v>253</v>
      </c>
      <c r="F64" s="14">
        <v>44211</v>
      </c>
      <c r="G64" s="14">
        <v>44218</v>
      </c>
      <c r="H64" s="3" t="s">
        <v>250</v>
      </c>
      <c r="I64" s="15" t="s">
        <v>409</v>
      </c>
      <c r="J64" s="15" t="s">
        <v>838</v>
      </c>
      <c r="K64" s="15" t="s">
        <v>839</v>
      </c>
      <c r="L64" s="15" t="s">
        <v>366</v>
      </c>
      <c r="M64" s="1"/>
      <c r="N64" s="1"/>
      <c r="O64" s="1"/>
      <c r="P64" s="1"/>
      <c r="Q64" s="1"/>
      <c r="R64" s="1"/>
      <c r="S64" s="1"/>
      <c r="T64" s="1"/>
      <c r="U64" s="1"/>
      <c r="V64" s="1"/>
    </row>
    <row r="65" spans="1:22" ht="102" hidden="1">
      <c r="A65" s="9" t="s">
        <v>91</v>
      </c>
      <c r="B65" s="3" t="s">
        <v>580</v>
      </c>
      <c r="C65" s="3" t="s">
        <v>394</v>
      </c>
      <c r="D65" s="3" t="s">
        <v>395</v>
      </c>
      <c r="E65" s="3" t="s">
        <v>253</v>
      </c>
      <c r="F65" s="14">
        <v>44211</v>
      </c>
      <c r="G65" s="14">
        <v>44216</v>
      </c>
      <c r="H65" s="3" t="s">
        <v>250</v>
      </c>
      <c r="I65" s="15" t="s">
        <v>669</v>
      </c>
      <c r="J65" s="15" t="s">
        <v>623</v>
      </c>
      <c r="K65" s="15" t="s">
        <v>1057</v>
      </c>
      <c r="L65" s="15" t="s">
        <v>455</v>
      </c>
      <c r="M65" s="1"/>
      <c r="N65" s="1"/>
      <c r="O65" s="1"/>
      <c r="P65" s="1"/>
      <c r="Q65" s="1"/>
      <c r="R65" s="1"/>
      <c r="S65" s="1"/>
      <c r="T65" s="1"/>
      <c r="U65" s="1"/>
      <c r="V65" s="1"/>
    </row>
    <row r="66" spans="1:22" ht="153" hidden="1">
      <c r="A66" s="9" t="s">
        <v>92</v>
      </c>
      <c r="B66" s="3" t="s">
        <v>303</v>
      </c>
      <c r="C66" s="3" t="s">
        <v>257</v>
      </c>
      <c r="D66" s="3" t="s">
        <v>316</v>
      </c>
      <c r="E66" s="3" t="s">
        <v>253</v>
      </c>
      <c r="F66" s="14">
        <v>44211</v>
      </c>
      <c r="G66" s="14">
        <v>44230</v>
      </c>
      <c r="H66" s="3" t="s">
        <v>304</v>
      </c>
      <c r="I66" s="15" t="s">
        <v>624</v>
      </c>
      <c r="J66" s="15" t="s">
        <v>304</v>
      </c>
      <c r="K66" s="15"/>
      <c r="L66" s="15" t="s">
        <v>410</v>
      </c>
      <c r="M66" s="1"/>
      <c r="N66" s="1"/>
      <c r="O66" s="1"/>
      <c r="P66" s="1"/>
      <c r="Q66" s="1"/>
      <c r="R66" s="1"/>
      <c r="S66" s="1"/>
      <c r="T66" s="1"/>
      <c r="U66" s="1"/>
      <c r="V66" s="1"/>
    </row>
    <row r="67" spans="1:22" ht="68" hidden="1">
      <c r="A67" s="9" t="s">
        <v>93</v>
      </c>
      <c r="B67" s="3" t="s">
        <v>411</v>
      </c>
      <c r="C67" s="3" t="s">
        <v>412</v>
      </c>
      <c r="D67" s="3" t="s">
        <v>413</v>
      </c>
      <c r="E67" s="3" t="s">
        <v>253</v>
      </c>
      <c r="F67" s="14">
        <v>44211</v>
      </c>
      <c r="G67" s="14">
        <v>44214</v>
      </c>
      <c r="H67" s="3" t="s">
        <v>250</v>
      </c>
      <c r="I67" s="15" t="s">
        <v>414</v>
      </c>
      <c r="J67" s="15" t="s">
        <v>415</v>
      </c>
      <c r="K67" s="15" t="s">
        <v>670</v>
      </c>
      <c r="L67" s="15" t="s">
        <v>416</v>
      </c>
      <c r="M67" s="1"/>
      <c r="N67" s="1"/>
      <c r="O67" s="1"/>
      <c r="P67" s="1"/>
      <c r="Q67" s="1"/>
      <c r="R67" s="1"/>
      <c r="S67" s="1"/>
      <c r="T67" s="1"/>
      <c r="U67" s="1"/>
      <c r="V67" s="1"/>
    </row>
    <row r="68" spans="1:22" ht="306" hidden="1">
      <c r="A68" s="9" t="s">
        <v>94</v>
      </c>
      <c r="B68" s="3" t="s">
        <v>417</v>
      </c>
      <c r="C68" s="3" t="s">
        <v>256</v>
      </c>
      <c r="D68" s="3" t="s">
        <v>302</v>
      </c>
      <c r="E68" s="3" t="s">
        <v>253</v>
      </c>
      <c r="F68" s="14">
        <v>44211</v>
      </c>
      <c r="G68" s="14">
        <v>44218</v>
      </c>
      <c r="H68" s="3" t="s">
        <v>250</v>
      </c>
      <c r="I68" s="15" t="s">
        <v>1058</v>
      </c>
      <c r="J68" s="15" t="s">
        <v>671</v>
      </c>
      <c r="K68" s="15" t="s">
        <v>755</v>
      </c>
      <c r="L68" s="15" t="s">
        <v>407</v>
      </c>
      <c r="M68" s="1"/>
      <c r="N68" s="1"/>
      <c r="O68" s="1"/>
      <c r="P68" s="1"/>
      <c r="Q68" s="1"/>
      <c r="R68" s="1"/>
      <c r="S68" s="1"/>
      <c r="T68" s="1"/>
      <c r="U68" s="1"/>
      <c r="V68" s="1"/>
    </row>
    <row r="69" spans="1:22" ht="68" hidden="1">
      <c r="A69" s="9" t="s">
        <v>95</v>
      </c>
      <c r="B69" s="3" t="s">
        <v>418</v>
      </c>
      <c r="C69" s="3" t="s">
        <v>255</v>
      </c>
      <c r="D69" s="3" t="s">
        <v>308</v>
      </c>
      <c r="E69" s="3" t="s">
        <v>253</v>
      </c>
      <c r="F69" s="14">
        <v>44211</v>
      </c>
      <c r="G69" s="14">
        <v>44218</v>
      </c>
      <c r="H69" s="3" t="s">
        <v>250</v>
      </c>
      <c r="I69" s="15"/>
      <c r="J69" s="15" t="s">
        <v>672</v>
      </c>
      <c r="K69" s="15" t="s">
        <v>840</v>
      </c>
      <c r="L69" s="15" t="s">
        <v>419</v>
      </c>
      <c r="M69" s="1"/>
      <c r="N69" s="1"/>
      <c r="O69" s="1"/>
      <c r="P69" s="1"/>
      <c r="Q69" s="1"/>
      <c r="R69" s="1"/>
      <c r="S69" s="1"/>
      <c r="T69" s="1"/>
      <c r="U69" s="1"/>
      <c r="V69" s="1"/>
    </row>
    <row r="70" spans="1:22" ht="170" hidden="1">
      <c r="A70" s="9" t="s">
        <v>96</v>
      </c>
      <c r="B70" s="3" t="s">
        <v>420</v>
      </c>
      <c r="C70" s="3" t="s">
        <v>256</v>
      </c>
      <c r="D70" s="3" t="s">
        <v>302</v>
      </c>
      <c r="E70" s="3" t="s">
        <v>253</v>
      </c>
      <c r="F70" s="14">
        <v>44211</v>
      </c>
      <c r="G70" s="14">
        <v>44223</v>
      </c>
      <c r="H70" s="3" t="s">
        <v>250</v>
      </c>
      <c r="I70" s="15" t="s">
        <v>421</v>
      </c>
      <c r="J70" s="15" t="s">
        <v>250</v>
      </c>
      <c r="K70" s="15" t="s">
        <v>1059</v>
      </c>
      <c r="L70" s="15" t="s">
        <v>1056</v>
      </c>
      <c r="M70" s="1"/>
      <c r="N70" s="1"/>
      <c r="O70" s="1"/>
      <c r="P70" s="1"/>
      <c r="Q70" s="1"/>
      <c r="R70" s="1"/>
      <c r="S70" s="1"/>
      <c r="T70" s="1"/>
      <c r="U70" s="1"/>
      <c r="V70" s="1"/>
    </row>
    <row r="71" spans="1:22" ht="34" hidden="1">
      <c r="A71" s="9" t="s">
        <v>98</v>
      </c>
      <c r="B71" s="3" t="s">
        <v>422</v>
      </c>
      <c r="C71" s="3" t="s">
        <v>255</v>
      </c>
      <c r="D71" s="3" t="s">
        <v>302</v>
      </c>
      <c r="E71" s="3" t="s">
        <v>253</v>
      </c>
      <c r="F71" s="14">
        <v>44211</v>
      </c>
      <c r="G71" s="14">
        <v>44224</v>
      </c>
      <c r="H71" s="3" t="s">
        <v>250</v>
      </c>
      <c r="I71" s="15" t="s">
        <v>756</v>
      </c>
      <c r="J71" s="15" t="s">
        <v>1043</v>
      </c>
      <c r="K71" s="15"/>
      <c r="L71" s="15"/>
      <c r="M71" s="1"/>
      <c r="N71" s="1"/>
      <c r="O71" s="1"/>
      <c r="P71" s="1"/>
      <c r="Q71" s="1"/>
      <c r="R71" s="1"/>
      <c r="S71" s="1"/>
      <c r="T71" s="1"/>
      <c r="U71" s="1"/>
      <c r="V71" s="1"/>
    </row>
    <row r="72" spans="1:22" ht="409.6" hidden="1">
      <c r="A72" s="9" t="s">
        <v>99</v>
      </c>
      <c r="B72" s="3" t="s">
        <v>423</v>
      </c>
      <c r="C72" s="3" t="s">
        <v>258</v>
      </c>
      <c r="D72" s="3" t="s">
        <v>302</v>
      </c>
      <c r="E72" s="3" t="s">
        <v>253</v>
      </c>
      <c r="F72" s="14">
        <v>44211</v>
      </c>
      <c r="G72" s="14">
        <v>44218</v>
      </c>
      <c r="H72" s="3" t="s">
        <v>250</v>
      </c>
      <c r="I72" s="15" t="s">
        <v>841</v>
      </c>
      <c r="J72" s="15"/>
      <c r="K72" s="15"/>
      <c r="L72" s="15" t="s">
        <v>625</v>
      </c>
      <c r="M72" s="1"/>
      <c r="N72" s="1"/>
      <c r="O72" s="1"/>
      <c r="P72" s="1"/>
      <c r="Q72" s="1"/>
      <c r="R72" s="1"/>
      <c r="S72" s="1"/>
      <c r="T72" s="1"/>
      <c r="U72" s="1"/>
      <c r="V72" s="1"/>
    </row>
    <row r="73" spans="1:22" ht="136" hidden="1">
      <c r="A73" s="9" t="s">
        <v>100</v>
      </c>
      <c r="B73" s="3" t="s">
        <v>424</v>
      </c>
      <c r="C73" s="3" t="s">
        <v>258</v>
      </c>
      <c r="D73" s="3" t="s">
        <v>302</v>
      </c>
      <c r="E73" s="3" t="s">
        <v>253</v>
      </c>
      <c r="F73" s="14">
        <v>44211</v>
      </c>
      <c r="G73" s="14">
        <v>44216</v>
      </c>
      <c r="H73" s="3" t="s">
        <v>259</v>
      </c>
      <c r="I73" s="15" t="s">
        <v>425</v>
      </c>
      <c r="J73" s="15"/>
      <c r="K73" s="15" t="s">
        <v>757</v>
      </c>
      <c r="L73" s="15" t="s">
        <v>416</v>
      </c>
      <c r="M73" s="1"/>
      <c r="N73" s="1"/>
      <c r="O73" s="1"/>
      <c r="P73" s="1"/>
      <c r="Q73" s="1"/>
      <c r="R73" s="1"/>
      <c r="S73" s="1"/>
      <c r="T73" s="1"/>
      <c r="U73" s="1"/>
      <c r="V73" s="1"/>
    </row>
    <row r="74" spans="1:22" ht="409.6" hidden="1">
      <c r="A74" s="9" t="s">
        <v>101</v>
      </c>
      <c r="B74" s="3" t="s">
        <v>426</v>
      </c>
      <c r="C74" s="3" t="s">
        <v>255</v>
      </c>
      <c r="D74" s="3" t="s">
        <v>302</v>
      </c>
      <c r="E74" s="3" t="s">
        <v>253</v>
      </c>
      <c r="F74" s="14">
        <v>44211</v>
      </c>
      <c r="G74" s="14">
        <v>44221</v>
      </c>
      <c r="H74" s="3" t="s">
        <v>250</v>
      </c>
      <c r="I74" s="15" t="s">
        <v>427</v>
      </c>
      <c r="J74" s="15" t="s">
        <v>250</v>
      </c>
      <c r="K74" s="15" t="s">
        <v>842</v>
      </c>
      <c r="L74" s="15" t="s">
        <v>1060</v>
      </c>
      <c r="M74" s="1"/>
      <c r="N74" s="1"/>
      <c r="O74" s="1"/>
      <c r="P74" s="1"/>
      <c r="Q74" s="1"/>
      <c r="R74" s="1"/>
      <c r="S74" s="1"/>
      <c r="T74" s="1"/>
      <c r="U74" s="1"/>
      <c r="V74" s="1"/>
    </row>
    <row r="75" spans="1:22" ht="68" hidden="1">
      <c r="A75" s="9" t="s">
        <v>102</v>
      </c>
      <c r="B75" s="3" t="s">
        <v>428</v>
      </c>
      <c r="C75" s="3" t="s">
        <v>255</v>
      </c>
      <c r="D75" s="3" t="s">
        <v>302</v>
      </c>
      <c r="E75" s="3" t="s">
        <v>253</v>
      </c>
      <c r="F75" s="14">
        <v>44211</v>
      </c>
      <c r="G75" s="14">
        <v>44221</v>
      </c>
      <c r="H75" s="3" t="s">
        <v>250</v>
      </c>
      <c r="I75" s="15" t="s">
        <v>429</v>
      </c>
      <c r="J75" s="15" t="s">
        <v>250</v>
      </c>
      <c r="K75" s="15" t="s">
        <v>843</v>
      </c>
      <c r="L75" s="15"/>
      <c r="M75" s="1"/>
      <c r="N75" s="1"/>
      <c r="O75" s="1"/>
      <c r="P75" s="1"/>
      <c r="Q75" s="1"/>
      <c r="R75" s="1"/>
      <c r="S75" s="1"/>
      <c r="T75" s="1"/>
      <c r="U75" s="1"/>
      <c r="V75" s="1"/>
    </row>
    <row r="76" spans="1:22" ht="68" hidden="1">
      <c r="A76" s="9" t="s">
        <v>103</v>
      </c>
      <c r="B76" s="3" t="s">
        <v>430</v>
      </c>
      <c r="C76" s="3" t="s">
        <v>255</v>
      </c>
      <c r="D76" s="3" t="s">
        <v>302</v>
      </c>
      <c r="E76" s="3" t="s">
        <v>253</v>
      </c>
      <c r="F76" s="14">
        <v>44211</v>
      </c>
      <c r="G76" s="14">
        <v>44223</v>
      </c>
      <c r="H76" s="3" t="s">
        <v>259</v>
      </c>
      <c r="I76" s="15" t="s">
        <v>431</v>
      </c>
      <c r="J76" s="15" t="s">
        <v>1061</v>
      </c>
      <c r="K76" s="15" t="s">
        <v>1062</v>
      </c>
      <c r="L76" s="15" t="s">
        <v>432</v>
      </c>
      <c r="M76" s="1"/>
      <c r="N76" s="1"/>
      <c r="O76" s="1"/>
      <c r="P76" s="1"/>
      <c r="Q76" s="1"/>
      <c r="R76" s="1"/>
      <c r="S76" s="1"/>
      <c r="T76" s="1"/>
      <c r="U76" s="1"/>
      <c r="V76" s="1"/>
    </row>
    <row r="77" spans="1:22" hidden="1">
      <c r="A77" s="9" t="s">
        <v>104</v>
      </c>
      <c r="B77" s="3" t="s">
        <v>433</v>
      </c>
      <c r="C77" s="3" t="s">
        <v>394</v>
      </c>
      <c r="D77" s="3" t="s">
        <v>395</v>
      </c>
      <c r="E77" s="3" t="s">
        <v>253</v>
      </c>
      <c r="F77" s="14">
        <v>44210</v>
      </c>
      <c r="G77" s="14">
        <v>44216</v>
      </c>
      <c r="H77" s="3" t="s">
        <v>250</v>
      </c>
      <c r="I77" s="15" t="s">
        <v>434</v>
      </c>
      <c r="J77" s="15"/>
      <c r="K77" s="15"/>
      <c r="L77" s="15" t="s">
        <v>435</v>
      </c>
      <c r="M77" s="1"/>
      <c r="N77" s="1"/>
      <c r="O77" s="1"/>
      <c r="P77" s="1"/>
      <c r="Q77" s="1"/>
      <c r="R77" s="1"/>
      <c r="S77" s="1"/>
      <c r="T77" s="1"/>
      <c r="U77" s="1"/>
      <c r="V77" s="1"/>
    </row>
    <row r="78" spans="1:22" ht="409.6" hidden="1">
      <c r="A78" s="9" t="s">
        <v>105</v>
      </c>
      <c r="B78" s="3" t="s">
        <v>436</v>
      </c>
      <c r="C78" s="3" t="s">
        <v>257</v>
      </c>
      <c r="D78" s="3" t="s">
        <v>302</v>
      </c>
      <c r="E78" s="3" t="s">
        <v>253</v>
      </c>
      <c r="F78" s="14">
        <v>44210</v>
      </c>
      <c r="G78" s="14">
        <v>44218</v>
      </c>
      <c r="H78" s="3" t="s">
        <v>250</v>
      </c>
      <c r="I78" s="15" t="s">
        <v>437</v>
      </c>
      <c r="J78" s="15" t="s">
        <v>626</v>
      </c>
      <c r="K78" s="15" t="s">
        <v>673</v>
      </c>
      <c r="L78" s="15" t="s">
        <v>844</v>
      </c>
      <c r="M78" s="1"/>
      <c r="N78" s="1"/>
      <c r="O78" s="1"/>
      <c r="P78" s="1"/>
      <c r="Q78" s="1"/>
      <c r="R78" s="1"/>
      <c r="S78" s="1"/>
      <c r="T78" s="1"/>
      <c r="U78" s="1"/>
      <c r="V78" s="1"/>
    </row>
    <row r="79" spans="1:22" ht="272" hidden="1">
      <c r="A79" s="9" t="s">
        <v>106</v>
      </c>
      <c r="B79" s="3" t="s">
        <v>438</v>
      </c>
      <c r="C79" s="3" t="s">
        <v>258</v>
      </c>
      <c r="D79" s="3" t="s">
        <v>308</v>
      </c>
      <c r="E79" s="3" t="s">
        <v>253</v>
      </c>
      <c r="F79" s="14">
        <v>44210</v>
      </c>
      <c r="G79" s="14"/>
      <c r="H79" s="3" t="s">
        <v>259</v>
      </c>
      <c r="I79" s="15" t="s">
        <v>439</v>
      </c>
      <c r="J79" s="15" t="s">
        <v>758</v>
      </c>
      <c r="K79" s="15" t="s">
        <v>759</v>
      </c>
      <c r="L79" s="15" t="s">
        <v>260</v>
      </c>
      <c r="M79" s="1"/>
      <c r="N79" s="1"/>
      <c r="O79" s="1"/>
      <c r="P79" s="1"/>
      <c r="Q79" s="1"/>
      <c r="R79" s="1"/>
      <c r="S79" s="1"/>
      <c r="T79" s="1"/>
      <c r="U79" s="1"/>
      <c r="V79" s="1"/>
    </row>
    <row r="80" spans="1:22" ht="68" hidden="1">
      <c r="A80" s="9" t="s">
        <v>107</v>
      </c>
      <c r="B80" s="3" t="s">
        <v>326</v>
      </c>
      <c r="C80" s="3" t="s">
        <v>258</v>
      </c>
      <c r="D80" s="3" t="s">
        <v>291</v>
      </c>
      <c r="E80" s="3" t="s">
        <v>253</v>
      </c>
      <c r="F80" s="14">
        <v>44210</v>
      </c>
      <c r="G80" s="14">
        <v>44216</v>
      </c>
      <c r="H80" s="3" t="s">
        <v>259</v>
      </c>
      <c r="I80" s="15" t="s">
        <v>327</v>
      </c>
      <c r="J80" s="15" t="s">
        <v>845</v>
      </c>
      <c r="K80" s="15" t="s">
        <v>846</v>
      </c>
      <c r="L80" s="15" t="s">
        <v>260</v>
      </c>
      <c r="M80" s="1"/>
      <c r="N80" s="1"/>
      <c r="O80" s="1"/>
      <c r="P80" s="1"/>
      <c r="Q80" s="1"/>
      <c r="R80" s="1"/>
      <c r="S80" s="1"/>
      <c r="T80" s="1"/>
      <c r="U80" s="1"/>
      <c r="V80" s="1"/>
    </row>
    <row r="81" spans="1:22" ht="68" hidden="1">
      <c r="A81" s="9" t="s">
        <v>108</v>
      </c>
      <c r="B81" s="3" t="s">
        <v>440</v>
      </c>
      <c r="C81" s="3" t="s">
        <v>258</v>
      </c>
      <c r="D81" s="3" t="s">
        <v>674</v>
      </c>
      <c r="E81" s="3" t="s">
        <v>253</v>
      </c>
      <c r="F81" s="14">
        <v>44210</v>
      </c>
      <c r="G81" s="14">
        <v>44224</v>
      </c>
      <c r="H81" s="3" t="s">
        <v>250</v>
      </c>
      <c r="I81" s="15" t="s">
        <v>441</v>
      </c>
      <c r="J81" s="15" t="s">
        <v>675</v>
      </c>
      <c r="K81" s="15" t="s">
        <v>1063</v>
      </c>
      <c r="L81" s="15" t="s">
        <v>260</v>
      </c>
      <c r="M81" s="1"/>
      <c r="N81" s="1"/>
      <c r="O81" s="1"/>
      <c r="P81" s="1"/>
      <c r="Q81" s="1"/>
      <c r="R81" s="1"/>
      <c r="S81" s="1"/>
      <c r="T81" s="1"/>
      <c r="U81" s="1"/>
      <c r="V81" s="1"/>
    </row>
    <row r="82" spans="1:22" ht="153" hidden="1">
      <c r="A82" s="9" t="s">
        <v>110</v>
      </c>
      <c r="B82" s="3" t="s">
        <v>442</v>
      </c>
      <c r="C82" s="3" t="s">
        <v>258</v>
      </c>
      <c r="D82" s="3" t="s">
        <v>291</v>
      </c>
      <c r="E82" s="3" t="s">
        <v>253</v>
      </c>
      <c r="F82" s="14">
        <v>44210</v>
      </c>
      <c r="G82" s="14">
        <v>44216</v>
      </c>
      <c r="H82" s="3" t="s">
        <v>250</v>
      </c>
      <c r="I82" s="15" t="s">
        <v>443</v>
      </c>
      <c r="J82" s="15" t="s">
        <v>627</v>
      </c>
      <c r="K82" s="15"/>
      <c r="L82" s="15" t="s">
        <v>260</v>
      </c>
      <c r="M82" s="1"/>
      <c r="N82" s="1"/>
      <c r="O82" s="1"/>
      <c r="P82" s="1"/>
      <c r="Q82" s="1"/>
      <c r="R82" s="1"/>
      <c r="S82" s="1"/>
      <c r="T82" s="1"/>
      <c r="U82" s="1"/>
      <c r="V82" s="1"/>
    </row>
    <row r="83" spans="1:22" ht="323" hidden="1">
      <c r="A83" s="9" t="s">
        <v>111</v>
      </c>
      <c r="B83" s="3" t="s">
        <v>444</v>
      </c>
      <c r="C83" s="3" t="s">
        <v>258</v>
      </c>
      <c r="D83" s="3" t="s">
        <v>291</v>
      </c>
      <c r="E83" s="3" t="s">
        <v>253</v>
      </c>
      <c r="F83" s="14">
        <v>44210</v>
      </c>
      <c r="G83" s="14">
        <v>44216</v>
      </c>
      <c r="H83" s="3" t="s">
        <v>250</v>
      </c>
      <c r="I83" s="15" t="s">
        <v>445</v>
      </c>
      <c r="J83" s="15" t="s">
        <v>446</v>
      </c>
      <c r="K83" s="15" t="s">
        <v>628</v>
      </c>
      <c r="L83" s="15" t="s">
        <v>260</v>
      </c>
      <c r="M83" s="1"/>
      <c r="N83" s="1"/>
      <c r="O83" s="1"/>
      <c r="P83" s="1"/>
      <c r="Q83" s="1"/>
      <c r="R83" s="1"/>
      <c r="S83" s="1"/>
      <c r="T83" s="1"/>
      <c r="U83" s="1"/>
      <c r="V83" s="1"/>
    </row>
    <row r="84" spans="1:22" ht="85" hidden="1">
      <c r="A84" s="9" t="s">
        <v>112</v>
      </c>
      <c r="B84" s="3" t="s">
        <v>447</v>
      </c>
      <c r="C84" s="3" t="s">
        <v>255</v>
      </c>
      <c r="D84" s="3" t="s">
        <v>1064</v>
      </c>
      <c r="E84" s="3" t="s">
        <v>253</v>
      </c>
      <c r="F84" s="14">
        <v>44210</v>
      </c>
      <c r="G84" s="14">
        <v>44222</v>
      </c>
      <c r="H84" s="3" t="s">
        <v>259</v>
      </c>
      <c r="I84" s="15" t="s">
        <v>448</v>
      </c>
      <c r="J84" s="15" t="s">
        <v>1065</v>
      </c>
      <c r="K84" s="15" t="s">
        <v>1066</v>
      </c>
      <c r="L84" s="15" t="s">
        <v>449</v>
      </c>
      <c r="M84" s="1"/>
      <c r="N84" s="1"/>
      <c r="O84" s="1"/>
      <c r="P84" s="1"/>
      <c r="Q84" s="1"/>
      <c r="R84" s="1"/>
      <c r="S84" s="1"/>
      <c r="T84" s="1"/>
      <c r="U84" s="1"/>
      <c r="V84" s="1"/>
    </row>
    <row r="85" spans="1:22" ht="68" hidden="1">
      <c r="A85" s="9" t="s">
        <v>113</v>
      </c>
      <c r="B85" s="3" t="s">
        <v>305</v>
      </c>
      <c r="C85" s="3" t="s">
        <v>258</v>
      </c>
      <c r="D85" s="3"/>
      <c r="E85" s="3" t="s">
        <v>253</v>
      </c>
      <c r="F85" s="14">
        <v>44210</v>
      </c>
      <c r="G85" s="14"/>
      <c r="H85" s="3" t="s">
        <v>250</v>
      </c>
      <c r="I85" s="15" t="s">
        <v>306</v>
      </c>
      <c r="J85" s="15"/>
      <c r="K85" s="15"/>
      <c r="L85" s="15" t="s">
        <v>260</v>
      </c>
      <c r="M85" s="1"/>
      <c r="N85" s="1"/>
      <c r="O85" s="1"/>
      <c r="P85" s="1"/>
      <c r="Q85" s="1"/>
      <c r="R85" s="1"/>
      <c r="S85" s="1"/>
      <c r="T85" s="1"/>
      <c r="U85" s="1"/>
      <c r="V85" s="1"/>
    </row>
    <row r="86" spans="1:22" ht="187" hidden="1">
      <c r="A86" s="9" t="s">
        <v>114</v>
      </c>
      <c r="B86" s="3" t="s">
        <v>450</v>
      </c>
      <c r="C86" s="3" t="s">
        <v>258</v>
      </c>
      <c r="D86" s="3" t="s">
        <v>291</v>
      </c>
      <c r="E86" s="3" t="s">
        <v>253</v>
      </c>
      <c r="F86" s="14">
        <v>44210</v>
      </c>
      <c r="G86" s="14">
        <v>44216</v>
      </c>
      <c r="H86" s="3" t="s">
        <v>250</v>
      </c>
      <c r="I86" s="15" t="s">
        <v>451</v>
      </c>
      <c r="J86" s="15" t="s">
        <v>629</v>
      </c>
      <c r="K86" s="15" t="s">
        <v>676</v>
      </c>
      <c r="L86" s="15" t="s">
        <v>260</v>
      </c>
      <c r="M86" s="1"/>
      <c r="N86" s="1"/>
      <c r="O86" s="1"/>
      <c r="P86" s="1"/>
      <c r="Q86" s="1"/>
      <c r="R86" s="1"/>
      <c r="S86" s="1"/>
      <c r="T86" s="1"/>
      <c r="U86" s="1"/>
      <c r="V86" s="1"/>
    </row>
    <row r="87" spans="1:22" ht="51" hidden="1">
      <c r="A87" s="9" t="s">
        <v>115</v>
      </c>
      <c r="B87" s="3" t="s">
        <v>452</v>
      </c>
      <c r="C87" s="3" t="s">
        <v>255</v>
      </c>
      <c r="D87" s="3" t="s">
        <v>453</v>
      </c>
      <c r="E87" s="3" t="s">
        <v>253</v>
      </c>
      <c r="F87" s="14">
        <v>44210</v>
      </c>
      <c r="G87" s="14">
        <v>44211</v>
      </c>
      <c r="H87" s="3" t="s">
        <v>259</v>
      </c>
      <c r="I87" s="15" t="s">
        <v>454</v>
      </c>
      <c r="J87" s="15" t="s">
        <v>760</v>
      </c>
      <c r="K87" s="15" t="s">
        <v>761</v>
      </c>
      <c r="L87" s="15" t="s">
        <v>455</v>
      </c>
      <c r="M87" s="1"/>
      <c r="N87" s="1"/>
      <c r="O87" s="1"/>
      <c r="P87" s="1"/>
      <c r="Q87" s="1"/>
      <c r="R87" s="1"/>
      <c r="S87" s="1"/>
      <c r="T87" s="1"/>
      <c r="U87" s="1"/>
      <c r="V87" s="1"/>
    </row>
    <row r="88" spans="1:22" ht="388" hidden="1">
      <c r="A88" s="9" t="s">
        <v>116</v>
      </c>
      <c r="B88" s="3" t="s">
        <v>456</v>
      </c>
      <c r="C88" s="3" t="s">
        <v>257</v>
      </c>
      <c r="D88" s="3" t="s">
        <v>291</v>
      </c>
      <c r="E88" s="3" t="s">
        <v>253</v>
      </c>
      <c r="F88" s="14">
        <v>44210</v>
      </c>
      <c r="G88" s="14">
        <v>44216</v>
      </c>
      <c r="H88" s="3" t="s">
        <v>250</v>
      </c>
      <c r="I88" s="15" t="s">
        <v>457</v>
      </c>
      <c r="J88" s="15" t="s">
        <v>1067</v>
      </c>
      <c r="K88" s="15" t="s">
        <v>847</v>
      </c>
      <c r="L88" s="15" t="s">
        <v>458</v>
      </c>
      <c r="M88" s="1"/>
      <c r="N88" s="1"/>
      <c r="O88" s="1"/>
      <c r="P88" s="1"/>
      <c r="Q88" s="1"/>
      <c r="R88" s="1"/>
      <c r="S88" s="1"/>
      <c r="T88" s="1"/>
      <c r="U88" s="1"/>
      <c r="V88" s="1"/>
    </row>
    <row r="89" spans="1:22" hidden="1">
      <c r="A89" s="9" t="s">
        <v>117</v>
      </c>
      <c r="B89" s="3" t="s">
        <v>459</v>
      </c>
      <c r="C89" s="3" t="s">
        <v>412</v>
      </c>
      <c r="D89" s="3" t="s">
        <v>353</v>
      </c>
      <c r="E89" s="3" t="s">
        <v>253</v>
      </c>
      <c r="F89" s="14">
        <v>44207</v>
      </c>
      <c r="G89" s="14">
        <v>44216</v>
      </c>
      <c r="H89" s="3" t="s">
        <v>250</v>
      </c>
      <c r="I89" s="15" t="s">
        <v>460</v>
      </c>
      <c r="J89" s="15"/>
      <c r="K89" s="15" t="s">
        <v>1068</v>
      </c>
      <c r="L89" s="15" t="s">
        <v>461</v>
      </c>
      <c r="M89" s="1"/>
      <c r="N89" s="1"/>
      <c r="O89" s="1"/>
      <c r="P89" s="1"/>
      <c r="Q89" s="1"/>
      <c r="R89" s="1"/>
      <c r="S89" s="1"/>
      <c r="T89" s="1"/>
      <c r="U89" s="1"/>
      <c r="V89" s="1"/>
    </row>
    <row r="90" spans="1:22" ht="51" hidden="1">
      <c r="A90" s="9" t="s">
        <v>118</v>
      </c>
      <c r="B90" s="3" t="s">
        <v>462</v>
      </c>
      <c r="C90" s="3" t="s">
        <v>463</v>
      </c>
      <c r="D90" s="3" t="s">
        <v>307</v>
      </c>
      <c r="E90" s="3" t="s">
        <v>253</v>
      </c>
      <c r="F90" s="14">
        <v>44209</v>
      </c>
      <c r="G90" s="14">
        <v>44214</v>
      </c>
      <c r="H90" s="3" t="s">
        <v>259</v>
      </c>
      <c r="I90" s="15" t="s">
        <v>464</v>
      </c>
      <c r="J90" s="15" t="s">
        <v>465</v>
      </c>
      <c r="K90" s="15"/>
      <c r="L90" s="15" t="s">
        <v>366</v>
      </c>
      <c r="M90" s="1"/>
      <c r="N90" s="1"/>
      <c r="O90" s="1"/>
      <c r="P90" s="1"/>
      <c r="Q90" s="1"/>
      <c r="R90" s="1"/>
      <c r="S90" s="1"/>
      <c r="T90" s="1"/>
      <c r="U90" s="1"/>
      <c r="V90" s="1"/>
    </row>
    <row r="91" spans="1:22" ht="51" hidden="1">
      <c r="A91" s="9" t="s">
        <v>119</v>
      </c>
      <c r="B91" s="3" t="s">
        <v>466</v>
      </c>
      <c r="C91" s="3" t="s">
        <v>257</v>
      </c>
      <c r="D91" s="3" t="s">
        <v>395</v>
      </c>
      <c r="E91" s="3" t="s">
        <v>253</v>
      </c>
      <c r="F91" s="14">
        <v>44209</v>
      </c>
      <c r="G91" s="14">
        <v>44214</v>
      </c>
      <c r="H91" s="3" t="s">
        <v>250</v>
      </c>
      <c r="I91" s="15" t="s">
        <v>467</v>
      </c>
      <c r="J91" s="15" t="s">
        <v>762</v>
      </c>
      <c r="K91" s="15" t="s">
        <v>630</v>
      </c>
      <c r="L91" s="15" t="s">
        <v>455</v>
      </c>
      <c r="M91" s="1"/>
      <c r="N91" s="1"/>
      <c r="O91" s="1"/>
      <c r="P91" s="1"/>
      <c r="Q91" s="1"/>
      <c r="R91" s="1"/>
      <c r="S91" s="1"/>
      <c r="T91" s="1"/>
      <c r="U91" s="1"/>
      <c r="V91" s="1"/>
    </row>
    <row r="92" spans="1:22" ht="85" hidden="1">
      <c r="A92" s="9" t="s">
        <v>120</v>
      </c>
      <c r="B92" s="3" t="s">
        <v>468</v>
      </c>
      <c r="C92" s="3" t="s">
        <v>252</v>
      </c>
      <c r="D92" s="3" t="s">
        <v>308</v>
      </c>
      <c r="E92" s="3" t="s">
        <v>253</v>
      </c>
      <c r="F92" s="14">
        <v>44209</v>
      </c>
      <c r="G92" s="14">
        <v>44214</v>
      </c>
      <c r="H92" s="3" t="s">
        <v>250</v>
      </c>
      <c r="I92" s="15" t="s">
        <v>469</v>
      </c>
      <c r="J92" s="15" t="s">
        <v>470</v>
      </c>
      <c r="K92" s="15" t="s">
        <v>471</v>
      </c>
      <c r="L92" s="15" t="s">
        <v>472</v>
      </c>
      <c r="M92" s="1"/>
      <c r="N92" s="1"/>
      <c r="O92" s="1"/>
      <c r="P92" s="1"/>
      <c r="Q92" s="1"/>
      <c r="R92" s="1"/>
      <c r="S92" s="1"/>
      <c r="T92" s="1"/>
      <c r="U92" s="1"/>
      <c r="V92" s="1"/>
    </row>
    <row r="93" spans="1:22" ht="388" hidden="1">
      <c r="A93" s="9" t="s">
        <v>121</v>
      </c>
      <c r="B93" s="3" t="s">
        <v>473</v>
      </c>
      <c r="C93" s="3" t="s">
        <v>257</v>
      </c>
      <c r="D93" s="3" t="s">
        <v>474</v>
      </c>
      <c r="E93" s="3" t="s">
        <v>253</v>
      </c>
      <c r="F93" s="14">
        <v>44210</v>
      </c>
      <c r="G93" s="14">
        <v>44210</v>
      </c>
      <c r="H93" s="3" t="s">
        <v>259</v>
      </c>
      <c r="I93" s="15" t="s">
        <v>475</v>
      </c>
      <c r="J93" s="15" t="s">
        <v>476</v>
      </c>
      <c r="K93" s="15" t="s">
        <v>848</v>
      </c>
      <c r="L93" s="15" t="s">
        <v>477</v>
      </c>
      <c r="M93" s="1"/>
      <c r="N93" s="1"/>
      <c r="O93" s="1"/>
      <c r="P93" s="1"/>
      <c r="Q93" s="1"/>
      <c r="R93" s="1"/>
      <c r="S93" s="1"/>
      <c r="T93" s="1"/>
      <c r="U93" s="1"/>
      <c r="V93" s="1"/>
    </row>
    <row r="94" spans="1:22" ht="221" hidden="1">
      <c r="A94" s="9" t="s">
        <v>122</v>
      </c>
      <c r="B94" s="3" t="s">
        <v>478</v>
      </c>
      <c r="C94" s="3" t="s">
        <v>252</v>
      </c>
      <c r="D94" s="3" t="s">
        <v>308</v>
      </c>
      <c r="E94" s="3" t="s">
        <v>253</v>
      </c>
      <c r="F94" s="14">
        <v>44209</v>
      </c>
      <c r="G94" s="14">
        <v>44214</v>
      </c>
      <c r="H94" s="3" t="s">
        <v>250</v>
      </c>
      <c r="I94" s="15" t="s">
        <v>479</v>
      </c>
      <c r="J94" s="15" t="s">
        <v>631</v>
      </c>
      <c r="K94" s="15" t="s">
        <v>677</v>
      </c>
      <c r="L94" s="15" t="s">
        <v>472</v>
      </c>
      <c r="M94" s="1"/>
      <c r="N94" s="1"/>
      <c r="O94" s="1"/>
      <c r="P94" s="1"/>
      <c r="Q94" s="1"/>
      <c r="R94" s="1"/>
      <c r="S94" s="1"/>
      <c r="T94" s="1"/>
      <c r="U94" s="1"/>
      <c r="V94" s="1"/>
    </row>
    <row r="95" spans="1:22" ht="51" hidden="1">
      <c r="A95" s="9" t="s">
        <v>123</v>
      </c>
      <c r="B95" s="3" t="s">
        <v>480</v>
      </c>
      <c r="C95" s="3" t="s">
        <v>255</v>
      </c>
      <c r="D95" s="3" t="s">
        <v>316</v>
      </c>
      <c r="E95" s="3" t="s">
        <v>253</v>
      </c>
      <c r="F95" s="14">
        <v>44209</v>
      </c>
      <c r="G95" s="14">
        <v>44222</v>
      </c>
      <c r="H95" s="3" t="s">
        <v>250</v>
      </c>
      <c r="I95" s="15" t="s">
        <v>481</v>
      </c>
      <c r="J95" s="15" t="s">
        <v>632</v>
      </c>
      <c r="K95" s="15" t="s">
        <v>633</v>
      </c>
      <c r="L95" s="15" t="s">
        <v>482</v>
      </c>
      <c r="M95" s="1"/>
      <c r="N95" s="1"/>
      <c r="O95" s="1"/>
      <c r="P95" s="1"/>
      <c r="Q95" s="1"/>
      <c r="R95" s="1"/>
      <c r="S95" s="1"/>
      <c r="T95" s="1"/>
      <c r="U95" s="1"/>
      <c r="V95" s="1"/>
    </row>
    <row r="96" spans="1:22" ht="51" hidden="1">
      <c r="A96" s="9" t="s">
        <v>124</v>
      </c>
      <c r="B96" s="3" t="s">
        <v>483</v>
      </c>
      <c r="C96" s="3" t="s">
        <v>252</v>
      </c>
      <c r="D96" s="3" t="s">
        <v>308</v>
      </c>
      <c r="E96" s="3" t="s">
        <v>253</v>
      </c>
      <c r="F96" s="14">
        <v>44209</v>
      </c>
      <c r="G96" s="14">
        <v>44214</v>
      </c>
      <c r="H96" s="3" t="s">
        <v>250</v>
      </c>
      <c r="I96" s="15" t="s">
        <v>484</v>
      </c>
      <c r="J96" s="15" t="s">
        <v>485</v>
      </c>
      <c r="K96" s="15" t="s">
        <v>486</v>
      </c>
      <c r="L96" s="15" t="s">
        <v>472</v>
      </c>
      <c r="M96" s="1"/>
      <c r="N96" s="1"/>
      <c r="O96" s="1"/>
      <c r="P96" s="1"/>
      <c r="Q96" s="1"/>
      <c r="R96" s="1"/>
      <c r="S96" s="1"/>
      <c r="T96" s="1"/>
      <c r="U96" s="1"/>
      <c r="V96" s="1"/>
    </row>
    <row r="97" spans="1:22" ht="136" hidden="1">
      <c r="A97" s="9" t="s">
        <v>125</v>
      </c>
      <c r="B97" s="3" t="s">
        <v>763</v>
      </c>
      <c r="C97" s="3" t="s">
        <v>252</v>
      </c>
      <c r="D97" s="3" t="s">
        <v>308</v>
      </c>
      <c r="E97" s="3" t="s">
        <v>253</v>
      </c>
      <c r="F97" s="14">
        <v>44209</v>
      </c>
      <c r="G97" s="14">
        <v>44214</v>
      </c>
      <c r="H97" s="3" t="s">
        <v>250</v>
      </c>
      <c r="I97" s="15" t="s">
        <v>764</v>
      </c>
      <c r="J97" s="15" t="s">
        <v>470</v>
      </c>
      <c r="K97" s="3" t="s">
        <v>1069</v>
      </c>
      <c r="L97" s="15" t="s">
        <v>472</v>
      </c>
      <c r="M97" s="1"/>
      <c r="N97" s="1"/>
      <c r="O97" s="1"/>
      <c r="P97" s="1"/>
      <c r="Q97" s="1"/>
      <c r="R97" s="1"/>
      <c r="S97" s="1"/>
      <c r="T97" s="1"/>
      <c r="U97" s="1"/>
      <c r="V97" s="1"/>
    </row>
    <row r="98" spans="1:22" ht="356" hidden="1">
      <c r="A98" s="9" t="s">
        <v>126</v>
      </c>
      <c r="B98" s="3" t="s">
        <v>690</v>
      </c>
      <c r="C98" s="3" t="s">
        <v>255</v>
      </c>
      <c r="D98" s="3" t="s">
        <v>1070</v>
      </c>
      <c r="E98" s="3" t="s">
        <v>253</v>
      </c>
      <c r="F98" s="14">
        <v>44209</v>
      </c>
      <c r="G98" s="14">
        <v>44224</v>
      </c>
      <c r="H98" s="3" t="s">
        <v>250</v>
      </c>
      <c r="I98" s="15" t="s">
        <v>691</v>
      </c>
      <c r="J98" s="15" t="s">
        <v>692</v>
      </c>
      <c r="K98" s="15"/>
      <c r="L98" s="15" t="s">
        <v>678</v>
      </c>
      <c r="M98" s="1"/>
      <c r="N98" s="1"/>
      <c r="O98" s="1"/>
      <c r="P98" s="1"/>
      <c r="Q98" s="1"/>
      <c r="R98" s="1"/>
      <c r="S98" s="1"/>
      <c r="T98" s="1"/>
      <c r="U98" s="1"/>
      <c r="V98" s="1"/>
    </row>
    <row r="99" spans="1:22" ht="409.6">
      <c r="A99" s="13" t="s">
        <v>127</v>
      </c>
      <c r="B99" s="3" t="s">
        <v>914</v>
      </c>
      <c r="C99" s="3" t="s">
        <v>577</v>
      </c>
      <c r="D99" s="3"/>
      <c r="E99" s="3" t="s">
        <v>21</v>
      </c>
      <c r="F99" s="14">
        <v>44209</v>
      </c>
      <c r="G99" s="14">
        <v>44223</v>
      </c>
      <c r="H99" s="3" t="s">
        <v>22</v>
      </c>
      <c r="I99" s="15" t="s">
        <v>915</v>
      </c>
      <c r="J99" s="15" t="s">
        <v>916</v>
      </c>
      <c r="K99" s="15" t="s">
        <v>917</v>
      </c>
      <c r="L99" s="15" t="s">
        <v>913</v>
      </c>
      <c r="M99" s="1"/>
      <c r="N99" s="1"/>
      <c r="O99" s="1"/>
      <c r="P99" s="1"/>
      <c r="Q99" s="1"/>
      <c r="R99" s="1"/>
      <c r="S99" s="1"/>
      <c r="T99" s="1"/>
      <c r="U99" s="1"/>
      <c r="V99" s="1"/>
    </row>
    <row r="100" spans="1:22" ht="34" hidden="1">
      <c r="A100" s="9" t="s">
        <v>128</v>
      </c>
      <c r="B100" s="3" t="s">
        <v>918</v>
      </c>
      <c r="C100" s="3" t="s">
        <v>252</v>
      </c>
      <c r="D100" s="3" t="s">
        <v>308</v>
      </c>
      <c r="E100" s="3" t="s">
        <v>253</v>
      </c>
      <c r="F100" s="14">
        <v>44209</v>
      </c>
      <c r="G100" s="14">
        <v>44216</v>
      </c>
      <c r="H100" s="3" t="s">
        <v>250</v>
      </c>
      <c r="I100" s="15" t="s">
        <v>919</v>
      </c>
      <c r="J100" s="15" t="s">
        <v>1071</v>
      </c>
      <c r="K100" s="15" t="s">
        <v>1072</v>
      </c>
      <c r="L100" s="15" t="s">
        <v>1073</v>
      </c>
      <c r="M100" s="1"/>
      <c r="N100" s="1"/>
      <c r="O100" s="1"/>
      <c r="P100" s="1"/>
      <c r="Q100" s="1"/>
      <c r="R100" s="1"/>
      <c r="S100" s="1"/>
      <c r="T100" s="1"/>
      <c r="U100" s="1"/>
      <c r="V100" s="1"/>
    </row>
    <row r="101" spans="1:22" ht="136" hidden="1">
      <c r="A101" s="9" t="s">
        <v>129</v>
      </c>
      <c r="B101" s="3" t="s">
        <v>328</v>
      </c>
      <c r="C101" s="3" t="s">
        <v>329</v>
      </c>
      <c r="D101" s="3" t="s">
        <v>474</v>
      </c>
      <c r="E101" s="3" t="s">
        <v>253</v>
      </c>
      <c r="F101" s="14">
        <v>44209</v>
      </c>
      <c r="G101" s="14">
        <v>44209</v>
      </c>
      <c r="H101" s="3" t="s">
        <v>250</v>
      </c>
      <c r="I101" s="15" t="s">
        <v>330</v>
      </c>
      <c r="J101" s="15"/>
      <c r="K101" s="15"/>
      <c r="L101" s="15"/>
      <c r="M101" s="1"/>
      <c r="N101" s="1"/>
      <c r="O101" s="1"/>
      <c r="P101" s="1"/>
      <c r="Q101" s="1"/>
      <c r="R101" s="1"/>
      <c r="S101" s="1"/>
      <c r="T101" s="1"/>
      <c r="U101" s="1"/>
      <c r="V101" s="1"/>
    </row>
    <row r="102" spans="1:22" ht="204" hidden="1">
      <c r="A102" s="9" t="s">
        <v>131</v>
      </c>
      <c r="B102" s="3" t="s">
        <v>634</v>
      </c>
      <c r="C102" s="3" t="s">
        <v>252</v>
      </c>
      <c r="D102" s="3" t="s">
        <v>331</v>
      </c>
      <c r="E102" s="3" t="s">
        <v>253</v>
      </c>
      <c r="F102" s="14">
        <v>44209</v>
      </c>
      <c r="G102" s="14">
        <v>44216</v>
      </c>
      <c r="H102" s="3" t="s">
        <v>259</v>
      </c>
      <c r="I102" s="15" t="s">
        <v>635</v>
      </c>
      <c r="J102" s="3"/>
      <c r="K102" s="15"/>
      <c r="L102" s="15" t="s">
        <v>1074</v>
      </c>
      <c r="M102" s="1"/>
      <c r="N102" s="1"/>
      <c r="O102" s="1"/>
      <c r="P102" s="1"/>
      <c r="Q102" s="1"/>
      <c r="R102" s="1"/>
      <c r="S102" s="1"/>
      <c r="T102" s="1"/>
      <c r="U102" s="1"/>
      <c r="V102" s="1"/>
    </row>
    <row r="103" spans="1:22" ht="255" hidden="1">
      <c r="A103" s="9" t="s">
        <v>132</v>
      </c>
      <c r="B103" s="3" t="s">
        <v>487</v>
      </c>
      <c r="C103" s="3" t="s">
        <v>252</v>
      </c>
      <c r="D103" s="3" t="s">
        <v>353</v>
      </c>
      <c r="E103" s="3" t="s">
        <v>253</v>
      </c>
      <c r="F103" s="14">
        <v>44209</v>
      </c>
      <c r="G103" s="14">
        <v>44222</v>
      </c>
      <c r="H103" s="3" t="s">
        <v>398</v>
      </c>
      <c r="I103" s="15" t="s">
        <v>488</v>
      </c>
      <c r="J103" s="15" t="s">
        <v>765</v>
      </c>
      <c r="K103" s="15" t="s">
        <v>766</v>
      </c>
      <c r="L103" s="15"/>
      <c r="M103" s="1"/>
      <c r="N103" s="1"/>
      <c r="O103" s="1"/>
      <c r="P103" s="1"/>
      <c r="Q103" s="1"/>
      <c r="R103" s="1"/>
      <c r="S103" s="1"/>
      <c r="T103" s="1"/>
      <c r="U103" s="1"/>
      <c r="V103" s="1"/>
    </row>
    <row r="104" spans="1:22" ht="204" hidden="1">
      <c r="A104" s="9" t="s">
        <v>133</v>
      </c>
      <c r="B104" s="3" t="s">
        <v>489</v>
      </c>
      <c r="C104" s="3" t="s">
        <v>252</v>
      </c>
      <c r="D104" s="3" t="s">
        <v>353</v>
      </c>
      <c r="E104" s="3" t="s">
        <v>253</v>
      </c>
      <c r="F104" s="14">
        <v>44208</v>
      </c>
      <c r="G104" s="14">
        <v>44222</v>
      </c>
      <c r="H104" s="3" t="s">
        <v>250</v>
      </c>
      <c r="I104" s="15" t="s">
        <v>490</v>
      </c>
      <c r="J104" s="3" t="s">
        <v>849</v>
      </c>
      <c r="K104" s="15" t="s">
        <v>850</v>
      </c>
      <c r="L104" s="3" t="s">
        <v>358</v>
      </c>
      <c r="M104" s="1"/>
      <c r="N104" s="1"/>
      <c r="O104" s="1"/>
      <c r="P104" s="1"/>
      <c r="Q104" s="1"/>
      <c r="R104" s="1"/>
      <c r="S104" s="1"/>
      <c r="T104" s="1"/>
      <c r="U104" s="1"/>
      <c r="V104" s="1"/>
    </row>
    <row r="105" spans="1:22" ht="136" hidden="1">
      <c r="A105" s="9" t="s">
        <v>134</v>
      </c>
      <c r="B105" s="3" t="s">
        <v>581</v>
      </c>
      <c r="C105" s="3" t="s">
        <v>252</v>
      </c>
      <c r="D105" s="3" t="s">
        <v>308</v>
      </c>
      <c r="E105" s="3" t="s">
        <v>253</v>
      </c>
      <c r="F105" s="14">
        <v>44209</v>
      </c>
      <c r="G105" s="14">
        <v>44216</v>
      </c>
      <c r="H105" s="3" t="s">
        <v>250</v>
      </c>
      <c r="I105" s="15" t="s">
        <v>582</v>
      </c>
      <c r="J105" s="3" t="s">
        <v>636</v>
      </c>
      <c r="K105" s="15" t="s">
        <v>335</v>
      </c>
      <c r="L105" s="15" t="s">
        <v>276</v>
      </c>
      <c r="M105" s="1"/>
      <c r="N105" s="1"/>
      <c r="O105" s="1"/>
      <c r="P105" s="1"/>
      <c r="Q105" s="1"/>
      <c r="R105" s="1"/>
      <c r="S105" s="1"/>
      <c r="T105" s="1"/>
      <c r="U105" s="1"/>
      <c r="V105" s="1"/>
    </row>
    <row r="106" spans="1:22" ht="136" hidden="1">
      <c r="A106" s="9" t="s">
        <v>135</v>
      </c>
      <c r="B106" s="3" t="s">
        <v>491</v>
      </c>
      <c r="C106" s="3" t="s">
        <v>257</v>
      </c>
      <c r="D106" s="3" t="s">
        <v>316</v>
      </c>
      <c r="E106" s="3" t="s">
        <v>253</v>
      </c>
      <c r="F106" s="14"/>
      <c r="G106" s="14">
        <v>44230</v>
      </c>
      <c r="H106" s="3" t="s">
        <v>250</v>
      </c>
      <c r="I106" s="15" t="s">
        <v>492</v>
      </c>
      <c r="J106" s="3" t="s">
        <v>317</v>
      </c>
      <c r="K106" s="15" t="s">
        <v>767</v>
      </c>
      <c r="L106" s="15" t="s">
        <v>1075</v>
      </c>
      <c r="M106" s="1"/>
      <c r="N106" s="1"/>
      <c r="O106" s="1"/>
      <c r="P106" s="1"/>
      <c r="Q106" s="1"/>
      <c r="R106" s="1"/>
      <c r="S106" s="1"/>
      <c r="T106" s="1"/>
      <c r="U106" s="1"/>
      <c r="V106" s="1"/>
    </row>
    <row r="107" spans="1:22" ht="51" hidden="1">
      <c r="A107" s="9" t="s">
        <v>136</v>
      </c>
      <c r="B107" s="3" t="s">
        <v>493</v>
      </c>
      <c r="C107" s="3" t="s">
        <v>257</v>
      </c>
      <c r="D107" s="3" t="s">
        <v>291</v>
      </c>
      <c r="E107" s="3" t="s">
        <v>253</v>
      </c>
      <c r="F107" s="14">
        <v>44209</v>
      </c>
      <c r="G107" s="14">
        <v>44215</v>
      </c>
      <c r="H107" s="3" t="s">
        <v>259</v>
      </c>
      <c r="I107" s="15" t="s">
        <v>494</v>
      </c>
      <c r="J107" s="3" t="s">
        <v>495</v>
      </c>
      <c r="K107" s="15" t="s">
        <v>496</v>
      </c>
      <c r="L107" s="15"/>
      <c r="M107" s="1"/>
      <c r="N107" s="1"/>
      <c r="O107" s="1"/>
      <c r="P107" s="1"/>
      <c r="Q107" s="1"/>
      <c r="R107" s="1"/>
      <c r="S107" s="1"/>
      <c r="T107" s="1"/>
      <c r="U107" s="1"/>
      <c r="V107" s="1"/>
    </row>
    <row r="108" spans="1:22" ht="85" hidden="1">
      <c r="A108" s="9" t="s">
        <v>137</v>
      </c>
      <c r="B108" s="3" t="s">
        <v>497</v>
      </c>
      <c r="C108" s="3" t="s">
        <v>252</v>
      </c>
      <c r="D108" s="3" t="s">
        <v>308</v>
      </c>
      <c r="E108" s="3" t="s">
        <v>253</v>
      </c>
      <c r="F108" s="14">
        <v>44209</v>
      </c>
      <c r="G108" s="14">
        <v>44216</v>
      </c>
      <c r="H108" s="3" t="s">
        <v>250</v>
      </c>
      <c r="I108" s="15" t="s">
        <v>498</v>
      </c>
      <c r="J108" s="15" t="s">
        <v>636</v>
      </c>
      <c r="K108" s="15" t="s">
        <v>335</v>
      </c>
      <c r="L108" s="15" t="s">
        <v>276</v>
      </c>
      <c r="M108" s="1"/>
      <c r="N108" s="1"/>
      <c r="O108" s="1"/>
      <c r="P108" s="1"/>
      <c r="Q108" s="1"/>
      <c r="R108" s="1"/>
      <c r="S108" s="1"/>
      <c r="T108" s="1"/>
      <c r="U108" s="1"/>
      <c r="V108" s="1"/>
    </row>
    <row r="109" spans="1:22" ht="409.6" hidden="1">
      <c r="A109" s="9" t="s">
        <v>138</v>
      </c>
      <c r="B109" s="3" t="s">
        <v>332</v>
      </c>
      <c r="C109" s="3" t="s">
        <v>273</v>
      </c>
      <c r="D109" s="3" t="s">
        <v>291</v>
      </c>
      <c r="E109" s="3" t="s">
        <v>253</v>
      </c>
      <c r="F109" s="14">
        <v>44209</v>
      </c>
      <c r="G109" s="14">
        <v>44209</v>
      </c>
      <c r="H109" s="3" t="s">
        <v>250</v>
      </c>
      <c r="I109" s="15" t="s">
        <v>333</v>
      </c>
      <c r="J109" s="15" t="s">
        <v>637</v>
      </c>
      <c r="K109" s="15" t="s">
        <v>334</v>
      </c>
      <c r="L109" s="3" t="s">
        <v>679</v>
      </c>
      <c r="M109" s="1"/>
      <c r="N109" s="1"/>
      <c r="O109" s="1"/>
      <c r="P109" s="1"/>
      <c r="Q109" s="1"/>
      <c r="R109" s="1"/>
      <c r="S109" s="1"/>
      <c r="T109" s="1"/>
      <c r="U109" s="1"/>
      <c r="V109" s="1"/>
    </row>
    <row r="110" spans="1:22" ht="340" hidden="1">
      <c r="A110" s="9" t="s">
        <v>139</v>
      </c>
      <c r="B110" s="3" t="s">
        <v>768</v>
      </c>
      <c r="C110" s="3" t="s">
        <v>252</v>
      </c>
      <c r="D110" s="3" t="s">
        <v>308</v>
      </c>
      <c r="E110" s="3" t="s">
        <v>253</v>
      </c>
      <c r="F110" s="14">
        <v>44209</v>
      </c>
      <c r="G110" s="14">
        <v>44214</v>
      </c>
      <c r="H110" s="3" t="s">
        <v>259</v>
      </c>
      <c r="I110" s="15" t="s">
        <v>769</v>
      </c>
      <c r="J110" s="15" t="s">
        <v>770</v>
      </c>
      <c r="K110" s="15" t="s">
        <v>771</v>
      </c>
      <c r="L110" s="3" t="s">
        <v>851</v>
      </c>
      <c r="M110" s="1"/>
      <c r="N110" s="1"/>
      <c r="O110" s="1"/>
      <c r="P110" s="1"/>
      <c r="Q110" s="1"/>
      <c r="R110" s="1"/>
      <c r="S110" s="1"/>
      <c r="T110" s="1"/>
      <c r="U110" s="1"/>
      <c r="V110" s="1"/>
    </row>
    <row r="111" spans="1:22" ht="68" hidden="1">
      <c r="A111" s="9" t="s">
        <v>140</v>
      </c>
      <c r="B111" s="3" t="s">
        <v>693</v>
      </c>
      <c r="C111" s="3" t="s">
        <v>252</v>
      </c>
      <c r="D111" s="3" t="s">
        <v>308</v>
      </c>
      <c r="E111" s="3" t="s">
        <v>253</v>
      </c>
      <c r="F111" s="14">
        <v>44209</v>
      </c>
      <c r="G111" s="14">
        <v>44216</v>
      </c>
      <c r="H111" s="3" t="s">
        <v>250</v>
      </c>
      <c r="I111" s="15" t="s">
        <v>694</v>
      </c>
      <c r="J111" s="15" t="s">
        <v>1076</v>
      </c>
      <c r="K111" s="15" t="s">
        <v>335</v>
      </c>
      <c r="L111" s="15" t="s">
        <v>276</v>
      </c>
      <c r="M111" s="1"/>
      <c r="N111" s="1"/>
      <c r="O111" s="1"/>
      <c r="P111" s="1"/>
      <c r="Q111" s="1"/>
      <c r="R111" s="1"/>
      <c r="S111" s="1"/>
      <c r="T111" s="1"/>
      <c r="U111" s="1"/>
      <c r="V111" s="1"/>
    </row>
    <row r="112" spans="1:22" ht="409.6">
      <c r="A112" s="13" t="s">
        <v>141</v>
      </c>
      <c r="B112" s="3" t="s">
        <v>920</v>
      </c>
      <c r="C112" s="3" t="s">
        <v>921</v>
      </c>
      <c r="D112" s="3" t="s">
        <v>269</v>
      </c>
      <c r="E112" s="3" t="s">
        <v>21</v>
      </c>
      <c r="F112" s="14">
        <v>44208</v>
      </c>
      <c r="G112" s="14">
        <v>44215</v>
      </c>
      <c r="H112" s="3" t="s">
        <v>73</v>
      </c>
      <c r="I112" s="15" t="s">
        <v>922</v>
      </c>
      <c r="J112" s="3"/>
      <c r="K112" s="15" t="s">
        <v>923</v>
      </c>
      <c r="L112" s="3" t="s">
        <v>924</v>
      </c>
      <c r="M112" s="1"/>
      <c r="N112" s="1"/>
      <c r="O112" s="1"/>
      <c r="P112" s="1"/>
      <c r="Q112" s="1"/>
      <c r="R112" s="1"/>
      <c r="S112" s="1"/>
      <c r="T112" s="1"/>
      <c r="U112" s="1"/>
      <c r="V112" s="1"/>
    </row>
    <row r="113" spans="1:22" ht="136" hidden="1">
      <c r="A113" s="9" t="s">
        <v>142</v>
      </c>
      <c r="B113" s="3" t="s">
        <v>925</v>
      </c>
      <c r="C113" s="3" t="s">
        <v>252</v>
      </c>
      <c r="D113" s="3" t="s">
        <v>291</v>
      </c>
      <c r="E113" s="3" t="s">
        <v>253</v>
      </c>
      <c r="F113" s="14">
        <v>44208</v>
      </c>
      <c r="G113" s="14">
        <v>44223</v>
      </c>
      <c r="H113" s="3" t="s">
        <v>250</v>
      </c>
      <c r="I113" s="15" t="s">
        <v>926</v>
      </c>
      <c r="J113" s="3" t="s">
        <v>927</v>
      </c>
      <c r="K113" s="15" t="s">
        <v>928</v>
      </c>
      <c r="L113" s="15"/>
      <c r="M113" s="1"/>
      <c r="N113" s="1"/>
      <c r="O113" s="1"/>
      <c r="P113" s="1"/>
      <c r="Q113" s="1"/>
      <c r="R113" s="1"/>
      <c r="S113" s="1"/>
      <c r="T113" s="1"/>
      <c r="U113" s="1"/>
      <c r="V113" s="1"/>
    </row>
    <row r="114" spans="1:22" ht="68">
      <c r="A114" s="13" t="s">
        <v>143</v>
      </c>
      <c r="B114" s="3" t="s">
        <v>929</v>
      </c>
      <c r="C114" s="3" t="s">
        <v>40</v>
      </c>
      <c r="D114" s="3" t="s">
        <v>272</v>
      </c>
      <c r="E114" s="3" t="s">
        <v>21</v>
      </c>
      <c r="F114" s="14">
        <v>44208</v>
      </c>
      <c r="G114" s="14">
        <v>44221</v>
      </c>
      <c r="H114" s="3" t="s">
        <v>22</v>
      </c>
      <c r="I114" s="15" t="s">
        <v>930</v>
      </c>
      <c r="J114" s="3" t="s">
        <v>931</v>
      </c>
      <c r="K114" s="15" t="s">
        <v>932</v>
      </c>
      <c r="L114" s="15" t="s">
        <v>892</v>
      </c>
      <c r="M114" s="1"/>
      <c r="N114" s="1"/>
      <c r="O114" s="1"/>
      <c r="P114" s="1"/>
      <c r="Q114" s="1"/>
      <c r="R114" s="1"/>
      <c r="S114" s="1"/>
      <c r="T114" s="1"/>
      <c r="U114" s="1"/>
      <c r="V114" s="1"/>
    </row>
    <row r="115" spans="1:22" ht="255" hidden="1">
      <c r="A115" s="9" t="s">
        <v>144</v>
      </c>
      <c r="B115" s="3" t="s">
        <v>933</v>
      </c>
      <c r="C115" s="3" t="s">
        <v>934</v>
      </c>
      <c r="D115" s="3" t="s">
        <v>291</v>
      </c>
      <c r="E115" s="3" t="s">
        <v>253</v>
      </c>
      <c r="F115" s="14">
        <v>44208</v>
      </c>
      <c r="G115" s="14">
        <v>44217</v>
      </c>
      <c r="H115" s="3" t="s">
        <v>250</v>
      </c>
      <c r="I115" s="15" t="s">
        <v>935</v>
      </c>
      <c r="J115" s="15" t="s">
        <v>936</v>
      </c>
      <c r="K115" s="15" t="s">
        <v>937</v>
      </c>
      <c r="L115" s="15"/>
      <c r="M115" s="1"/>
      <c r="N115" s="1"/>
      <c r="O115" s="1"/>
      <c r="P115" s="1"/>
      <c r="Q115" s="1"/>
      <c r="R115" s="1"/>
      <c r="S115" s="1"/>
      <c r="T115" s="1"/>
      <c r="U115" s="1"/>
      <c r="V115" s="1"/>
    </row>
    <row r="116" spans="1:22" ht="136" hidden="1">
      <c r="A116" s="9" t="s">
        <v>145</v>
      </c>
      <c r="B116" s="3" t="s">
        <v>500</v>
      </c>
      <c r="C116" s="3" t="s">
        <v>252</v>
      </c>
      <c r="D116" s="3" t="s">
        <v>353</v>
      </c>
      <c r="E116" s="3" t="s">
        <v>253</v>
      </c>
      <c r="F116" s="14">
        <v>44208</v>
      </c>
      <c r="G116" s="14">
        <v>44222</v>
      </c>
      <c r="H116" s="3" t="s">
        <v>250</v>
      </c>
      <c r="I116" s="15" t="s">
        <v>501</v>
      </c>
      <c r="J116" s="15" t="s">
        <v>639</v>
      </c>
      <c r="K116" s="15" t="s">
        <v>1077</v>
      </c>
      <c r="L116" s="15" t="s">
        <v>1078</v>
      </c>
      <c r="M116" s="1"/>
      <c r="N116" s="1"/>
      <c r="O116" s="1"/>
      <c r="P116" s="1"/>
      <c r="Q116" s="1"/>
      <c r="R116" s="1"/>
      <c r="S116" s="1"/>
      <c r="T116" s="1"/>
      <c r="U116" s="1"/>
      <c r="V116" s="1"/>
    </row>
    <row r="117" spans="1:22" ht="187" hidden="1">
      <c r="A117" s="9" t="s">
        <v>146</v>
      </c>
      <c r="B117" s="3" t="s">
        <v>640</v>
      </c>
      <c r="C117" s="3" t="s">
        <v>255</v>
      </c>
      <c r="D117" s="3" t="s">
        <v>453</v>
      </c>
      <c r="E117" s="3" t="s">
        <v>253</v>
      </c>
      <c r="F117" s="14">
        <v>44208</v>
      </c>
      <c r="G117" s="14">
        <v>44222</v>
      </c>
      <c r="H117" s="3" t="s">
        <v>502</v>
      </c>
      <c r="I117" s="15" t="s">
        <v>641</v>
      </c>
      <c r="J117" s="15" t="s">
        <v>642</v>
      </c>
      <c r="K117" s="15"/>
      <c r="L117" s="3"/>
      <c r="M117" s="1"/>
      <c r="N117" s="1"/>
      <c r="O117" s="1"/>
      <c r="P117" s="1"/>
      <c r="Q117" s="1"/>
      <c r="R117" s="1"/>
      <c r="S117" s="1"/>
      <c r="T117" s="1"/>
      <c r="U117" s="1"/>
      <c r="V117" s="1"/>
    </row>
    <row r="118" spans="1:22" ht="409.6" hidden="1">
      <c r="A118" s="9" t="s">
        <v>148</v>
      </c>
      <c r="B118" s="3" t="s">
        <v>583</v>
      </c>
      <c r="C118" s="3" t="s">
        <v>252</v>
      </c>
      <c r="D118" s="3" t="s">
        <v>353</v>
      </c>
      <c r="E118" s="3" t="s">
        <v>253</v>
      </c>
      <c r="F118" s="14">
        <v>44208</v>
      </c>
      <c r="G118" s="14">
        <v>44222</v>
      </c>
      <c r="H118" s="3" t="s">
        <v>250</v>
      </c>
      <c r="I118" s="15" t="s">
        <v>584</v>
      </c>
      <c r="J118" s="15" t="s">
        <v>680</v>
      </c>
      <c r="K118" s="15" t="s">
        <v>681</v>
      </c>
      <c r="L118" s="15" t="s">
        <v>358</v>
      </c>
      <c r="M118" s="1"/>
      <c r="N118" s="1"/>
      <c r="O118" s="1"/>
      <c r="P118" s="1"/>
      <c r="Q118" s="1"/>
      <c r="R118" s="1"/>
      <c r="S118" s="1"/>
      <c r="T118" s="1"/>
      <c r="U118" s="1"/>
      <c r="V118" s="1"/>
    </row>
    <row r="119" spans="1:22" ht="187" hidden="1">
      <c r="A119" s="9" t="s">
        <v>149</v>
      </c>
      <c r="B119" s="3" t="s">
        <v>503</v>
      </c>
      <c r="C119" s="3" t="s">
        <v>252</v>
      </c>
      <c r="D119" s="3" t="s">
        <v>316</v>
      </c>
      <c r="E119" s="3" t="s">
        <v>253</v>
      </c>
      <c r="F119" s="14">
        <v>44208</v>
      </c>
      <c r="G119" s="14">
        <v>44228</v>
      </c>
      <c r="H119" s="3" t="s">
        <v>250</v>
      </c>
      <c r="I119" s="15" t="s">
        <v>504</v>
      </c>
      <c r="J119" s="15" t="s">
        <v>643</v>
      </c>
      <c r="K119" s="15" t="s">
        <v>644</v>
      </c>
      <c r="L119" s="15" t="s">
        <v>772</v>
      </c>
      <c r="M119" s="1"/>
      <c r="N119" s="1"/>
      <c r="O119" s="1"/>
      <c r="P119" s="1"/>
      <c r="Q119" s="1"/>
      <c r="R119" s="1"/>
      <c r="S119" s="1"/>
      <c r="T119" s="1"/>
      <c r="U119" s="1"/>
      <c r="V119" s="1"/>
    </row>
    <row r="120" spans="1:22" ht="372" hidden="1">
      <c r="A120" s="9" t="s">
        <v>150</v>
      </c>
      <c r="B120" s="3" t="s">
        <v>585</v>
      </c>
      <c r="C120" s="3" t="s">
        <v>252</v>
      </c>
      <c r="D120" s="3" t="s">
        <v>353</v>
      </c>
      <c r="E120" s="3" t="s">
        <v>253</v>
      </c>
      <c r="F120" s="14">
        <v>44208</v>
      </c>
      <c r="G120" s="14">
        <v>44222</v>
      </c>
      <c r="H120" s="3" t="s">
        <v>250</v>
      </c>
      <c r="I120" s="15" t="s">
        <v>586</v>
      </c>
      <c r="J120" s="3" t="s">
        <v>682</v>
      </c>
      <c r="K120" s="15" t="s">
        <v>852</v>
      </c>
      <c r="L120" s="15" t="s">
        <v>853</v>
      </c>
      <c r="M120" s="1"/>
      <c r="N120" s="1"/>
      <c r="O120" s="1"/>
      <c r="P120" s="1"/>
      <c r="Q120" s="1"/>
      <c r="R120" s="1"/>
      <c r="S120" s="1"/>
      <c r="T120" s="1"/>
      <c r="U120" s="1"/>
      <c r="V120" s="1"/>
    </row>
    <row r="121" spans="1:22" ht="102" hidden="1">
      <c r="A121" s="9" t="s">
        <v>151</v>
      </c>
      <c r="B121" s="3" t="s">
        <v>505</v>
      </c>
      <c r="C121" s="3" t="s">
        <v>262</v>
      </c>
      <c r="D121" s="3" t="s">
        <v>316</v>
      </c>
      <c r="E121" s="3" t="s">
        <v>261</v>
      </c>
      <c r="F121" s="14">
        <v>44208</v>
      </c>
      <c r="G121" s="14"/>
      <c r="H121" s="3" t="s">
        <v>250</v>
      </c>
      <c r="I121" s="15" t="s">
        <v>506</v>
      </c>
      <c r="J121" s="3" t="s">
        <v>1079</v>
      </c>
      <c r="K121" s="15" t="s">
        <v>1080</v>
      </c>
      <c r="L121" s="15" t="s">
        <v>645</v>
      </c>
      <c r="M121" s="1"/>
      <c r="N121" s="1"/>
      <c r="O121" s="1"/>
      <c r="P121" s="1"/>
      <c r="Q121" s="1"/>
      <c r="R121" s="1"/>
      <c r="S121" s="1"/>
      <c r="T121" s="1"/>
      <c r="U121" s="1"/>
      <c r="V121" s="1"/>
    </row>
    <row r="122" spans="1:22" ht="153" hidden="1">
      <c r="A122" s="9" t="s">
        <v>152</v>
      </c>
      <c r="B122" s="3" t="s">
        <v>507</v>
      </c>
      <c r="C122" s="3" t="s">
        <v>252</v>
      </c>
      <c r="D122" s="3" t="s">
        <v>331</v>
      </c>
      <c r="E122" s="3" t="s">
        <v>253</v>
      </c>
      <c r="F122" s="14">
        <v>44208</v>
      </c>
      <c r="G122" s="14">
        <v>44209</v>
      </c>
      <c r="H122" s="3" t="s">
        <v>259</v>
      </c>
      <c r="I122" s="15" t="s">
        <v>508</v>
      </c>
      <c r="J122" s="3"/>
      <c r="K122" s="15"/>
      <c r="L122" s="3" t="s">
        <v>509</v>
      </c>
      <c r="M122" s="1"/>
      <c r="N122" s="1"/>
      <c r="O122" s="1"/>
      <c r="P122" s="1"/>
      <c r="Q122" s="1"/>
      <c r="R122" s="1"/>
      <c r="S122" s="1"/>
      <c r="T122" s="1"/>
      <c r="U122" s="1"/>
      <c r="V122" s="1"/>
    </row>
    <row r="123" spans="1:22" ht="204" hidden="1">
      <c r="A123" s="9" t="s">
        <v>153</v>
      </c>
      <c r="B123" s="3" t="s">
        <v>510</v>
      </c>
      <c r="C123" s="3" t="s">
        <v>252</v>
      </c>
      <c r="D123" s="3" t="s">
        <v>331</v>
      </c>
      <c r="E123" s="3" t="s">
        <v>253</v>
      </c>
      <c r="F123" s="14">
        <v>44208</v>
      </c>
      <c r="G123" s="14">
        <v>44209</v>
      </c>
      <c r="H123" s="3" t="s">
        <v>259</v>
      </c>
      <c r="I123" s="15" t="s">
        <v>511</v>
      </c>
      <c r="J123" s="3"/>
      <c r="K123" s="15"/>
      <c r="L123" s="3" t="s">
        <v>358</v>
      </c>
      <c r="M123" s="1"/>
      <c r="N123" s="1"/>
      <c r="O123" s="1"/>
      <c r="P123" s="1"/>
      <c r="Q123" s="1"/>
      <c r="R123" s="1"/>
      <c r="S123" s="1"/>
      <c r="T123" s="1"/>
      <c r="U123" s="1"/>
      <c r="V123" s="1"/>
    </row>
    <row r="124" spans="1:22" ht="238" hidden="1">
      <c r="A124" s="9" t="s">
        <v>154</v>
      </c>
      <c r="B124" s="3" t="s">
        <v>512</v>
      </c>
      <c r="C124" s="3" t="s">
        <v>252</v>
      </c>
      <c r="D124" s="3" t="s">
        <v>331</v>
      </c>
      <c r="E124" s="3" t="s">
        <v>253</v>
      </c>
      <c r="F124" s="14">
        <v>44208</v>
      </c>
      <c r="G124" s="14">
        <v>44209</v>
      </c>
      <c r="H124" s="3" t="s">
        <v>259</v>
      </c>
      <c r="I124" s="15" t="s">
        <v>513</v>
      </c>
      <c r="J124" s="3"/>
      <c r="K124" s="15"/>
      <c r="L124" s="3" t="s">
        <v>358</v>
      </c>
      <c r="M124" s="1"/>
      <c r="N124" s="1"/>
      <c r="O124" s="1"/>
      <c r="P124" s="1"/>
      <c r="Q124" s="1"/>
      <c r="R124" s="1"/>
      <c r="S124" s="1"/>
      <c r="T124" s="1"/>
      <c r="U124" s="1"/>
      <c r="V124" s="1"/>
    </row>
    <row r="125" spans="1:22" ht="136" hidden="1">
      <c r="A125" s="9" t="s">
        <v>155</v>
      </c>
      <c r="B125" s="3" t="s">
        <v>514</v>
      </c>
      <c r="C125" s="3" t="s">
        <v>252</v>
      </c>
      <c r="D125" s="3" t="s">
        <v>353</v>
      </c>
      <c r="E125" s="3" t="s">
        <v>253</v>
      </c>
      <c r="F125" s="14">
        <v>44208</v>
      </c>
      <c r="G125" s="14">
        <v>44223</v>
      </c>
      <c r="H125" s="3" t="s">
        <v>250</v>
      </c>
      <c r="I125" s="15" t="s">
        <v>515</v>
      </c>
      <c r="J125" s="15" t="s">
        <v>1081</v>
      </c>
      <c r="K125" s="15" t="s">
        <v>1082</v>
      </c>
      <c r="L125" s="3" t="s">
        <v>358</v>
      </c>
      <c r="M125" s="1"/>
      <c r="N125" s="1"/>
      <c r="O125" s="1"/>
      <c r="P125" s="1"/>
      <c r="Q125" s="1"/>
      <c r="R125" s="1"/>
      <c r="S125" s="1"/>
      <c r="T125" s="1"/>
      <c r="U125" s="1"/>
      <c r="V125" s="1"/>
    </row>
    <row r="126" spans="1:22" ht="272" hidden="1">
      <c r="A126" s="9" t="s">
        <v>156</v>
      </c>
      <c r="B126" s="3" t="s">
        <v>773</v>
      </c>
      <c r="C126" s="3" t="s">
        <v>252</v>
      </c>
      <c r="D126" s="3" t="s">
        <v>331</v>
      </c>
      <c r="E126" s="3" t="s">
        <v>253</v>
      </c>
      <c r="F126" s="14">
        <v>44208</v>
      </c>
      <c r="G126" s="14">
        <v>44209</v>
      </c>
      <c r="H126" s="3" t="s">
        <v>259</v>
      </c>
      <c r="I126" s="15" t="s">
        <v>774</v>
      </c>
      <c r="J126" s="15"/>
      <c r="K126" s="15"/>
      <c r="L126" s="3" t="s">
        <v>358</v>
      </c>
      <c r="M126" s="1"/>
      <c r="N126" s="1"/>
      <c r="O126" s="1"/>
      <c r="P126" s="1"/>
      <c r="Q126" s="1"/>
      <c r="R126" s="1"/>
      <c r="S126" s="1"/>
      <c r="T126" s="1"/>
      <c r="U126" s="1"/>
      <c r="V126" s="1"/>
    </row>
    <row r="127" spans="1:22" ht="238" hidden="1">
      <c r="A127" s="9" t="s">
        <v>157</v>
      </c>
      <c r="B127" s="3" t="s">
        <v>695</v>
      </c>
      <c r="C127" s="3" t="s">
        <v>252</v>
      </c>
      <c r="D127" s="3" t="s">
        <v>353</v>
      </c>
      <c r="E127" s="3" t="s">
        <v>253</v>
      </c>
      <c r="F127" s="14">
        <v>44208</v>
      </c>
      <c r="G127" s="14">
        <v>44222</v>
      </c>
      <c r="H127" s="3" t="s">
        <v>250</v>
      </c>
      <c r="I127" s="15" t="s">
        <v>696</v>
      </c>
      <c r="J127" s="15" t="s">
        <v>1083</v>
      </c>
      <c r="K127" s="15" t="s">
        <v>1084</v>
      </c>
      <c r="L127" s="3" t="s">
        <v>1078</v>
      </c>
      <c r="M127" s="1"/>
      <c r="N127" s="1"/>
      <c r="O127" s="1"/>
      <c r="P127" s="1"/>
      <c r="Q127" s="1"/>
      <c r="R127" s="1"/>
      <c r="S127" s="1"/>
      <c r="T127" s="1"/>
      <c r="U127" s="1"/>
      <c r="V127" s="1"/>
    </row>
    <row r="128" spans="1:22" ht="102">
      <c r="A128" s="13" t="s">
        <v>158</v>
      </c>
      <c r="B128" s="3" t="s">
        <v>938</v>
      </c>
      <c r="C128" s="3" t="s">
        <v>891</v>
      </c>
      <c r="D128" s="3" t="s">
        <v>301</v>
      </c>
      <c r="E128" s="3" t="s">
        <v>21</v>
      </c>
      <c r="F128" s="14">
        <v>44207</v>
      </c>
      <c r="G128" s="14">
        <v>44224</v>
      </c>
      <c r="H128" s="3" t="s">
        <v>22</v>
      </c>
      <c r="I128" s="15" t="s">
        <v>939</v>
      </c>
      <c r="J128" s="3"/>
      <c r="K128" s="3"/>
      <c r="L128" s="3"/>
      <c r="M128" s="1"/>
      <c r="N128" s="1"/>
      <c r="O128" s="1"/>
      <c r="P128" s="1"/>
      <c r="Q128" s="1"/>
      <c r="R128" s="1"/>
      <c r="S128" s="1"/>
      <c r="T128" s="1"/>
      <c r="U128" s="1"/>
      <c r="V128" s="1"/>
    </row>
    <row r="129" spans="1:22" hidden="1">
      <c r="A129" s="9" t="s">
        <v>159</v>
      </c>
      <c r="B129" s="3" t="s">
        <v>940</v>
      </c>
      <c r="C129" s="3" t="s">
        <v>412</v>
      </c>
      <c r="D129" s="3" t="s">
        <v>413</v>
      </c>
      <c r="E129" s="3" t="s">
        <v>253</v>
      </c>
      <c r="F129" s="14">
        <v>44207</v>
      </c>
      <c r="G129" s="14">
        <v>44214</v>
      </c>
      <c r="H129" s="3" t="s">
        <v>250</v>
      </c>
      <c r="I129" s="15" t="s">
        <v>941</v>
      </c>
      <c r="J129" s="3"/>
      <c r="K129" s="15" t="s">
        <v>1085</v>
      </c>
      <c r="L129" s="3" t="s">
        <v>366</v>
      </c>
      <c r="M129" s="1"/>
      <c r="N129" s="1"/>
      <c r="O129" s="1"/>
      <c r="P129" s="1"/>
      <c r="Q129" s="1"/>
      <c r="R129" s="1"/>
      <c r="S129" s="1"/>
      <c r="T129" s="1"/>
      <c r="U129" s="1"/>
      <c r="V129" s="1"/>
    </row>
    <row r="130" spans="1:22" hidden="1">
      <c r="A130" s="9" t="s">
        <v>160</v>
      </c>
      <c r="B130" s="3" t="s">
        <v>516</v>
      </c>
      <c r="C130" s="3" t="s">
        <v>258</v>
      </c>
      <c r="D130" s="3" t="s">
        <v>307</v>
      </c>
      <c r="E130" s="3" t="s">
        <v>253</v>
      </c>
      <c r="F130" s="14">
        <v>44207</v>
      </c>
      <c r="G130" s="14">
        <v>44209</v>
      </c>
      <c r="H130" s="3" t="s">
        <v>297</v>
      </c>
      <c r="I130" s="15" t="s">
        <v>517</v>
      </c>
      <c r="J130" s="15"/>
      <c r="K130" s="3"/>
      <c r="L130" s="3" t="s">
        <v>1036</v>
      </c>
      <c r="M130" s="1"/>
      <c r="N130" s="1"/>
      <c r="O130" s="1"/>
      <c r="P130" s="1"/>
      <c r="Q130" s="1"/>
      <c r="R130" s="1"/>
      <c r="S130" s="1"/>
      <c r="T130" s="1"/>
      <c r="U130" s="1"/>
      <c r="V130" s="1"/>
    </row>
    <row r="131" spans="1:22" ht="34" hidden="1">
      <c r="A131" s="9" t="s">
        <v>161</v>
      </c>
      <c r="B131" s="3" t="s">
        <v>646</v>
      </c>
      <c r="C131" s="3" t="s">
        <v>463</v>
      </c>
      <c r="D131" s="3" t="s">
        <v>647</v>
      </c>
      <c r="E131" s="3" t="s">
        <v>253</v>
      </c>
      <c r="F131" s="14">
        <v>44207</v>
      </c>
      <c r="G131" s="14">
        <v>44215</v>
      </c>
      <c r="H131" s="3" t="s">
        <v>297</v>
      </c>
      <c r="I131" s="15" t="s">
        <v>648</v>
      </c>
      <c r="J131" s="15"/>
      <c r="K131" s="15"/>
      <c r="L131" s="3"/>
      <c r="M131" s="1"/>
      <c r="N131" s="1"/>
      <c r="O131" s="1"/>
      <c r="P131" s="1"/>
      <c r="Q131" s="1"/>
      <c r="R131" s="1"/>
      <c r="S131" s="1"/>
      <c r="T131" s="1"/>
      <c r="U131" s="1"/>
      <c r="V131" s="1"/>
    </row>
    <row r="132" spans="1:22" ht="102" hidden="1">
      <c r="A132" s="9" t="s">
        <v>162</v>
      </c>
      <c r="B132" s="3" t="s">
        <v>518</v>
      </c>
      <c r="C132" s="3" t="s">
        <v>412</v>
      </c>
      <c r="D132" s="3" t="s">
        <v>413</v>
      </c>
      <c r="E132" s="3" t="s">
        <v>253</v>
      </c>
      <c r="F132" s="14">
        <v>44207</v>
      </c>
      <c r="G132" s="14">
        <v>44214</v>
      </c>
      <c r="H132" s="3" t="s">
        <v>250</v>
      </c>
      <c r="I132" s="15" t="s">
        <v>519</v>
      </c>
      <c r="J132" s="15" t="s">
        <v>854</v>
      </c>
      <c r="K132" s="3" t="s">
        <v>775</v>
      </c>
      <c r="L132" s="3" t="s">
        <v>361</v>
      </c>
      <c r="M132" s="1"/>
      <c r="N132" s="1"/>
      <c r="O132" s="1"/>
      <c r="P132" s="1"/>
      <c r="Q132" s="1"/>
      <c r="R132" s="1"/>
      <c r="S132" s="1"/>
      <c r="T132" s="1"/>
      <c r="U132" s="1"/>
      <c r="V132" s="1"/>
    </row>
    <row r="133" spans="1:22" ht="68" hidden="1">
      <c r="A133" s="9" t="s">
        <v>163</v>
      </c>
      <c r="B133" s="3" t="s">
        <v>520</v>
      </c>
      <c r="C133" s="3" t="s">
        <v>412</v>
      </c>
      <c r="D133" s="3" t="s">
        <v>413</v>
      </c>
      <c r="E133" s="3" t="s">
        <v>253</v>
      </c>
      <c r="F133" s="14">
        <v>44207</v>
      </c>
      <c r="G133" s="14">
        <v>44214</v>
      </c>
      <c r="H133" s="3" t="s">
        <v>250</v>
      </c>
      <c r="I133" s="15" t="s">
        <v>521</v>
      </c>
      <c r="J133" s="15" t="s">
        <v>855</v>
      </c>
      <c r="K133" s="15" t="s">
        <v>856</v>
      </c>
      <c r="L133" s="3" t="s">
        <v>776</v>
      </c>
      <c r="M133" s="1"/>
      <c r="N133" s="1"/>
      <c r="O133" s="1"/>
      <c r="P133" s="1"/>
      <c r="Q133" s="1"/>
      <c r="R133" s="1"/>
      <c r="S133" s="1"/>
      <c r="T133" s="1"/>
      <c r="U133" s="1"/>
      <c r="V133" s="1"/>
    </row>
    <row r="134" spans="1:22" ht="153" hidden="1">
      <c r="A134" s="9" t="s">
        <v>164</v>
      </c>
      <c r="B134" s="3" t="s">
        <v>587</v>
      </c>
      <c r="C134" s="3" t="s">
        <v>530</v>
      </c>
      <c r="D134" s="3" t="s">
        <v>531</v>
      </c>
      <c r="E134" s="3" t="s">
        <v>253</v>
      </c>
      <c r="F134" s="14">
        <v>44207</v>
      </c>
      <c r="G134" s="14">
        <v>44208</v>
      </c>
      <c r="H134" s="3" t="s">
        <v>250</v>
      </c>
      <c r="I134" s="15" t="s">
        <v>588</v>
      </c>
      <c r="J134" s="15" t="s">
        <v>857</v>
      </c>
      <c r="K134" s="15" t="s">
        <v>858</v>
      </c>
      <c r="L134" s="3" t="s">
        <v>859</v>
      </c>
      <c r="M134" s="1"/>
      <c r="N134" s="1"/>
      <c r="O134" s="1"/>
      <c r="P134" s="1"/>
      <c r="Q134" s="1"/>
      <c r="R134" s="1"/>
      <c r="S134" s="1"/>
      <c r="T134" s="1"/>
      <c r="U134" s="1"/>
      <c r="V134" s="1"/>
    </row>
    <row r="135" spans="1:22" ht="409.6" hidden="1">
      <c r="A135" s="9" t="s">
        <v>777</v>
      </c>
      <c r="B135" s="3" t="s">
        <v>778</v>
      </c>
      <c r="C135" s="3" t="s">
        <v>252</v>
      </c>
      <c r="D135" s="3" t="s">
        <v>291</v>
      </c>
      <c r="E135" s="3" t="s">
        <v>253</v>
      </c>
      <c r="F135" s="14">
        <v>44206</v>
      </c>
      <c r="G135" s="14">
        <v>44230</v>
      </c>
      <c r="H135" s="3" t="s">
        <v>297</v>
      </c>
      <c r="I135" s="15" t="s">
        <v>779</v>
      </c>
      <c r="J135" s="15" t="s">
        <v>1086</v>
      </c>
      <c r="K135" s="15" t="s">
        <v>1087</v>
      </c>
      <c r="L135" s="3" t="s">
        <v>1045</v>
      </c>
      <c r="M135" s="1"/>
      <c r="N135" s="1"/>
      <c r="O135" s="1"/>
      <c r="P135" s="1"/>
      <c r="Q135" s="1"/>
      <c r="R135" s="1"/>
      <c r="S135" s="1"/>
      <c r="T135" s="1"/>
      <c r="U135" s="1"/>
      <c r="V135" s="1"/>
    </row>
    <row r="136" spans="1:22" ht="34" hidden="1">
      <c r="A136" s="9" t="s">
        <v>165</v>
      </c>
      <c r="B136" s="3" t="s">
        <v>522</v>
      </c>
      <c r="C136" s="3" t="s">
        <v>252</v>
      </c>
      <c r="D136" s="3" t="s">
        <v>307</v>
      </c>
      <c r="E136" s="3" t="s">
        <v>253</v>
      </c>
      <c r="F136" s="14">
        <v>44206</v>
      </c>
      <c r="G136" s="14">
        <v>44207</v>
      </c>
      <c r="H136" s="3" t="s">
        <v>250</v>
      </c>
      <c r="I136" s="15" t="s">
        <v>523</v>
      </c>
      <c r="J136" s="15"/>
      <c r="K136" s="15"/>
      <c r="L136" s="3"/>
      <c r="M136" s="1"/>
      <c r="N136" s="1"/>
      <c r="O136" s="1"/>
      <c r="P136" s="1"/>
      <c r="Q136" s="1"/>
      <c r="R136" s="1"/>
      <c r="S136" s="1"/>
      <c r="T136" s="1"/>
      <c r="U136" s="1"/>
      <c r="V136" s="1"/>
    </row>
    <row r="137" spans="1:22" hidden="1">
      <c r="A137" s="9" t="s">
        <v>166</v>
      </c>
      <c r="B137" s="3" t="s">
        <v>524</v>
      </c>
      <c r="C137" s="3" t="s">
        <v>266</v>
      </c>
      <c r="D137" s="3" t="s">
        <v>308</v>
      </c>
      <c r="E137" s="3" t="s">
        <v>253</v>
      </c>
      <c r="F137" s="14">
        <v>44206</v>
      </c>
      <c r="G137" s="14">
        <v>44208</v>
      </c>
      <c r="H137" s="3" t="s">
        <v>250</v>
      </c>
      <c r="I137" s="15" t="s">
        <v>434</v>
      </c>
      <c r="J137" s="3"/>
      <c r="K137" s="3"/>
      <c r="L137" s="3"/>
      <c r="M137" s="1"/>
      <c r="N137" s="1"/>
      <c r="O137" s="1"/>
      <c r="P137" s="1"/>
      <c r="Q137" s="1"/>
      <c r="R137" s="1"/>
      <c r="S137" s="1"/>
      <c r="T137" s="1"/>
      <c r="U137" s="1"/>
      <c r="V137" s="1"/>
    </row>
    <row r="138" spans="1:22" ht="68" hidden="1">
      <c r="A138" s="9" t="s">
        <v>167</v>
      </c>
      <c r="B138" s="3" t="s">
        <v>525</v>
      </c>
      <c r="C138" s="3" t="s">
        <v>463</v>
      </c>
      <c r="D138" s="3" t="s">
        <v>397</v>
      </c>
      <c r="E138" s="3" t="s">
        <v>253</v>
      </c>
      <c r="F138" s="14">
        <v>44206</v>
      </c>
      <c r="G138" s="14">
        <v>44207</v>
      </c>
      <c r="H138" s="3" t="s">
        <v>259</v>
      </c>
      <c r="I138" s="15" t="s">
        <v>526</v>
      </c>
      <c r="J138" s="15"/>
      <c r="K138" s="15"/>
      <c r="L138" s="3" t="s">
        <v>527</v>
      </c>
      <c r="M138" s="1"/>
      <c r="N138" s="1"/>
      <c r="O138" s="1"/>
      <c r="P138" s="1"/>
      <c r="Q138" s="1"/>
      <c r="R138" s="1"/>
      <c r="S138" s="1"/>
      <c r="T138" s="1"/>
      <c r="U138" s="1"/>
      <c r="V138" s="1"/>
    </row>
    <row r="139" spans="1:22" ht="102" hidden="1">
      <c r="A139" s="9" t="s">
        <v>168</v>
      </c>
      <c r="B139" s="3" t="s">
        <v>528</v>
      </c>
      <c r="C139" s="3" t="s">
        <v>252</v>
      </c>
      <c r="D139" s="3" t="s">
        <v>331</v>
      </c>
      <c r="E139" s="3" t="s">
        <v>253</v>
      </c>
      <c r="F139" s="14">
        <v>44206</v>
      </c>
      <c r="G139" s="14">
        <v>44215</v>
      </c>
      <c r="H139" s="3" t="s">
        <v>259</v>
      </c>
      <c r="I139" s="15" t="s">
        <v>529</v>
      </c>
      <c r="J139" s="15"/>
      <c r="K139" s="3"/>
      <c r="L139" s="3" t="s">
        <v>860</v>
      </c>
      <c r="M139" s="1"/>
      <c r="N139" s="1"/>
      <c r="O139" s="1"/>
      <c r="P139" s="1"/>
      <c r="Q139" s="1"/>
      <c r="R139" s="1"/>
      <c r="S139" s="1"/>
      <c r="T139" s="1"/>
      <c r="U139" s="1"/>
      <c r="V139" s="1"/>
    </row>
    <row r="140" spans="1:22" ht="51" hidden="1">
      <c r="A140" s="9" t="s">
        <v>169</v>
      </c>
      <c r="B140" s="3" t="s">
        <v>780</v>
      </c>
      <c r="C140" s="3" t="s">
        <v>530</v>
      </c>
      <c r="D140" s="3" t="s">
        <v>531</v>
      </c>
      <c r="E140" s="3" t="s">
        <v>253</v>
      </c>
      <c r="F140" s="14"/>
      <c r="G140" s="14">
        <v>44207</v>
      </c>
      <c r="H140" s="3" t="s">
        <v>250</v>
      </c>
      <c r="I140" s="15" t="s">
        <v>781</v>
      </c>
      <c r="J140" s="15" t="s">
        <v>861</v>
      </c>
      <c r="K140" s="15" t="s">
        <v>862</v>
      </c>
      <c r="L140" s="3" t="s">
        <v>532</v>
      </c>
      <c r="M140" s="1"/>
      <c r="N140" s="1"/>
      <c r="O140" s="1"/>
      <c r="P140" s="1"/>
      <c r="Q140" s="1"/>
      <c r="R140" s="1"/>
      <c r="S140" s="1"/>
      <c r="T140" s="1"/>
      <c r="U140" s="1"/>
      <c r="V140" s="1"/>
    </row>
    <row r="141" spans="1:22" ht="136">
      <c r="A141" s="13" t="s">
        <v>171</v>
      </c>
      <c r="B141" s="3" t="s">
        <v>942</v>
      </c>
      <c r="C141" s="3" t="s">
        <v>606</v>
      </c>
      <c r="D141" s="3" t="s">
        <v>279</v>
      </c>
      <c r="E141" s="3" t="s">
        <v>21</v>
      </c>
      <c r="F141" s="14">
        <v>44206</v>
      </c>
      <c r="G141" s="14">
        <v>44207</v>
      </c>
      <c r="H141" s="3" t="s">
        <v>22</v>
      </c>
      <c r="I141" s="15" t="s">
        <v>943</v>
      </c>
      <c r="J141" s="3" t="s">
        <v>944</v>
      </c>
      <c r="K141" s="3" t="s">
        <v>945</v>
      </c>
      <c r="L141" s="3" t="s">
        <v>170</v>
      </c>
      <c r="M141" s="1"/>
      <c r="N141" s="1"/>
      <c r="O141" s="1"/>
      <c r="P141" s="1"/>
      <c r="Q141" s="1"/>
      <c r="R141" s="1"/>
      <c r="S141" s="1"/>
      <c r="T141" s="1"/>
      <c r="U141" s="1"/>
      <c r="V141" s="1"/>
    </row>
    <row r="142" spans="1:22" ht="68" hidden="1">
      <c r="A142" s="9" t="s">
        <v>172</v>
      </c>
      <c r="B142" s="3" t="s">
        <v>946</v>
      </c>
      <c r="C142" s="3" t="s">
        <v>530</v>
      </c>
      <c r="D142" s="3" t="s">
        <v>531</v>
      </c>
      <c r="E142" s="3" t="s">
        <v>253</v>
      </c>
      <c r="F142" s="14">
        <v>44207</v>
      </c>
      <c r="G142" s="14">
        <v>44207</v>
      </c>
      <c r="H142" s="3" t="s">
        <v>250</v>
      </c>
      <c r="I142" s="15" t="s">
        <v>947</v>
      </c>
      <c r="J142" s="15" t="s">
        <v>1088</v>
      </c>
      <c r="K142" s="15" t="s">
        <v>1089</v>
      </c>
      <c r="L142" s="3" t="s">
        <v>532</v>
      </c>
      <c r="M142" s="1"/>
      <c r="N142" s="1"/>
      <c r="O142" s="1"/>
      <c r="P142" s="1"/>
      <c r="Q142" s="1"/>
      <c r="R142" s="1"/>
      <c r="S142" s="1"/>
      <c r="T142" s="1"/>
      <c r="U142" s="1"/>
    </row>
    <row r="143" spans="1:22" ht="34" hidden="1">
      <c r="A143" s="9" t="s">
        <v>173</v>
      </c>
      <c r="B143" s="3" t="s">
        <v>533</v>
      </c>
      <c r="C143" s="3" t="s">
        <v>252</v>
      </c>
      <c r="D143" s="3" t="s">
        <v>331</v>
      </c>
      <c r="E143" s="3" t="s">
        <v>253</v>
      </c>
      <c r="F143" s="14">
        <v>44206</v>
      </c>
      <c r="G143" s="14">
        <v>44215</v>
      </c>
      <c r="H143" s="3" t="s">
        <v>259</v>
      </c>
      <c r="I143" s="15" t="s">
        <v>534</v>
      </c>
      <c r="J143" s="15"/>
      <c r="K143" s="15"/>
      <c r="L143" s="3" t="s">
        <v>1090</v>
      </c>
      <c r="M143" s="1"/>
      <c r="N143" s="1"/>
      <c r="O143" s="1"/>
      <c r="P143" s="1"/>
      <c r="Q143" s="1"/>
      <c r="R143" s="1"/>
      <c r="S143" s="1"/>
      <c r="T143" s="1"/>
      <c r="U143" s="1"/>
    </row>
    <row r="144" spans="1:22" ht="102" hidden="1">
      <c r="A144" s="9" t="s">
        <v>174</v>
      </c>
      <c r="B144" s="3" t="s">
        <v>535</v>
      </c>
      <c r="C144" s="3" t="s">
        <v>266</v>
      </c>
      <c r="D144" s="3" t="s">
        <v>308</v>
      </c>
      <c r="E144" s="3" t="s">
        <v>253</v>
      </c>
      <c r="F144" s="14">
        <v>44206</v>
      </c>
      <c r="G144" s="14">
        <v>44209</v>
      </c>
      <c r="H144" s="3" t="s">
        <v>250</v>
      </c>
      <c r="I144" s="15" t="s">
        <v>536</v>
      </c>
      <c r="J144" s="15"/>
      <c r="K144" s="15"/>
      <c r="L144" s="3"/>
      <c r="M144" s="1"/>
      <c r="N144" s="1"/>
      <c r="O144" s="1"/>
      <c r="P144" s="1"/>
      <c r="Q144" s="1"/>
      <c r="R144" s="1"/>
      <c r="S144" s="1"/>
      <c r="T144" s="1"/>
      <c r="U144" s="1"/>
    </row>
    <row r="145" spans="1:21" ht="136" hidden="1">
      <c r="A145" s="9" t="s">
        <v>175</v>
      </c>
      <c r="B145" s="3" t="s">
        <v>649</v>
      </c>
      <c r="C145" s="3" t="s">
        <v>252</v>
      </c>
      <c r="D145" s="3" t="s">
        <v>308</v>
      </c>
      <c r="E145" s="3" t="s">
        <v>253</v>
      </c>
      <c r="F145" s="14">
        <v>44206</v>
      </c>
      <c r="G145" s="14">
        <v>44208</v>
      </c>
      <c r="H145" s="3" t="s">
        <v>250</v>
      </c>
      <c r="I145" s="15" t="s">
        <v>650</v>
      </c>
      <c r="J145" s="3"/>
      <c r="K145" s="3"/>
      <c r="L145" s="3"/>
      <c r="M145" s="1"/>
      <c r="N145" s="1"/>
      <c r="O145" s="1"/>
      <c r="P145" s="1"/>
      <c r="Q145" s="1"/>
      <c r="R145" s="1"/>
      <c r="S145" s="1"/>
      <c r="T145" s="1"/>
      <c r="U145" s="1"/>
    </row>
    <row r="146" spans="1:21" hidden="1">
      <c r="A146" s="9" t="s">
        <v>176</v>
      </c>
      <c r="B146" s="3" t="s">
        <v>537</v>
      </c>
      <c r="C146" s="3" t="s">
        <v>256</v>
      </c>
      <c r="D146" s="3" t="s">
        <v>413</v>
      </c>
      <c r="E146" s="3" t="s">
        <v>253</v>
      </c>
      <c r="F146" s="14">
        <v>44205</v>
      </c>
      <c r="G146" s="14">
        <v>44214</v>
      </c>
      <c r="H146" s="3" t="s">
        <v>250</v>
      </c>
      <c r="I146" s="15" t="s">
        <v>434</v>
      </c>
      <c r="J146" s="3"/>
      <c r="K146" s="15"/>
      <c r="L146" s="3" t="s">
        <v>461</v>
      </c>
      <c r="M146" s="1"/>
      <c r="N146" s="1"/>
      <c r="O146" s="1"/>
      <c r="P146" s="1"/>
      <c r="Q146" s="1"/>
      <c r="R146" s="1"/>
      <c r="S146" s="1"/>
      <c r="T146" s="1"/>
      <c r="U146" s="1"/>
    </row>
    <row r="147" spans="1:21" ht="306" hidden="1">
      <c r="A147" s="9" t="s">
        <v>177</v>
      </c>
      <c r="B147" s="3" t="s">
        <v>589</v>
      </c>
      <c r="C147" s="3" t="s">
        <v>499</v>
      </c>
      <c r="D147" s="3" t="s">
        <v>307</v>
      </c>
      <c r="E147" s="3" t="s">
        <v>253</v>
      </c>
      <c r="F147" s="14">
        <v>44205</v>
      </c>
      <c r="G147" s="14">
        <v>44211</v>
      </c>
      <c r="H147" s="3" t="s">
        <v>398</v>
      </c>
      <c r="I147" s="15" t="s">
        <v>590</v>
      </c>
      <c r="J147" s="3"/>
      <c r="K147" s="15" t="s">
        <v>1091</v>
      </c>
      <c r="L147" s="15" t="s">
        <v>638</v>
      </c>
      <c r="M147" s="1"/>
      <c r="N147" s="1"/>
      <c r="O147" s="1"/>
      <c r="P147" s="1"/>
      <c r="Q147" s="1"/>
      <c r="R147" s="1"/>
      <c r="S147" s="1"/>
      <c r="T147" s="1"/>
      <c r="U147" s="1"/>
    </row>
    <row r="148" spans="1:21" hidden="1">
      <c r="A148" s="9" t="s">
        <v>27</v>
      </c>
      <c r="B148" s="3" t="s">
        <v>539</v>
      </c>
      <c r="C148" s="3" t="s">
        <v>252</v>
      </c>
      <c r="D148" s="3" t="s">
        <v>540</v>
      </c>
      <c r="E148" s="3" t="s">
        <v>253</v>
      </c>
      <c r="F148" s="14">
        <v>44205</v>
      </c>
      <c r="G148" s="14">
        <v>44207</v>
      </c>
      <c r="H148" s="3" t="s">
        <v>250</v>
      </c>
      <c r="I148" s="15" t="s">
        <v>541</v>
      </c>
      <c r="J148" s="15"/>
      <c r="K148" s="15"/>
      <c r="L148" s="15" t="s">
        <v>683</v>
      </c>
      <c r="M148" s="1"/>
      <c r="N148" s="1"/>
      <c r="O148" s="1"/>
      <c r="P148" s="1"/>
      <c r="Q148" s="1"/>
      <c r="R148" s="1"/>
      <c r="S148" s="1"/>
      <c r="T148" s="1"/>
      <c r="U148" s="1"/>
    </row>
    <row r="149" spans="1:21" hidden="1">
      <c r="A149" s="9" t="s">
        <v>29</v>
      </c>
      <c r="B149" s="3" t="s">
        <v>542</v>
      </c>
      <c r="C149" s="3" t="s">
        <v>252</v>
      </c>
      <c r="D149" s="3" t="s">
        <v>308</v>
      </c>
      <c r="E149" s="3" t="s">
        <v>253</v>
      </c>
      <c r="F149" s="14">
        <v>44205</v>
      </c>
      <c r="G149" s="14">
        <v>44207</v>
      </c>
      <c r="H149" s="3" t="s">
        <v>250</v>
      </c>
      <c r="I149" s="15" t="s">
        <v>434</v>
      </c>
      <c r="J149" s="15"/>
      <c r="K149" s="15"/>
      <c r="L149" s="3" t="s">
        <v>1092</v>
      </c>
      <c r="M149" s="1"/>
      <c r="N149" s="1"/>
      <c r="O149" s="1"/>
      <c r="P149" s="1"/>
      <c r="Q149" s="1"/>
      <c r="R149" s="1"/>
      <c r="S149" s="1"/>
      <c r="T149" s="1"/>
      <c r="U149" s="1"/>
    </row>
    <row r="150" spans="1:21" ht="34" hidden="1">
      <c r="A150" s="9" t="s">
        <v>30</v>
      </c>
      <c r="B150" s="3" t="s">
        <v>543</v>
      </c>
      <c r="C150" s="3" t="s">
        <v>256</v>
      </c>
      <c r="D150" s="3" t="s">
        <v>544</v>
      </c>
      <c r="E150" s="3" t="s">
        <v>253</v>
      </c>
      <c r="F150" s="14">
        <v>44205</v>
      </c>
      <c r="G150" s="14">
        <v>44216</v>
      </c>
      <c r="H150" s="3" t="s">
        <v>250</v>
      </c>
      <c r="I150" s="15" t="s">
        <v>545</v>
      </c>
      <c r="J150" s="15"/>
      <c r="K150" s="15"/>
      <c r="L150" s="15"/>
      <c r="M150" s="1"/>
      <c r="N150" s="1"/>
      <c r="O150" s="1"/>
      <c r="P150" s="1"/>
      <c r="Q150" s="1"/>
      <c r="R150" s="1"/>
      <c r="S150" s="1"/>
      <c r="T150" s="1"/>
      <c r="U150" s="1"/>
    </row>
    <row r="151" spans="1:21" ht="119" hidden="1">
      <c r="A151" s="9" t="s">
        <v>32</v>
      </c>
      <c r="B151" s="3" t="s">
        <v>546</v>
      </c>
      <c r="C151" s="3" t="s">
        <v>256</v>
      </c>
      <c r="D151" s="3" t="s">
        <v>413</v>
      </c>
      <c r="E151" s="3" t="s">
        <v>253</v>
      </c>
      <c r="F151" s="14">
        <v>44205</v>
      </c>
      <c r="G151" s="14">
        <v>44216</v>
      </c>
      <c r="H151" s="3" t="s">
        <v>250</v>
      </c>
      <c r="I151" s="15" t="s">
        <v>547</v>
      </c>
      <c r="J151" s="15"/>
      <c r="K151" s="15"/>
      <c r="L151" s="3"/>
      <c r="M151" s="1"/>
      <c r="N151" s="1"/>
      <c r="O151" s="1"/>
      <c r="P151" s="1"/>
      <c r="Q151" s="1"/>
      <c r="R151" s="1"/>
      <c r="S151" s="1"/>
      <c r="T151" s="1"/>
      <c r="U151" s="1"/>
    </row>
    <row r="152" spans="1:21" ht="34" hidden="1">
      <c r="A152" s="9" t="s">
        <v>34</v>
      </c>
      <c r="B152" s="3" t="s">
        <v>548</v>
      </c>
      <c r="C152" s="3" t="s">
        <v>255</v>
      </c>
      <c r="D152" s="3" t="s">
        <v>308</v>
      </c>
      <c r="E152" s="3" t="s">
        <v>253</v>
      </c>
      <c r="F152" s="14">
        <v>44203</v>
      </c>
      <c r="G152" s="14">
        <v>44204</v>
      </c>
      <c r="H152" s="3" t="s">
        <v>250</v>
      </c>
      <c r="I152" s="15" t="s">
        <v>549</v>
      </c>
      <c r="J152" s="15" t="s">
        <v>863</v>
      </c>
      <c r="K152" s="3" t="s">
        <v>864</v>
      </c>
      <c r="L152" s="15"/>
      <c r="M152" s="1"/>
      <c r="N152" s="1"/>
      <c r="O152" s="1"/>
      <c r="P152" s="1"/>
      <c r="Q152" s="1"/>
      <c r="R152" s="1"/>
      <c r="S152" s="1"/>
      <c r="T152" s="1"/>
      <c r="U152" s="1"/>
    </row>
    <row r="153" spans="1:21" ht="85" hidden="1">
      <c r="A153" s="9" t="s">
        <v>35</v>
      </c>
      <c r="B153" s="3" t="s">
        <v>550</v>
      </c>
      <c r="C153" s="3" t="s">
        <v>255</v>
      </c>
      <c r="D153" s="3" t="s">
        <v>308</v>
      </c>
      <c r="E153" s="3" t="s">
        <v>253</v>
      </c>
      <c r="F153" s="14">
        <v>44203</v>
      </c>
      <c r="G153" s="14">
        <v>44204</v>
      </c>
      <c r="H153" s="3" t="s">
        <v>259</v>
      </c>
      <c r="I153" s="15" t="s">
        <v>551</v>
      </c>
      <c r="J153" s="15" t="s">
        <v>865</v>
      </c>
      <c r="K153" s="15" t="s">
        <v>866</v>
      </c>
      <c r="L153" s="15" t="s">
        <v>1093</v>
      </c>
      <c r="M153" s="1"/>
      <c r="N153" s="1"/>
      <c r="O153" s="1"/>
      <c r="P153" s="1"/>
      <c r="Q153" s="1"/>
      <c r="R153" s="1"/>
      <c r="S153" s="1"/>
      <c r="T153" s="1"/>
      <c r="U153" s="1"/>
    </row>
    <row r="154" spans="1:21" ht="68" hidden="1">
      <c r="A154" s="9" t="s">
        <v>37</v>
      </c>
      <c r="B154" s="3" t="s">
        <v>552</v>
      </c>
      <c r="C154" s="3" t="s">
        <v>255</v>
      </c>
      <c r="D154" s="3" t="s">
        <v>307</v>
      </c>
      <c r="E154" s="3" t="s">
        <v>253</v>
      </c>
      <c r="F154" s="14">
        <v>44203</v>
      </c>
      <c r="G154" s="14">
        <v>44204</v>
      </c>
      <c r="H154" s="3" t="s">
        <v>250</v>
      </c>
      <c r="I154" s="15" t="s">
        <v>553</v>
      </c>
      <c r="J154" s="15" t="s">
        <v>867</v>
      </c>
      <c r="K154" s="3" t="s">
        <v>868</v>
      </c>
      <c r="L154" s="15"/>
      <c r="M154" s="1"/>
      <c r="N154" s="1"/>
      <c r="O154" s="1"/>
      <c r="P154" s="1"/>
      <c r="Q154" s="1"/>
      <c r="R154" s="1"/>
      <c r="S154" s="1"/>
      <c r="T154" s="1"/>
      <c r="U154" s="1"/>
    </row>
    <row r="155" spans="1:21" ht="323" hidden="1">
      <c r="A155" s="9" t="s">
        <v>38</v>
      </c>
      <c r="B155" s="3" t="s">
        <v>554</v>
      </c>
      <c r="C155" s="3" t="s">
        <v>252</v>
      </c>
      <c r="D155" s="3" t="s">
        <v>555</v>
      </c>
      <c r="E155" s="3" t="s">
        <v>253</v>
      </c>
      <c r="F155" s="14">
        <v>44210</v>
      </c>
      <c r="G155" s="14">
        <v>44211</v>
      </c>
      <c r="H155" s="3" t="s">
        <v>259</v>
      </c>
      <c r="I155" s="15" t="s">
        <v>556</v>
      </c>
      <c r="J155" s="15" t="s">
        <v>651</v>
      </c>
      <c r="K155" s="15" t="s">
        <v>652</v>
      </c>
      <c r="L155" s="15"/>
      <c r="M155" s="1"/>
      <c r="N155" s="1"/>
      <c r="O155" s="1"/>
      <c r="P155" s="1"/>
      <c r="Q155" s="1"/>
      <c r="R155" s="1"/>
      <c r="S155" s="1"/>
      <c r="T155" s="1"/>
      <c r="U155" s="1"/>
    </row>
    <row r="156" spans="1:21" ht="323" hidden="1">
      <c r="A156" s="9" t="s">
        <v>39</v>
      </c>
      <c r="B156" s="3" t="s">
        <v>782</v>
      </c>
      <c r="C156" s="3" t="s">
        <v>252</v>
      </c>
      <c r="D156" s="3" t="s">
        <v>557</v>
      </c>
      <c r="E156" s="3" t="s">
        <v>253</v>
      </c>
      <c r="F156" s="14">
        <v>44202</v>
      </c>
      <c r="G156" s="14">
        <v>44203</v>
      </c>
      <c r="H156" s="3" t="s">
        <v>250</v>
      </c>
      <c r="I156" s="15" t="s">
        <v>783</v>
      </c>
      <c r="J156" s="15" t="s">
        <v>784</v>
      </c>
      <c r="K156" s="15" t="s">
        <v>785</v>
      </c>
      <c r="L156" s="3"/>
      <c r="M156" s="1"/>
      <c r="N156" s="1"/>
      <c r="O156" s="1"/>
      <c r="P156" s="1"/>
      <c r="Q156" s="1"/>
      <c r="R156" s="1"/>
      <c r="S156" s="1"/>
      <c r="T156" s="1"/>
      <c r="U156" s="1"/>
    </row>
    <row r="157" spans="1:21" ht="34" hidden="1">
      <c r="A157" s="9" t="s">
        <v>41</v>
      </c>
      <c r="B157" s="3" t="s">
        <v>786</v>
      </c>
      <c r="C157" s="3" t="s">
        <v>256</v>
      </c>
      <c r="D157" s="3" t="s">
        <v>544</v>
      </c>
      <c r="E157" s="3" t="s">
        <v>253</v>
      </c>
      <c r="F157" s="14">
        <v>44202</v>
      </c>
      <c r="G157" s="14">
        <v>44203</v>
      </c>
      <c r="H157" s="3" t="s">
        <v>250</v>
      </c>
      <c r="I157" s="15" t="s">
        <v>787</v>
      </c>
      <c r="J157" s="15" t="s">
        <v>788</v>
      </c>
      <c r="K157" s="15" t="s">
        <v>789</v>
      </c>
      <c r="L157" s="3"/>
      <c r="M157" s="1"/>
      <c r="N157" s="1"/>
      <c r="O157" s="1"/>
      <c r="P157" s="1"/>
      <c r="Q157" s="1"/>
      <c r="R157" s="1"/>
      <c r="S157" s="1"/>
      <c r="T157" s="1"/>
      <c r="U157" s="1"/>
    </row>
    <row r="158" spans="1:21" ht="102">
      <c r="A158" s="13" t="s">
        <v>43</v>
      </c>
      <c r="B158" s="3" t="s">
        <v>948</v>
      </c>
      <c r="C158" s="3" t="s">
        <v>564</v>
      </c>
      <c r="D158" s="3" t="s">
        <v>223</v>
      </c>
      <c r="E158" s="3" t="s">
        <v>21</v>
      </c>
      <c r="F158" s="14">
        <v>44202</v>
      </c>
      <c r="G158" s="14">
        <v>44202</v>
      </c>
      <c r="H158" s="3" t="s">
        <v>22</v>
      </c>
      <c r="I158" s="3" t="s">
        <v>949</v>
      </c>
      <c r="J158" s="15" t="s">
        <v>950</v>
      </c>
      <c r="K158" s="3" t="s">
        <v>33</v>
      </c>
      <c r="L158" s="3"/>
      <c r="M158" s="1"/>
      <c r="N158" s="1"/>
      <c r="O158" s="1"/>
      <c r="P158" s="1"/>
      <c r="Q158" s="1"/>
      <c r="R158" s="1"/>
      <c r="S158" s="1"/>
      <c r="T158" s="1"/>
      <c r="U158" s="1"/>
    </row>
    <row r="159" spans="1:21">
      <c r="A159" s="13" t="s">
        <v>44</v>
      </c>
      <c r="B159" s="3" t="s">
        <v>653</v>
      </c>
      <c r="C159" s="3" t="s">
        <v>564</v>
      </c>
      <c r="D159" s="3" t="s">
        <v>242</v>
      </c>
      <c r="E159" s="3" t="s">
        <v>21</v>
      </c>
      <c r="F159" s="14">
        <v>44202</v>
      </c>
      <c r="G159" s="14">
        <v>44208</v>
      </c>
      <c r="H159" s="3" t="s">
        <v>22</v>
      </c>
      <c r="I159" s="3" t="s">
        <v>654</v>
      </c>
      <c r="J159" s="3" t="s">
        <v>33</v>
      </c>
      <c r="K159" s="3" t="s">
        <v>33</v>
      </c>
      <c r="L159" s="3"/>
      <c r="M159" s="1"/>
      <c r="N159" s="1"/>
      <c r="O159" s="1"/>
      <c r="P159" s="1"/>
      <c r="Q159" s="1"/>
      <c r="R159" s="1"/>
      <c r="S159" s="1"/>
      <c r="T159" s="1"/>
      <c r="U159" s="1"/>
    </row>
    <row r="160" spans="1:21" ht="170">
      <c r="A160" s="13" t="s">
        <v>45</v>
      </c>
      <c r="B160" s="3" t="s">
        <v>655</v>
      </c>
      <c r="C160" s="3" t="s">
        <v>564</v>
      </c>
      <c r="D160" s="3" t="s">
        <v>223</v>
      </c>
      <c r="E160" s="3" t="s">
        <v>21</v>
      </c>
      <c r="F160" s="14">
        <v>44202</v>
      </c>
      <c r="G160" s="14">
        <v>44216</v>
      </c>
      <c r="H160" s="3" t="s">
        <v>22</v>
      </c>
      <c r="I160" s="3" t="s">
        <v>656</v>
      </c>
      <c r="J160" s="15" t="s">
        <v>657</v>
      </c>
      <c r="K160" s="3" t="s">
        <v>33</v>
      </c>
      <c r="L160" s="3"/>
      <c r="M160" s="1"/>
      <c r="N160" s="1"/>
      <c r="O160" s="1"/>
      <c r="P160" s="1"/>
      <c r="Q160" s="1"/>
      <c r="R160" s="1"/>
      <c r="S160" s="1"/>
      <c r="T160" s="1"/>
      <c r="U160" s="1"/>
    </row>
    <row r="161" spans="1:21" ht="85">
      <c r="A161" s="13" t="s">
        <v>46</v>
      </c>
      <c r="B161" s="3" t="s">
        <v>591</v>
      </c>
      <c r="C161" s="3" t="s">
        <v>28</v>
      </c>
      <c r="D161" s="3" t="s">
        <v>242</v>
      </c>
      <c r="E161" s="3" t="s">
        <v>21</v>
      </c>
      <c r="F161" s="14">
        <v>44202</v>
      </c>
      <c r="G161" s="14">
        <v>44207</v>
      </c>
      <c r="H161" s="3" t="s">
        <v>22</v>
      </c>
      <c r="I161" s="15" t="s">
        <v>592</v>
      </c>
      <c r="J161" s="3"/>
      <c r="K161" s="3"/>
      <c r="L161" s="3"/>
      <c r="M161" s="1"/>
      <c r="N161" s="1"/>
      <c r="O161" s="1"/>
      <c r="P161" s="1"/>
      <c r="Q161" s="1"/>
      <c r="R161" s="1"/>
      <c r="S161" s="1"/>
      <c r="T161" s="1"/>
      <c r="U161" s="1"/>
    </row>
    <row r="162" spans="1:21" ht="409.6">
      <c r="A162" s="13" t="s">
        <v>47</v>
      </c>
      <c r="B162" s="3" t="s">
        <v>593</v>
      </c>
      <c r="C162" s="3" t="s">
        <v>31</v>
      </c>
      <c r="D162" s="3" t="s">
        <v>270</v>
      </c>
      <c r="E162" s="3" t="s">
        <v>21</v>
      </c>
      <c r="F162" s="14">
        <v>44202</v>
      </c>
      <c r="G162" s="14">
        <v>44204</v>
      </c>
      <c r="H162" s="3" t="s">
        <v>22</v>
      </c>
      <c r="I162" s="3" t="s">
        <v>594</v>
      </c>
      <c r="J162" s="15" t="s">
        <v>595</v>
      </c>
      <c r="K162" s="3" t="s">
        <v>596</v>
      </c>
      <c r="L162" s="3"/>
      <c r="M162" s="1"/>
      <c r="N162" s="1"/>
      <c r="O162" s="1"/>
      <c r="P162" s="1"/>
      <c r="Q162" s="1"/>
      <c r="R162" s="1"/>
      <c r="S162" s="1"/>
      <c r="T162" s="1"/>
      <c r="U162" s="1"/>
    </row>
    <row r="163" spans="1:21" ht="409.6">
      <c r="A163" s="13" t="s">
        <v>48</v>
      </c>
      <c r="B163" s="3" t="s">
        <v>243</v>
      </c>
      <c r="C163" s="3" t="s">
        <v>109</v>
      </c>
      <c r="D163" s="3" t="s">
        <v>223</v>
      </c>
      <c r="E163" s="3" t="s">
        <v>21</v>
      </c>
      <c r="F163" s="14">
        <v>44202</v>
      </c>
      <c r="G163" s="14">
        <v>44223</v>
      </c>
      <c r="H163" s="3" t="s">
        <v>22</v>
      </c>
      <c r="I163" s="15" t="s">
        <v>244</v>
      </c>
      <c r="J163" s="15" t="s">
        <v>245</v>
      </c>
      <c r="K163" s="15" t="s">
        <v>246</v>
      </c>
      <c r="L163" s="3"/>
      <c r="M163" s="1"/>
      <c r="N163" s="1"/>
      <c r="O163" s="1"/>
      <c r="P163" s="1"/>
      <c r="Q163" s="1"/>
      <c r="R163" s="1"/>
      <c r="S163" s="1"/>
      <c r="T163" s="1"/>
      <c r="U163" s="1"/>
    </row>
    <row r="164" spans="1:21">
      <c r="A164" s="3"/>
      <c r="B164" s="3"/>
      <c r="C164" s="3"/>
      <c r="D164" s="3"/>
      <c r="E164" s="3"/>
      <c r="F164" s="3"/>
      <c r="G164" s="3"/>
      <c r="H164" s="3"/>
      <c r="I164" s="3"/>
      <c r="J164" s="3"/>
      <c r="K164" s="3"/>
      <c r="L164" s="3"/>
      <c r="M164" s="1"/>
      <c r="N164" s="1"/>
      <c r="O164" s="1"/>
      <c r="P164" s="1"/>
      <c r="Q164" s="1"/>
      <c r="R164" s="1"/>
      <c r="S164" s="1"/>
      <c r="T164" s="1"/>
      <c r="U164" s="1"/>
    </row>
    <row r="165" spans="1:21">
      <c r="I165"/>
      <c r="J165"/>
      <c r="K165"/>
    </row>
    <row r="166" spans="1:21">
      <c r="I166"/>
      <c r="J166"/>
      <c r="K166"/>
    </row>
    <row r="167" spans="1:21">
      <c r="I167"/>
      <c r="J167"/>
      <c r="K167"/>
    </row>
    <row r="168" spans="1:21">
      <c r="I168"/>
      <c r="J168"/>
      <c r="K168"/>
    </row>
    <row r="169" spans="1:21">
      <c r="I169"/>
      <c r="J169"/>
      <c r="K169"/>
    </row>
    <row r="170" spans="1:21">
      <c r="I170"/>
      <c r="J170"/>
      <c r="K170"/>
    </row>
    <row r="171" spans="1:21">
      <c r="I171"/>
      <c r="J171"/>
      <c r="K171"/>
    </row>
    <row r="172" spans="1:21">
      <c r="I172"/>
      <c r="J172"/>
      <c r="K172"/>
    </row>
    <row r="173" spans="1:21">
      <c r="I173"/>
      <c r="J173"/>
      <c r="K173"/>
    </row>
    <row r="174" spans="1:21">
      <c r="I174"/>
      <c r="J174"/>
      <c r="K174"/>
    </row>
    <row r="175" spans="1:21">
      <c r="I175"/>
      <c r="J175"/>
      <c r="K175"/>
    </row>
    <row r="176" spans="1:21">
      <c r="I176"/>
      <c r="J176"/>
      <c r="K176"/>
    </row>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57" xr:uid="{74DFAF9E-0219-45F1-9849-259CB8942152}">
    <filterColumn colId="4">
      <filters>
        <filter val="処理済み"/>
        <filter val="処理中"/>
        <filter val="未対応"/>
      </filters>
    </filterColumn>
    <filterColumn colId="6">
      <filters blank="1">
        <dateGroupItem year="2021" month="1" day="29" dateTimeGrouping="day"/>
      </filters>
    </filterColumn>
  </autoFilter>
  <mergeCells count="2">
    <mergeCell ref="B1:C1"/>
    <mergeCell ref="B2:C2"/>
  </mergeCells>
  <phoneticPr fontId="7"/>
  <hyperlinks>
    <hyperlink ref="A6" r:id="rId1" xr:uid="{B87BAF40-0463-4421-80DD-CADCA06313CE}"/>
    <hyperlink ref="A7" r:id="rId2" xr:uid="{6C9D25B1-48E5-4E9B-A3B4-2766191521D9}"/>
    <hyperlink ref="A14" r:id="rId3" xr:uid="{E4195255-2E78-45B5-ACAF-EB617BAAF48D}"/>
    <hyperlink ref="A15" r:id="rId4" xr:uid="{8C305CD6-F56F-4559-8B8C-9D8E13EBC434}"/>
    <hyperlink ref="A17" r:id="rId5" xr:uid="{8D7DF8A0-AD03-4570-A215-3C23E4CEF5F3}"/>
    <hyperlink ref="A18" r:id="rId6" xr:uid="{92C81CFA-A546-480C-B318-CFE8F4650AB8}"/>
    <hyperlink ref="A23" r:id="rId7" xr:uid="{8FE3D319-6444-4665-A819-AB2C5911F4D0}"/>
    <hyperlink ref="A25" r:id="rId8" xr:uid="{74B7FCB4-1B50-4294-B225-73C4E408D296}"/>
    <hyperlink ref="A27" r:id="rId9" xr:uid="{D434F2C5-9642-415F-AD45-44EBF5099D84}"/>
    <hyperlink ref="A28" r:id="rId10" xr:uid="{E372F7AD-065E-471E-97B4-4B014AE91BDA}"/>
    <hyperlink ref="A31" r:id="rId11" xr:uid="{5DCAA400-6B37-4E69-910B-7DDAE48F2DCB}"/>
    <hyperlink ref="A32" r:id="rId12" xr:uid="{10A886EF-16AA-4E45-BA6E-07E9A1FF6E76}"/>
    <hyperlink ref="A34" r:id="rId13" xr:uid="{18458C5E-7984-4D4F-B6EC-9111F2BAD35B}"/>
    <hyperlink ref="A35" r:id="rId14" xr:uid="{192A2786-21A2-4CC9-ACB1-E881D6A30EEF}"/>
    <hyperlink ref="A37" r:id="rId15" xr:uid="{EC612F13-9828-4CAC-BFEE-45DDD81A6877}"/>
    <hyperlink ref="A41" r:id="rId16" xr:uid="{5C7B40B2-C902-47A1-B89C-03AE595B826A}"/>
    <hyperlink ref="A45" r:id="rId17" xr:uid="{1BC32CDE-5632-405E-AC9D-A10898A70C6D}"/>
    <hyperlink ref="A46" r:id="rId18" xr:uid="{B7C91D12-379E-4A30-A6B3-167A9B94C33A}"/>
    <hyperlink ref="A51" r:id="rId19" xr:uid="{D4B8C1DF-6ECA-4D5F-90B6-0875582B23E6}"/>
    <hyperlink ref="A54" r:id="rId20" xr:uid="{E8AA9CFF-9D64-4103-9D56-9F5310157C02}"/>
    <hyperlink ref="A56" r:id="rId21" xr:uid="{42913A89-BF1D-44B2-9FEE-4A6F3DFFF7D8}"/>
    <hyperlink ref="A60" r:id="rId22" xr:uid="{0769D633-1902-4BA7-8B8A-A7DD27E6C3BC}"/>
    <hyperlink ref="A70" r:id="rId23" xr:uid="{77A88BF8-6ED8-4F7F-B2DC-FF0A2560E628}"/>
    <hyperlink ref="A73" r:id="rId24" xr:uid="{888FFD2C-6867-46CB-A0AF-E68265A20A36}"/>
    <hyperlink ref="A74" r:id="rId25" xr:uid="{F19FA2C7-5776-465E-A906-9B09D7EFCAF5}"/>
    <hyperlink ref="A78" r:id="rId26" xr:uid="{BBCDE702-A74C-4271-BCE1-9F70F18F7CEA}"/>
    <hyperlink ref="A79" r:id="rId27" xr:uid="{9E87C92D-49EF-4ADC-BD8E-AC8EF2290269}"/>
    <hyperlink ref="A81" r:id="rId28" xr:uid="{83ACC4E7-F333-4D9E-B641-BF27664D88D3}"/>
    <hyperlink ref="A88" r:id="rId29" xr:uid="{76B6C7DF-B22C-4D67-8676-C018B39EE6B4}"/>
    <hyperlink ref="A91" r:id="rId30" xr:uid="{073F3F68-E511-48EF-A3BE-4FC8241DEBEB}"/>
    <hyperlink ref="A92" r:id="rId31" xr:uid="{0948E677-38BE-43E4-AC55-84C53126BEB3}"/>
    <hyperlink ref="A93" r:id="rId32" xr:uid="{73D7F436-BCE2-47F1-9259-13285D856DC4}"/>
    <hyperlink ref="A94" r:id="rId33" xr:uid="{79A7590C-9C17-474C-8E4E-8AC75C1F2B78}"/>
    <hyperlink ref="A95" r:id="rId34" xr:uid="{37AE221B-C8F5-4676-BC16-FFBBC88C5BF6}"/>
    <hyperlink ref="A96" r:id="rId35" xr:uid="{764BE1F1-B93F-404C-A98A-F8B4D9C641C5}"/>
    <hyperlink ref="A100" r:id="rId36" xr:uid="{40DC4D0F-564D-44F3-B6CF-10490E44EC88}"/>
    <hyperlink ref="A102" r:id="rId37" xr:uid="{653379D7-7C1E-4868-BA31-1D28DAE9890B}"/>
    <hyperlink ref="A103" r:id="rId38" xr:uid="{C1D44E0A-B25C-41DA-8FC0-EEE242EE2684}"/>
    <hyperlink ref="A104" r:id="rId39" xr:uid="{347B7057-E86D-4FC4-8996-F3E7873937D4}"/>
    <hyperlink ref="A111" r:id="rId40" xr:uid="{E73F8D0D-2EE8-469D-9975-C7AD40EB3A13}"/>
    <hyperlink ref="A125" r:id="rId41" xr:uid="{F53BCA76-F526-40B2-B7AB-35E1529C67F1}"/>
    <hyperlink ref="A11" r:id="rId42" xr:uid="{2C8426D9-9839-4AEC-A91E-7019D3226151}"/>
    <hyperlink ref="A12" r:id="rId43" xr:uid="{34CBA7F4-6366-44FC-AE9C-191D753EAE54}"/>
    <hyperlink ref="A16" r:id="rId44" xr:uid="{A05446DD-F3FD-4C89-972E-4DC7255B9355}"/>
    <hyperlink ref="A19" r:id="rId45" xr:uid="{2597771D-A2D4-4F60-8E78-22CBCB33B8C8}"/>
    <hyperlink ref="A20" r:id="rId46" xr:uid="{28D69A2E-1235-470D-A38C-491154EB3AF7}"/>
    <hyperlink ref="A21" r:id="rId47" xr:uid="{6700C610-2875-432C-9325-AB22FFCFF12C}"/>
    <hyperlink ref="A22" r:id="rId48" xr:uid="{793F2465-3A9B-4215-9521-875148D6C7AB}"/>
    <hyperlink ref="A24" r:id="rId49" xr:uid="{F3586086-DC2B-44A8-804E-35FD718B7CDA}"/>
    <hyperlink ref="A26" r:id="rId50" xr:uid="{D7E7D6CC-1782-4FF6-ACFB-3BE8F3D16EA7}"/>
    <hyperlink ref="A29" r:id="rId51" xr:uid="{0BEB7831-6607-4A05-8D65-0BB55DC6E023}"/>
    <hyperlink ref="A30" r:id="rId52" xr:uid="{8173D3D7-AD51-4212-BFB4-43EE154A0A8D}"/>
    <hyperlink ref="A33" r:id="rId53" xr:uid="{3003B1A8-AB46-48CD-9C80-F494097656C0}"/>
    <hyperlink ref="A36" r:id="rId54" xr:uid="{187F0090-ABEF-4473-BDD8-534FDBE003EF}"/>
    <hyperlink ref="A38" r:id="rId55" xr:uid="{B84BEA6F-38C0-4BFC-BD3D-52E0F5754922}"/>
    <hyperlink ref="A39" r:id="rId56" xr:uid="{A9F1281C-E45B-4797-9A3D-47FB30E7FDDD}"/>
    <hyperlink ref="A40" r:id="rId57" xr:uid="{BB307DA1-FA1E-4101-A973-058DF8D42AE9}"/>
    <hyperlink ref="A42" r:id="rId58" xr:uid="{229C3FCB-955E-4526-8745-D9556B7145E0}"/>
    <hyperlink ref="A43" r:id="rId59" xr:uid="{DD707027-2456-4A3D-95B7-056AABC71EDF}"/>
    <hyperlink ref="A47" r:id="rId60" xr:uid="{141CC851-C08B-4567-A119-72FFBE02F625}"/>
    <hyperlink ref="A48" r:id="rId61" xr:uid="{46ADCC69-5507-43CA-8DF9-8E15346B30D5}"/>
    <hyperlink ref="A49" r:id="rId62" xr:uid="{4BE3AF58-1BCF-4F5E-B95C-5C58FC00D784}"/>
    <hyperlink ref="A52" r:id="rId63" xr:uid="{DD858031-D079-46B1-AAAC-FC2A451C066F}"/>
    <hyperlink ref="A53" r:id="rId64" xr:uid="{254B1408-33D3-4310-8906-47FF84028F90}"/>
    <hyperlink ref="A55" r:id="rId65" xr:uid="{4D3C697A-F92F-4E76-942A-F76EC2BFC5F5}"/>
    <hyperlink ref="A57" r:id="rId66" xr:uid="{EB07C1F6-B409-40FE-910E-D53B3647901E}"/>
    <hyperlink ref="A58" r:id="rId67" xr:uid="{56F8AD38-6CA4-4303-877D-8408EC01866D}"/>
    <hyperlink ref="A61" r:id="rId68" xr:uid="{E8AA570F-65CF-429B-950C-A19C0A5A51DC}"/>
    <hyperlink ref="A62" r:id="rId69" xr:uid="{EF1748B6-90CC-4B47-83EE-84407D216D0B}"/>
    <hyperlink ref="A63" r:id="rId70" xr:uid="{534A3CDE-B40B-4459-A95E-5737F89D1ECB}"/>
    <hyperlink ref="A64" r:id="rId71" xr:uid="{24DCE2BF-D514-43D5-9E22-80A70145F2AB}"/>
    <hyperlink ref="A65" r:id="rId72" xr:uid="{3764B36B-578D-428F-9359-880E3D1CB607}"/>
    <hyperlink ref="A66" r:id="rId73" xr:uid="{FF538D47-CEF8-4947-81F7-1644F0A30CCE}"/>
    <hyperlink ref="A67" r:id="rId74" xr:uid="{EA60E3E1-8CD4-4368-9891-8A2D1F1E66C9}"/>
    <hyperlink ref="A68" r:id="rId75" xr:uid="{3D74DC0B-88F5-41FF-90CA-8965D61680AF}"/>
    <hyperlink ref="A69" r:id="rId76" xr:uid="{26652955-6D69-4A97-9E7C-EE9F56ECD804}"/>
    <hyperlink ref="A71" r:id="rId77" xr:uid="{DB14B682-D8E1-4D49-86B8-E718569A5526}"/>
    <hyperlink ref="A72" r:id="rId78" xr:uid="{E86AC6E7-9D25-4BA1-A078-B2EC0FA9081C}"/>
    <hyperlink ref="A75" r:id="rId79" xr:uid="{54F49E18-A5B0-4CA6-B642-5704F82BC1B5}"/>
    <hyperlink ref="A76" r:id="rId80" xr:uid="{0B19284D-7528-40C1-B8B3-E812A8DB5F6C}"/>
    <hyperlink ref="A77" r:id="rId81" xr:uid="{2F701DC6-63F5-478A-A5F3-AE69719924B0}"/>
    <hyperlink ref="A80" r:id="rId82" xr:uid="{C1B23CE4-CE15-4727-9215-03A30550D916}"/>
    <hyperlink ref="A82" r:id="rId83" xr:uid="{5B080267-04D3-404F-AB7D-AE26D03C28B7}"/>
    <hyperlink ref="A83" r:id="rId84" xr:uid="{98180CCB-E304-4D88-8FA1-C72C649F37BC}"/>
    <hyperlink ref="A84" r:id="rId85" xr:uid="{64B8250F-1C5C-4A1F-9840-27752594F161}"/>
    <hyperlink ref="A85" r:id="rId86" xr:uid="{BE5E7A90-17C7-425D-A86D-828910465424}"/>
    <hyperlink ref="A86" r:id="rId87" xr:uid="{855A4CE3-60EA-4477-8116-D18F848A5856}"/>
    <hyperlink ref="A87" r:id="rId88" xr:uid="{E7A78BA6-F097-4D8E-876B-C983D6D38727}"/>
    <hyperlink ref="A89" r:id="rId89" xr:uid="{76959CFD-2640-4CFA-B310-D519271131CF}"/>
    <hyperlink ref="A90" r:id="rId90" xr:uid="{37D48F61-F655-46FF-803D-E1E3F416EB9B}"/>
    <hyperlink ref="A97" r:id="rId91" xr:uid="{EFB96666-CC41-4367-ABAC-0CC70A20D7B2}"/>
    <hyperlink ref="A98" r:id="rId92" xr:uid="{257AF858-102F-4B71-AD88-61A796E6648E}"/>
    <hyperlink ref="A101" r:id="rId93" xr:uid="{ABE7A7CA-6D30-4DC4-BABD-FF11F540F33B}"/>
    <hyperlink ref="A105" r:id="rId94" xr:uid="{CD4ABBA8-AEC7-4180-BAD8-D6B74F94F7BB}"/>
    <hyperlink ref="A106" r:id="rId95" xr:uid="{6BE8B5EF-C767-43F0-8A49-E44AE5A60E5F}"/>
    <hyperlink ref="A107" r:id="rId96" xr:uid="{209ADC33-D8EC-4FF0-BEDE-E9067D32E2D6}"/>
    <hyperlink ref="A108" r:id="rId97" xr:uid="{8975D8C8-D8F7-447C-B0C7-F0F5B1B1A472}"/>
    <hyperlink ref="A109" r:id="rId98" xr:uid="{93D21E0F-6FCA-4D9A-9FC0-EDF2A365A204}"/>
    <hyperlink ref="A110" r:id="rId99" xr:uid="{8D1E3E8C-A834-45BF-AFDB-4F0D9652D0D4}"/>
    <hyperlink ref="A113" r:id="rId100" xr:uid="{37A4E386-0E20-431F-9A3B-CBDB93C5CA30}"/>
    <hyperlink ref="A115" r:id="rId101" xr:uid="{E3CE8DC8-90E5-491B-90E6-C6A46BB2D7FA}"/>
    <hyperlink ref="A116" r:id="rId102" xr:uid="{E7C3A75B-3F11-47F9-99A7-A4E923CC8BC4}"/>
    <hyperlink ref="A117" r:id="rId103" xr:uid="{E5A0D5CA-015B-4ABD-8A2B-E79437F88435}"/>
    <hyperlink ref="A118" r:id="rId104" xr:uid="{856845DC-4D64-47A9-86A0-289B1F5493C2}"/>
    <hyperlink ref="A119" r:id="rId105" xr:uid="{E60ABA03-4C9C-4864-A3E8-7C18FA32C00E}"/>
    <hyperlink ref="A120" r:id="rId106" xr:uid="{B8B4708F-9982-4E77-A625-6E53C219EEE1}"/>
    <hyperlink ref="A121" r:id="rId107" xr:uid="{AA2C5B12-423C-4374-8A77-856D5408A59E}"/>
    <hyperlink ref="A122" r:id="rId108" xr:uid="{E30EB513-803D-4C7F-95F5-1488BAE071AA}"/>
    <hyperlink ref="A123" r:id="rId109" xr:uid="{6B3C8657-ECAF-4FCA-A74F-F08B486B8220}"/>
    <hyperlink ref="A124" r:id="rId110" xr:uid="{CDAE48A3-08C7-42FE-B12D-5F540B1CC38C}"/>
    <hyperlink ref="A126" r:id="rId111" xr:uid="{F2DD472E-24D0-4A15-ABE8-8D6871CAB541}"/>
    <hyperlink ref="A127" r:id="rId112" xr:uid="{677FD5AF-EE96-4D8B-8A61-84F62112134C}"/>
    <hyperlink ref="A129" r:id="rId113" xr:uid="{C610387F-E79C-4E9E-9779-9D76579FDC5C}"/>
    <hyperlink ref="A130" r:id="rId114" xr:uid="{7E34CA1E-50BA-45F1-A17A-EFFB8E844C12}"/>
    <hyperlink ref="A131" r:id="rId115" xr:uid="{44CD8C63-D198-4595-8853-0C8C7AC43DC6}"/>
    <hyperlink ref="A132" r:id="rId116" xr:uid="{86FD1566-6586-49D5-AD19-90D84268D56A}"/>
    <hyperlink ref="A133" r:id="rId117" xr:uid="{099D96DC-51D1-4A2D-AD30-55E7F4AF51DE}"/>
    <hyperlink ref="A134" r:id="rId118" xr:uid="{3758F84B-2CFB-40CA-911D-91430B465777}"/>
    <hyperlink ref="A135" r:id="rId119" xr:uid="{25AC4533-6159-40F1-8588-513C828091E7}"/>
    <hyperlink ref="A136" r:id="rId120" xr:uid="{7DF0052F-DD99-4558-A722-849ABCB1DD61}"/>
    <hyperlink ref="A137" r:id="rId121" xr:uid="{D689282B-5433-40D8-BBC1-087BB4EA8CAF}"/>
    <hyperlink ref="A138" r:id="rId122" xr:uid="{B14123E9-17BF-4866-8698-8144D6257B12}"/>
    <hyperlink ref="A139" r:id="rId123" xr:uid="{0691DC5D-CA91-43DA-AA79-16648B60BF92}"/>
    <hyperlink ref="A140" r:id="rId124" xr:uid="{89921EB3-BA59-4E26-9854-8D1D5F831926}"/>
    <hyperlink ref="A142" r:id="rId125" xr:uid="{7BDB63F5-9BF8-49D1-8506-02E68110D870}"/>
    <hyperlink ref="A143" r:id="rId126" xr:uid="{8663965C-F14B-47F6-A365-16D062F5136C}"/>
    <hyperlink ref="A144" r:id="rId127" xr:uid="{0507977D-661E-4876-96D2-C3F05D0C5A36}"/>
    <hyperlink ref="A145" r:id="rId128" xr:uid="{D797BC47-BD9F-4760-87CA-7D029D42C4D3}"/>
    <hyperlink ref="A146" r:id="rId129" xr:uid="{B4263F11-6264-4B51-A298-BD206A609337}"/>
    <hyperlink ref="A147" r:id="rId130" xr:uid="{BF60A0A2-5FC1-4447-BC8E-191131E57048}"/>
    <hyperlink ref="A148" r:id="rId131" xr:uid="{94D3036F-2A4F-4E1C-8A05-2713412FC9E5}"/>
    <hyperlink ref="A149" r:id="rId132" xr:uid="{2AB52645-9343-4CDA-9F92-4F046F136C5C}"/>
    <hyperlink ref="A150" r:id="rId133" xr:uid="{8EF3D6B3-5A7D-4081-A1AE-A37AE63281A3}"/>
    <hyperlink ref="A151" r:id="rId134" xr:uid="{EDF178E8-9D2A-4433-85F7-EA5FD4BA2536}"/>
    <hyperlink ref="A152" r:id="rId135" xr:uid="{E9234582-8DA6-440C-96EE-F5AAE0F6EC66}"/>
    <hyperlink ref="A153" r:id="rId136" xr:uid="{475A4B63-5A95-41B6-B7AC-5D7F38C40857}"/>
    <hyperlink ref="A154" r:id="rId137" xr:uid="{0262E04D-02EE-420D-B062-30057DBDBB2C}"/>
    <hyperlink ref="A155" r:id="rId138" xr:uid="{55E87C96-B2F5-414D-83EE-5796CA15A4CD}"/>
    <hyperlink ref="A156" r:id="rId139" xr:uid="{A31BED12-8D5E-417F-8263-7F67F0D70A87}"/>
    <hyperlink ref="A157" r:id="rId140" xr:uid="{A9FBE2FE-9D19-4A4A-A7E8-65FAE0A5B307}"/>
    <hyperlink ref="A8" r:id="rId141" xr:uid="{E7408E46-584F-41E5-B98B-3126FB7BFD09}"/>
    <hyperlink ref="A9" r:id="rId142" xr:uid="{22C6C05A-C1A0-4751-8652-9D66EB051DCD}"/>
    <hyperlink ref="A10" r:id="rId143" xr:uid="{AC102D87-9E7D-440D-84CE-F7E7AE9838F1}"/>
    <hyperlink ref="A13" r:id="rId144" xr:uid="{1EF1ED55-FCA2-444C-9CA0-D152357C576E}"/>
    <hyperlink ref="A44" r:id="rId145" xr:uid="{C0466E3A-B5D1-40DE-8791-EC960FEAF39E}"/>
    <hyperlink ref="A50" r:id="rId146" xr:uid="{B3C755AA-5C3D-426D-82FE-D8E6FB0C7698}"/>
    <hyperlink ref="A59" r:id="rId147" xr:uid="{B3D1ADD4-FEA4-462B-96BF-7E9C5FC58C10}"/>
    <hyperlink ref="A99" r:id="rId148" xr:uid="{7A832551-DF2E-4567-8E00-CB0B002DA18E}"/>
    <hyperlink ref="A112" r:id="rId149" xr:uid="{F034AE50-C2CC-4643-9858-0AA36929F4EA}"/>
    <hyperlink ref="A114" r:id="rId150" xr:uid="{0C452366-7504-400D-B327-02B30A0C0CC5}"/>
    <hyperlink ref="A128" r:id="rId151" xr:uid="{262916D6-01B1-4C92-BA2D-ADFB2BD9E486}"/>
    <hyperlink ref="A141" r:id="rId152" xr:uid="{FCF43B6E-2A01-470C-8C64-6E53A0CFA3BF}"/>
    <hyperlink ref="A158" r:id="rId153" xr:uid="{C186B4D6-92B5-4280-9319-BBFE23F57959}"/>
    <hyperlink ref="A159" r:id="rId154" xr:uid="{8E930107-6B84-4636-9EBE-90B0D1D107BF}"/>
    <hyperlink ref="A160" r:id="rId155" xr:uid="{9CAC0CC9-E25D-4303-9B08-72AE93BA8BA5}"/>
    <hyperlink ref="A161" r:id="rId156" xr:uid="{F1739BE2-7EB3-4D47-B8A8-45AD46233702}"/>
    <hyperlink ref="A162" r:id="rId157" xr:uid="{B1EC44FA-060B-4A1A-B134-5B6D05C28DED}"/>
    <hyperlink ref="A163" r:id="rId158" xr:uid="{29DEDC1F-90D4-4FC0-BC91-7D32F21C71CD}"/>
  </hyperlinks>
  <pageMargins left="0.7" right="0.7" top="0.75" bottom="0.75" header="0.3" footer="0.3"/>
  <pageSetup paperSize="9" orientation="portrait" r:id="rId159"/>
  <drawing r:id="rId160"/>
  <legacyDrawing r:id="rId161"/>
  <mc:AlternateContent xmlns:mc="http://schemas.openxmlformats.org/markup-compatibility/2006">
    <mc:Choice Requires="x14">
      <controls>
        <mc:AlternateContent xmlns:mc="http://schemas.openxmlformats.org/markup-compatibility/2006">
          <mc:Choice Requires="x14">
            <control shapeId="18433" r:id="rId162"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filterMode="1">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8" t="s">
        <v>53</v>
      </c>
      <c r="C1" s="108"/>
      <c r="D1" s="52"/>
    </row>
    <row r="2" spans="1:22">
      <c r="A2" s="10" t="s">
        <v>2</v>
      </c>
      <c r="B2" s="108">
        <f>VLOOKUP(B1,親課題リスト!D4:E6,2)</f>
        <v>10929022</v>
      </c>
      <c r="C2" s="108"/>
      <c r="D2" s="52"/>
    </row>
    <row r="3" spans="1:22">
      <c r="A3" s="12" t="s">
        <v>951</v>
      </c>
      <c r="B3" s="12"/>
    </row>
    <row r="4" spans="1:22" ht="6.75" customHeight="1"/>
    <row r="5" spans="1:22" ht="40.5" customHeight="1">
      <c r="A5" s="17" t="s">
        <v>11</v>
      </c>
      <c r="B5" s="17" t="s">
        <v>3</v>
      </c>
      <c r="C5" s="17" t="s">
        <v>12</v>
      </c>
      <c r="D5" s="16" t="s">
        <v>222</v>
      </c>
      <c r="E5" s="17" t="s">
        <v>13</v>
      </c>
      <c r="F5" s="17" t="s">
        <v>14</v>
      </c>
      <c r="G5" s="17" t="s">
        <v>15</v>
      </c>
      <c r="H5" s="16" t="s">
        <v>19</v>
      </c>
      <c r="I5" s="17" t="s">
        <v>16</v>
      </c>
      <c r="J5" s="16" t="s">
        <v>17</v>
      </c>
      <c r="K5" s="16" t="s">
        <v>18</v>
      </c>
      <c r="L5" s="16" t="s">
        <v>25</v>
      </c>
    </row>
    <row r="6" spans="1:22" ht="153" hidden="1">
      <c r="A6" s="9" t="s">
        <v>952</v>
      </c>
      <c r="B6" s="3" t="s">
        <v>953</v>
      </c>
      <c r="C6" s="3" t="s">
        <v>351</v>
      </c>
      <c r="D6" s="3"/>
      <c r="E6" s="3" t="s">
        <v>249</v>
      </c>
      <c r="F6" s="14"/>
      <c r="G6" s="14"/>
      <c r="H6" s="3" t="s">
        <v>250</v>
      </c>
      <c r="I6" s="15" t="s">
        <v>954</v>
      </c>
      <c r="J6" s="3"/>
      <c r="K6" s="15"/>
      <c r="L6" s="15"/>
      <c r="M6" s="1"/>
      <c r="N6" s="1"/>
      <c r="O6" s="1"/>
      <c r="P6" s="1"/>
      <c r="Q6" s="1"/>
      <c r="R6" s="1"/>
      <c r="S6" s="1"/>
      <c r="T6" s="1"/>
      <c r="U6" s="1"/>
      <c r="V6" s="1"/>
    </row>
    <row r="7" spans="1:22" ht="356" hidden="1">
      <c r="A7" s="9" t="s">
        <v>955</v>
      </c>
      <c r="B7" s="3" t="s">
        <v>956</v>
      </c>
      <c r="C7" s="3" t="s">
        <v>252</v>
      </c>
      <c r="D7" s="3" t="s">
        <v>272</v>
      </c>
      <c r="E7" s="3" t="s">
        <v>253</v>
      </c>
      <c r="F7" s="14">
        <v>44231</v>
      </c>
      <c r="G7" s="14">
        <v>44231</v>
      </c>
      <c r="H7" s="15" t="s">
        <v>250</v>
      </c>
      <c r="I7" s="15" t="s">
        <v>957</v>
      </c>
      <c r="J7" s="15" t="s">
        <v>958</v>
      </c>
      <c r="K7" s="3" t="s">
        <v>959</v>
      </c>
      <c r="L7" s="15" t="s">
        <v>960</v>
      </c>
      <c r="M7" s="1"/>
      <c r="N7" s="1"/>
      <c r="O7" s="1"/>
      <c r="P7" s="1"/>
      <c r="Q7" s="1"/>
      <c r="R7" s="1"/>
      <c r="S7" s="1"/>
      <c r="T7" s="1"/>
      <c r="U7" s="1"/>
      <c r="V7" s="1"/>
    </row>
    <row r="8" spans="1:22" ht="51" hidden="1">
      <c r="A8" s="9" t="s">
        <v>961</v>
      </c>
      <c r="B8" s="3" t="s">
        <v>962</v>
      </c>
      <c r="C8" s="3" t="s">
        <v>273</v>
      </c>
      <c r="D8" s="3"/>
      <c r="E8" s="3" t="s">
        <v>261</v>
      </c>
      <c r="F8" s="14">
        <v>44230</v>
      </c>
      <c r="G8" s="14"/>
      <c r="H8" s="3" t="s">
        <v>250</v>
      </c>
      <c r="I8" s="15" t="s">
        <v>963</v>
      </c>
      <c r="J8" s="3" t="s">
        <v>964</v>
      </c>
      <c r="K8" s="15"/>
      <c r="L8" s="15" t="s">
        <v>965</v>
      </c>
      <c r="M8" s="1"/>
      <c r="N8" s="1"/>
      <c r="O8" s="1"/>
      <c r="P8" s="1"/>
      <c r="Q8" s="1"/>
      <c r="R8" s="1"/>
      <c r="S8" s="1"/>
      <c r="T8" s="1"/>
      <c r="U8" s="1"/>
      <c r="V8" s="1"/>
    </row>
    <row r="9" spans="1:22" ht="340" hidden="1">
      <c r="A9" s="9" t="s">
        <v>966</v>
      </c>
      <c r="B9" s="3" t="s">
        <v>967</v>
      </c>
      <c r="C9" s="3" t="s">
        <v>273</v>
      </c>
      <c r="D9" s="3"/>
      <c r="E9" s="3" t="s">
        <v>261</v>
      </c>
      <c r="F9" s="14">
        <v>44230</v>
      </c>
      <c r="G9" s="14"/>
      <c r="H9" s="3" t="s">
        <v>250</v>
      </c>
      <c r="I9" s="15" t="s">
        <v>968</v>
      </c>
      <c r="J9" s="15" t="s">
        <v>22</v>
      </c>
      <c r="K9" s="15"/>
      <c r="L9" s="3" t="s">
        <v>965</v>
      </c>
      <c r="M9" s="1"/>
      <c r="N9" s="1"/>
      <c r="O9" s="1"/>
      <c r="P9" s="1"/>
      <c r="Q9" s="1"/>
      <c r="R9" s="1"/>
      <c r="S9" s="1"/>
      <c r="T9" s="1"/>
      <c r="U9" s="1"/>
      <c r="V9" s="1"/>
    </row>
    <row r="10" spans="1:22" ht="272" hidden="1">
      <c r="A10" s="9" t="s">
        <v>969</v>
      </c>
      <c r="B10" s="3" t="s">
        <v>970</v>
      </c>
      <c r="C10" s="3" t="s">
        <v>351</v>
      </c>
      <c r="D10" s="3"/>
      <c r="E10" s="3" t="s">
        <v>249</v>
      </c>
      <c r="F10" s="14">
        <v>44230</v>
      </c>
      <c r="G10" s="3"/>
      <c r="H10" s="15" t="s">
        <v>971</v>
      </c>
      <c r="I10" s="15" t="s">
        <v>972</v>
      </c>
      <c r="J10" s="15"/>
      <c r="K10" s="3"/>
      <c r="L10" s="3"/>
      <c r="M10" s="1"/>
      <c r="N10" s="1"/>
      <c r="O10" s="1"/>
      <c r="P10" s="1"/>
      <c r="Q10" s="1"/>
      <c r="R10" s="1"/>
      <c r="S10" s="1"/>
      <c r="T10" s="1"/>
      <c r="U10" s="1"/>
      <c r="V10" s="1"/>
    </row>
    <row r="11" spans="1:22" ht="119" hidden="1">
      <c r="A11" s="9" t="s">
        <v>790</v>
      </c>
      <c r="B11" s="3" t="s">
        <v>791</v>
      </c>
      <c r="C11" s="3" t="s">
        <v>252</v>
      </c>
      <c r="D11" s="3" t="s">
        <v>272</v>
      </c>
      <c r="E11" s="3" t="s">
        <v>354</v>
      </c>
      <c r="F11" s="14">
        <v>44230</v>
      </c>
      <c r="G11" s="14"/>
      <c r="H11" s="3" t="s">
        <v>250</v>
      </c>
      <c r="I11" s="15" t="s">
        <v>973</v>
      </c>
      <c r="J11" s="3" t="s">
        <v>974</v>
      </c>
      <c r="K11" s="15" t="s">
        <v>975</v>
      </c>
      <c r="L11" s="3" t="s">
        <v>63</v>
      </c>
      <c r="M11" s="1"/>
      <c r="N11" s="1"/>
      <c r="O11" s="1"/>
      <c r="P11" s="1"/>
      <c r="Q11" s="1"/>
      <c r="R11" s="1"/>
      <c r="S11" s="1"/>
      <c r="T11" s="1"/>
      <c r="U11" s="1"/>
      <c r="V11" s="1"/>
    </row>
    <row r="12" spans="1:22" ht="388" hidden="1">
      <c r="A12" s="9" t="s">
        <v>792</v>
      </c>
      <c r="B12" s="3" t="s">
        <v>793</v>
      </c>
      <c r="C12" s="3" t="s">
        <v>977</v>
      </c>
      <c r="D12" s="3"/>
      <c r="E12" s="3" t="s">
        <v>261</v>
      </c>
      <c r="F12" s="14">
        <v>44230</v>
      </c>
      <c r="G12" s="14"/>
      <c r="H12" s="3" t="s">
        <v>250</v>
      </c>
      <c r="I12" s="15" t="s">
        <v>794</v>
      </c>
      <c r="J12" s="15"/>
      <c r="K12" s="3"/>
      <c r="L12" s="3" t="s">
        <v>366</v>
      </c>
      <c r="M12" s="1"/>
      <c r="N12" s="1"/>
      <c r="O12" s="1"/>
      <c r="P12" s="1"/>
      <c r="Q12" s="1"/>
      <c r="R12" s="1"/>
      <c r="S12" s="1"/>
      <c r="T12" s="1"/>
      <c r="U12" s="1"/>
      <c r="V12" s="1"/>
    </row>
    <row r="13" spans="1:22" ht="255" hidden="1">
      <c r="A13" s="9" t="s">
        <v>795</v>
      </c>
      <c r="B13" s="3" t="s">
        <v>796</v>
      </c>
      <c r="C13" s="3" t="s">
        <v>252</v>
      </c>
      <c r="D13" s="3"/>
      <c r="E13" s="3" t="s">
        <v>253</v>
      </c>
      <c r="F13" s="14">
        <v>44230</v>
      </c>
      <c r="G13" s="14">
        <v>44231</v>
      </c>
      <c r="H13" s="3" t="s">
        <v>250</v>
      </c>
      <c r="I13" s="15" t="s">
        <v>797</v>
      </c>
      <c r="J13" s="3"/>
      <c r="K13" s="15"/>
      <c r="L13" s="15" t="s">
        <v>366</v>
      </c>
      <c r="M13" s="1"/>
      <c r="N13" s="1"/>
      <c r="O13" s="1"/>
      <c r="P13" s="1"/>
      <c r="Q13" s="1"/>
      <c r="R13" s="1"/>
      <c r="S13" s="1"/>
      <c r="T13" s="1"/>
      <c r="U13" s="1"/>
      <c r="V13" s="1"/>
    </row>
    <row r="14" spans="1:22" ht="136" hidden="1">
      <c r="A14" s="9" t="s">
        <v>798</v>
      </c>
      <c r="B14" s="3" t="s">
        <v>799</v>
      </c>
      <c r="C14" s="3" t="s">
        <v>977</v>
      </c>
      <c r="D14" s="3"/>
      <c r="E14" s="3" t="s">
        <v>261</v>
      </c>
      <c r="F14" s="14">
        <v>44230</v>
      </c>
      <c r="G14" s="14"/>
      <c r="H14" s="3" t="s">
        <v>250</v>
      </c>
      <c r="I14" s="15" t="s">
        <v>800</v>
      </c>
      <c r="J14" s="3"/>
      <c r="K14" s="3"/>
      <c r="L14" s="15" t="s">
        <v>366</v>
      </c>
      <c r="M14" s="1"/>
      <c r="N14" s="1"/>
      <c r="O14" s="1"/>
      <c r="P14" s="1"/>
      <c r="Q14" s="1"/>
      <c r="R14" s="1"/>
      <c r="S14" s="1"/>
      <c r="T14" s="1"/>
      <c r="U14" s="1"/>
      <c r="V14" s="1"/>
    </row>
    <row r="15" spans="1:22" ht="102" hidden="1">
      <c r="A15" s="9" t="s">
        <v>801</v>
      </c>
      <c r="B15" s="3" t="s">
        <v>802</v>
      </c>
      <c r="C15" s="3" t="s">
        <v>977</v>
      </c>
      <c r="D15" s="3"/>
      <c r="E15" s="3" t="s">
        <v>261</v>
      </c>
      <c r="F15" s="14">
        <v>44230</v>
      </c>
      <c r="G15" s="14"/>
      <c r="H15" s="3" t="s">
        <v>250</v>
      </c>
      <c r="I15" s="15" t="s">
        <v>803</v>
      </c>
      <c r="J15" s="15"/>
      <c r="K15" s="15"/>
      <c r="L15" s="15"/>
      <c r="M15" s="1"/>
      <c r="N15" s="1"/>
      <c r="O15" s="1"/>
      <c r="P15" s="1"/>
      <c r="Q15" s="1"/>
      <c r="R15" s="1"/>
      <c r="S15" s="1"/>
      <c r="T15" s="1"/>
      <c r="U15" s="1"/>
    </row>
    <row r="16" spans="1:22" ht="102">
      <c r="A16" s="13" t="s">
        <v>804</v>
      </c>
      <c r="B16" s="3" t="s">
        <v>978</v>
      </c>
      <c r="C16" s="3" t="s">
        <v>976</v>
      </c>
      <c r="D16" s="3"/>
      <c r="E16" s="3" t="s">
        <v>732</v>
      </c>
      <c r="F16" s="14">
        <v>44230</v>
      </c>
      <c r="G16" s="3"/>
      <c r="H16" s="3" t="s">
        <v>22</v>
      </c>
      <c r="I16" s="15" t="s">
        <v>979</v>
      </c>
      <c r="J16" s="3"/>
      <c r="K16" s="3"/>
      <c r="L16" s="3"/>
      <c r="M16" s="1"/>
      <c r="N16" s="1"/>
      <c r="O16" s="1"/>
      <c r="P16" s="1"/>
      <c r="Q16" s="1"/>
      <c r="R16" s="1"/>
      <c r="S16" s="1"/>
      <c r="T16" s="1"/>
      <c r="U16" s="1"/>
    </row>
    <row r="17" spans="1:21" ht="289">
      <c r="A17" s="13" t="s">
        <v>805</v>
      </c>
      <c r="B17" s="3" t="s">
        <v>980</v>
      </c>
      <c r="C17" s="3" t="s">
        <v>40</v>
      </c>
      <c r="D17" s="3" t="s">
        <v>242</v>
      </c>
      <c r="E17" s="3" t="s">
        <v>21</v>
      </c>
      <c r="F17" s="14">
        <v>44229</v>
      </c>
      <c r="G17" s="14">
        <v>44230</v>
      </c>
      <c r="H17" s="3" t="s">
        <v>22</v>
      </c>
      <c r="I17" s="15" t="s">
        <v>981</v>
      </c>
      <c r="J17" s="3" t="s">
        <v>982</v>
      </c>
      <c r="K17" s="3" t="s">
        <v>983</v>
      </c>
      <c r="L17" s="3" t="s">
        <v>984</v>
      </c>
      <c r="M17" s="1"/>
      <c r="N17" s="1"/>
      <c r="O17" s="1"/>
      <c r="P17" s="1"/>
      <c r="Q17" s="1"/>
      <c r="R17" s="1"/>
      <c r="S17" s="1"/>
      <c r="T17" s="1"/>
      <c r="U17" s="1"/>
    </row>
    <row r="18" spans="1:21" ht="136" hidden="1">
      <c r="A18" s="9" t="s">
        <v>697</v>
      </c>
      <c r="B18" s="3" t="s">
        <v>985</v>
      </c>
      <c r="C18" s="3" t="s">
        <v>597</v>
      </c>
      <c r="D18" s="3"/>
      <c r="E18" s="3" t="s">
        <v>249</v>
      </c>
      <c r="F18" s="14">
        <v>44229</v>
      </c>
      <c r="G18" s="14"/>
      <c r="H18" s="3" t="s">
        <v>698</v>
      </c>
      <c r="I18" s="15" t="s">
        <v>986</v>
      </c>
      <c r="J18" s="3"/>
      <c r="K18" s="3"/>
      <c r="L18" s="3" t="s">
        <v>987</v>
      </c>
      <c r="M18" s="1"/>
      <c r="N18" s="1"/>
      <c r="O18" s="1"/>
      <c r="P18" s="1"/>
      <c r="Q18" s="1"/>
      <c r="R18" s="1"/>
      <c r="S18" s="1"/>
      <c r="T18" s="1"/>
      <c r="U18" s="1"/>
    </row>
    <row r="19" spans="1:21" ht="102">
      <c r="A19" s="13" t="s">
        <v>699</v>
      </c>
      <c r="B19" s="3" t="s">
        <v>988</v>
      </c>
      <c r="C19" s="3" t="s">
        <v>577</v>
      </c>
      <c r="D19" s="3" t="s">
        <v>242</v>
      </c>
      <c r="E19" s="3" t="s">
        <v>21</v>
      </c>
      <c r="F19" s="14">
        <v>44229</v>
      </c>
      <c r="G19" s="14">
        <v>44230</v>
      </c>
      <c r="H19" s="3" t="s">
        <v>22</v>
      </c>
      <c r="I19" s="3" t="s">
        <v>989</v>
      </c>
      <c r="J19" s="3" t="s">
        <v>990</v>
      </c>
      <c r="K19" s="3" t="s">
        <v>991</v>
      </c>
      <c r="L19" s="15" t="s">
        <v>992</v>
      </c>
      <c r="M19" s="1"/>
      <c r="N19" s="1"/>
      <c r="O19" s="1"/>
      <c r="P19" s="1"/>
      <c r="Q19" s="1"/>
      <c r="R19" s="1"/>
      <c r="S19" s="1"/>
      <c r="T19" s="1"/>
      <c r="U19" s="1"/>
    </row>
    <row r="20" spans="1:21" ht="221" hidden="1">
      <c r="A20" s="9" t="s">
        <v>700</v>
      </c>
      <c r="B20" s="3" t="s">
        <v>701</v>
      </c>
      <c r="C20" s="3" t="s">
        <v>255</v>
      </c>
      <c r="D20" s="3" t="s">
        <v>308</v>
      </c>
      <c r="E20" s="3" t="s">
        <v>253</v>
      </c>
      <c r="F20" s="14">
        <v>44228</v>
      </c>
      <c r="G20" s="14">
        <v>44230</v>
      </c>
      <c r="H20" s="3" t="s">
        <v>250</v>
      </c>
      <c r="I20" s="15" t="s">
        <v>702</v>
      </c>
      <c r="J20" s="3" t="s">
        <v>806</v>
      </c>
      <c r="K20" s="15" t="s">
        <v>869</v>
      </c>
      <c r="L20" s="15" t="s">
        <v>807</v>
      </c>
      <c r="M20" s="1"/>
      <c r="N20" s="1"/>
      <c r="O20" s="1"/>
      <c r="P20" s="1"/>
      <c r="Q20" s="1"/>
      <c r="R20" s="1"/>
      <c r="S20" s="1"/>
      <c r="T20" s="1"/>
      <c r="U20" s="1"/>
    </row>
    <row r="21" spans="1:21" ht="68" hidden="1">
      <c r="A21" s="9" t="s">
        <v>336</v>
      </c>
      <c r="B21" s="3" t="s">
        <v>993</v>
      </c>
      <c r="C21" s="3" t="s">
        <v>255</v>
      </c>
      <c r="D21" s="3" t="s">
        <v>453</v>
      </c>
      <c r="E21" s="3" t="s">
        <v>253</v>
      </c>
      <c r="F21" s="14">
        <v>44224</v>
      </c>
      <c r="G21" s="14">
        <v>44224</v>
      </c>
      <c r="H21" s="3" t="s">
        <v>250</v>
      </c>
      <c r="I21" s="15" t="s">
        <v>994</v>
      </c>
      <c r="J21" s="15" t="s">
        <v>250</v>
      </c>
      <c r="K21" s="15" t="s">
        <v>995</v>
      </c>
      <c r="L21" s="15" t="s">
        <v>870</v>
      </c>
      <c r="M21" s="1"/>
      <c r="N21" s="1"/>
      <c r="O21" s="1"/>
      <c r="P21" s="1"/>
      <c r="Q21" s="1"/>
      <c r="R21" s="1"/>
      <c r="S21" s="1"/>
      <c r="T21" s="1"/>
      <c r="U21" s="1"/>
    </row>
    <row r="22" spans="1:21" ht="136" hidden="1">
      <c r="A22" s="9" t="s">
        <v>337</v>
      </c>
      <c r="B22" s="3" t="s">
        <v>996</v>
      </c>
      <c r="C22" s="3" t="s">
        <v>538</v>
      </c>
      <c r="D22" s="3" t="s">
        <v>300</v>
      </c>
      <c r="E22" s="3" t="s">
        <v>261</v>
      </c>
      <c r="F22" s="14">
        <v>44224</v>
      </c>
      <c r="G22" s="14"/>
      <c r="H22" s="15" t="s">
        <v>997</v>
      </c>
      <c r="I22" s="15" t="s">
        <v>998</v>
      </c>
      <c r="J22" s="15" t="s">
        <v>999</v>
      </c>
      <c r="K22" s="15" t="s">
        <v>704</v>
      </c>
      <c r="L22" s="3" t="s">
        <v>1000</v>
      </c>
      <c r="M22" s="1"/>
      <c r="N22" s="1"/>
      <c r="O22" s="1"/>
      <c r="P22" s="1"/>
      <c r="Q22" s="1"/>
      <c r="R22" s="1"/>
      <c r="S22" s="1"/>
      <c r="T22" s="1"/>
      <c r="U22" s="1"/>
    </row>
    <row r="23" spans="1:21">
      <c r="A23" s="13" t="s">
        <v>338</v>
      </c>
      <c r="B23" s="3" t="s">
        <v>1001</v>
      </c>
      <c r="C23" s="3" t="s">
        <v>577</v>
      </c>
      <c r="D23" s="3" t="s">
        <v>274</v>
      </c>
      <c r="E23" s="3" t="s">
        <v>21</v>
      </c>
      <c r="F23" s="14">
        <v>44224</v>
      </c>
      <c r="G23" s="14">
        <v>44224</v>
      </c>
      <c r="H23" s="3" t="s">
        <v>22</v>
      </c>
      <c r="I23" s="3" t="s">
        <v>1002</v>
      </c>
      <c r="J23" s="3" t="s">
        <v>22</v>
      </c>
      <c r="K23" s="3" t="s">
        <v>1003</v>
      </c>
      <c r="L23" s="3" t="s">
        <v>703</v>
      </c>
      <c r="M23" s="1"/>
      <c r="N23" s="1"/>
      <c r="O23" s="1"/>
      <c r="P23" s="1"/>
      <c r="Q23" s="1"/>
      <c r="R23" s="1"/>
      <c r="S23" s="1"/>
      <c r="T23" s="1"/>
      <c r="U23" s="1"/>
    </row>
    <row r="24" spans="1:21" ht="323" hidden="1">
      <c r="A24" s="9" t="s">
        <v>339</v>
      </c>
      <c r="B24" s="3" t="s">
        <v>1004</v>
      </c>
      <c r="C24" s="3" t="s">
        <v>252</v>
      </c>
      <c r="D24" s="3" t="s">
        <v>242</v>
      </c>
      <c r="E24" s="3" t="s">
        <v>253</v>
      </c>
      <c r="F24" s="14">
        <v>44223</v>
      </c>
      <c r="G24" s="14">
        <v>44228</v>
      </c>
      <c r="H24" s="3" t="s">
        <v>502</v>
      </c>
      <c r="I24" s="15" t="s">
        <v>1005</v>
      </c>
      <c r="J24" s="15" t="s">
        <v>808</v>
      </c>
      <c r="K24" s="15" t="s">
        <v>705</v>
      </c>
      <c r="L24" s="15" t="s">
        <v>809</v>
      </c>
      <c r="M24" s="1"/>
      <c r="N24" s="1"/>
      <c r="O24" s="1"/>
      <c r="P24" s="1"/>
      <c r="Q24" s="1"/>
      <c r="R24" s="1"/>
      <c r="S24" s="1"/>
      <c r="T24" s="1"/>
      <c r="U24" s="1"/>
    </row>
    <row r="25" spans="1:21" ht="85">
      <c r="A25" s="13" t="s">
        <v>340</v>
      </c>
      <c r="B25" s="3" t="s">
        <v>1006</v>
      </c>
      <c r="C25" s="3" t="s">
        <v>577</v>
      </c>
      <c r="D25" s="3" t="s">
        <v>242</v>
      </c>
      <c r="E25" s="3" t="s">
        <v>21</v>
      </c>
      <c r="F25" s="14">
        <v>44223</v>
      </c>
      <c r="G25" s="14">
        <v>44230</v>
      </c>
      <c r="H25" s="3" t="s">
        <v>22</v>
      </c>
      <c r="I25" s="15" t="s">
        <v>1007</v>
      </c>
      <c r="J25" s="3" t="s">
        <v>1008</v>
      </c>
      <c r="K25" s="15" t="s">
        <v>1009</v>
      </c>
      <c r="L25" s="3" t="s">
        <v>341</v>
      </c>
      <c r="M25" s="1"/>
      <c r="N25" s="1"/>
      <c r="O25" s="1"/>
      <c r="P25" s="1"/>
      <c r="Q25" s="1"/>
      <c r="R25" s="1"/>
      <c r="S25" s="1"/>
      <c r="T25" s="1"/>
      <c r="U25" s="1"/>
    </row>
    <row r="26" spans="1:21" ht="187">
      <c r="A26" s="13" t="s">
        <v>342</v>
      </c>
      <c r="B26" s="3" t="s">
        <v>1010</v>
      </c>
      <c r="C26" s="3" t="s">
        <v>40</v>
      </c>
      <c r="D26" s="3" t="s">
        <v>242</v>
      </c>
      <c r="E26" s="3" t="s">
        <v>21</v>
      </c>
      <c r="F26" s="14">
        <v>44223</v>
      </c>
      <c r="G26" s="14">
        <v>44230</v>
      </c>
      <c r="H26" s="3" t="s">
        <v>22</v>
      </c>
      <c r="I26" s="15" t="s">
        <v>1011</v>
      </c>
      <c r="J26" s="3" t="s">
        <v>1012</v>
      </c>
      <c r="K26" s="15" t="s">
        <v>1013</v>
      </c>
      <c r="L26" s="3" t="s">
        <v>341</v>
      </c>
      <c r="M26" s="1"/>
      <c r="N26" s="1"/>
      <c r="O26" s="1"/>
      <c r="P26" s="1"/>
      <c r="Q26" s="1"/>
      <c r="R26" s="1"/>
      <c r="S26" s="1"/>
      <c r="T26" s="1"/>
      <c r="U26" s="1"/>
    </row>
    <row r="27" spans="1:21" ht="238">
      <c r="A27" s="13" t="s">
        <v>343</v>
      </c>
      <c r="B27" s="3" t="s">
        <v>1014</v>
      </c>
      <c r="C27" s="3" t="s">
        <v>577</v>
      </c>
      <c r="D27" s="3" t="s">
        <v>240</v>
      </c>
      <c r="E27" s="3" t="s">
        <v>97</v>
      </c>
      <c r="F27" s="14">
        <v>44223</v>
      </c>
      <c r="G27" s="3"/>
      <c r="H27" s="3" t="s">
        <v>22</v>
      </c>
      <c r="I27" s="3" t="s">
        <v>1015</v>
      </c>
      <c r="J27" s="15" t="s">
        <v>1016</v>
      </c>
      <c r="K27" s="3"/>
      <c r="L27" s="3" t="s">
        <v>1017</v>
      </c>
      <c r="M27" s="1"/>
      <c r="N27" s="1"/>
      <c r="O27" s="1"/>
      <c r="P27" s="1"/>
      <c r="Q27" s="1"/>
      <c r="R27" s="1"/>
      <c r="S27" s="1"/>
      <c r="T27" s="1"/>
      <c r="U27" s="1"/>
    </row>
    <row r="28" spans="1:21" ht="119">
      <c r="A28" s="13" t="s">
        <v>344</v>
      </c>
      <c r="B28" s="3" t="s">
        <v>706</v>
      </c>
      <c r="C28" s="3" t="s">
        <v>58</v>
      </c>
      <c r="D28" s="3"/>
      <c r="E28" s="3" t="s">
        <v>20</v>
      </c>
      <c r="F28" s="14">
        <v>44223</v>
      </c>
      <c r="G28" s="3"/>
      <c r="H28" s="3" t="s">
        <v>707</v>
      </c>
      <c r="I28" s="15" t="s">
        <v>708</v>
      </c>
      <c r="J28" s="3"/>
      <c r="K28" s="3"/>
      <c r="L28" s="3"/>
      <c r="M28" s="1"/>
      <c r="N28" s="1"/>
      <c r="O28" s="1"/>
      <c r="P28" s="1"/>
      <c r="Q28" s="1"/>
      <c r="R28" s="1"/>
      <c r="S28" s="1"/>
      <c r="T28" s="1"/>
      <c r="U28" s="1"/>
    </row>
    <row r="29" spans="1:21" ht="272">
      <c r="A29" s="13" t="s">
        <v>345</v>
      </c>
      <c r="B29" s="3" t="s">
        <v>1018</v>
      </c>
      <c r="C29" s="3" t="s">
        <v>58</v>
      </c>
      <c r="D29" s="3"/>
      <c r="E29" s="3" t="s">
        <v>20</v>
      </c>
      <c r="F29" s="14">
        <v>44223</v>
      </c>
      <c r="G29" s="3"/>
      <c r="H29" s="3" t="s">
        <v>22</v>
      </c>
      <c r="I29" s="15" t="s">
        <v>1019</v>
      </c>
      <c r="J29" s="3"/>
      <c r="K29" s="3"/>
      <c r="L29" s="3"/>
      <c r="M29" s="1"/>
      <c r="N29" s="1"/>
      <c r="O29" s="1"/>
      <c r="P29" s="1"/>
      <c r="Q29" s="1"/>
      <c r="R29" s="1"/>
      <c r="S29" s="1"/>
      <c r="T29" s="1"/>
      <c r="U29" s="1"/>
    </row>
    <row r="30" spans="1:21" ht="170">
      <c r="A30" s="13" t="s">
        <v>346</v>
      </c>
      <c r="B30" s="3" t="s">
        <v>810</v>
      </c>
      <c r="C30" s="3" t="s">
        <v>58</v>
      </c>
      <c r="D30" s="3"/>
      <c r="E30" s="3" t="s">
        <v>20</v>
      </c>
      <c r="F30" s="14">
        <v>44223</v>
      </c>
      <c r="G30" s="3"/>
      <c r="H30" s="3" t="s">
        <v>22</v>
      </c>
      <c r="I30" s="15" t="s">
        <v>811</v>
      </c>
      <c r="J30" s="3"/>
      <c r="K30" s="3"/>
      <c r="L30" s="3"/>
      <c r="M30" s="1"/>
      <c r="N30" s="1"/>
      <c r="O30" s="1"/>
      <c r="P30" s="1"/>
      <c r="Q30" s="1"/>
      <c r="R30" s="1"/>
      <c r="S30" s="1"/>
      <c r="T30" s="1"/>
      <c r="U30" s="1"/>
    </row>
    <row r="31" spans="1:21" ht="119">
      <c r="A31" s="13" t="s">
        <v>283</v>
      </c>
      <c r="B31" s="3" t="s">
        <v>347</v>
      </c>
      <c r="C31" s="3" t="s">
        <v>42</v>
      </c>
      <c r="D31" s="3" t="s">
        <v>272</v>
      </c>
      <c r="E31" s="3" t="s">
        <v>21</v>
      </c>
      <c r="F31" s="14">
        <v>44223</v>
      </c>
      <c r="G31" s="14">
        <v>44223</v>
      </c>
      <c r="H31" s="3" t="s">
        <v>22</v>
      </c>
      <c r="I31" s="3" t="s">
        <v>348</v>
      </c>
      <c r="J31" s="15" t="s">
        <v>284</v>
      </c>
      <c r="K31" s="3" t="s">
        <v>349</v>
      </c>
      <c r="L31" s="3" t="s">
        <v>341</v>
      </c>
      <c r="M31" s="1"/>
      <c r="N31" s="1"/>
      <c r="O31" s="1"/>
      <c r="P31" s="1"/>
      <c r="Q31" s="1"/>
      <c r="R31" s="1"/>
      <c r="S31" s="1"/>
      <c r="T31" s="1"/>
      <c r="U31" s="1"/>
    </row>
    <row r="32" spans="1:21" ht="68">
      <c r="A32" s="13" t="s">
        <v>309</v>
      </c>
      <c r="B32" s="3" t="s">
        <v>812</v>
      </c>
      <c r="C32" s="3" t="s">
        <v>58</v>
      </c>
      <c r="D32" s="3" t="s">
        <v>269</v>
      </c>
      <c r="E32" s="3" t="s">
        <v>21</v>
      </c>
      <c r="F32" s="14">
        <v>44222</v>
      </c>
      <c r="G32" s="3"/>
      <c r="H32" s="3" t="s">
        <v>23</v>
      </c>
      <c r="I32" s="15" t="s">
        <v>813</v>
      </c>
      <c r="J32" s="3"/>
      <c r="K32" s="3"/>
      <c r="L32" s="3"/>
      <c r="M32" s="1"/>
      <c r="N32" s="1"/>
      <c r="O32" s="1"/>
      <c r="P32" s="1"/>
      <c r="Q32" s="1"/>
      <c r="R32" s="1"/>
      <c r="S32" s="1"/>
      <c r="T32" s="1"/>
      <c r="U32" s="1"/>
    </row>
    <row r="33" spans="1:21" ht="409.6">
      <c r="A33" s="13" t="s">
        <v>178</v>
      </c>
      <c r="B33" s="3" t="s">
        <v>743</v>
      </c>
      <c r="C33" s="3" t="s">
        <v>40</v>
      </c>
      <c r="D33" s="3" t="s">
        <v>242</v>
      </c>
      <c r="E33" s="3" t="s">
        <v>21</v>
      </c>
      <c r="F33" s="14">
        <v>44216</v>
      </c>
      <c r="G33" s="14">
        <v>44231</v>
      </c>
      <c r="H33" s="3" t="s">
        <v>22</v>
      </c>
      <c r="I33" s="15" t="s">
        <v>1020</v>
      </c>
      <c r="J33" s="3" t="s">
        <v>1021</v>
      </c>
      <c r="K33" s="3" t="s">
        <v>1022</v>
      </c>
      <c r="L33" s="15" t="s">
        <v>1023</v>
      </c>
      <c r="M33" s="1"/>
      <c r="N33" s="1"/>
      <c r="O33" s="1"/>
      <c r="P33" s="1"/>
      <c r="Q33" s="1"/>
      <c r="R33" s="1"/>
      <c r="S33" s="1"/>
      <c r="T33" s="1"/>
      <c r="U33" s="1"/>
    </row>
    <row r="34" spans="1:21" ht="119">
      <c r="A34" s="13" t="s">
        <v>179</v>
      </c>
      <c r="B34" s="3" t="s">
        <v>814</v>
      </c>
      <c r="C34" s="3" t="s">
        <v>40</v>
      </c>
      <c r="D34" s="3" t="s">
        <v>263</v>
      </c>
      <c r="E34" s="3" t="s">
        <v>21</v>
      </c>
      <c r="F34" s="14">
        <v>44215</v>
      </c>
      <c r="G34" s="14">
        <v>44217</v>
      </c>
      <c r="H34" s="3" t="s">
        <v>22</v>
      </c>
      <c r="I34" s="15" t="s">
        <v>180</v>
      </c>
      <c r="J34" s="3"/>
      <c r="K34" s="3"/>
      <c r="L34" s="3"/>
      <c r="M34" s="1"/>
      <c r="N34" s="1"/>
      <c r="O34" s="1"/>
      <c r="P34" s="1"/>
      <c r="Q34" s="1"/>
      <c r="R34" s="1"/>
      <c r="S34" s="1"/>
      <c r="T34" s="1"/>
      <c r="U34" s="1"/>
    </row>
    <row r="35" spans="1:21" ht="119">
      <c r="A35" s="13" t="s">
        <v>181</v>
      </c>
      <c r="B35" s="3" t="s">
        <v>709</v>
      </c>
      <c r="C35" s="3" t="s">
        <v>40</v>
      </c>
      <c r="D35" s="3" t="s">
        <v>272</v>
      </c>
      <c r="E35" s="3" t="s">
        <v>21</v>
      </c>
      <c r="F35" s="14">
        <v>44215</v>
      </c>
      <c r="G35" s="14">
        <v>44229</v>
      </c>
      <c r="H35" s="3" t="s">
        <v>36</v>
      </c>
      <c r="I35" s="15" t="s">
        <v>180</v>
      </c>
      <c r="J35" s="3" t="s">
        <v>710</v>
      </c>
      <c r="K35" s="3" t="s">
        <v>711</v>
      </c>
      <c r="L35" s="3" t="s">
        <v>712</v>
      </c>
      <c r="M35" s="1"/>
      <c r="N35" s="1"/>
      <c r="O35" s="1"/>
      <c r="P35" s="1"/>
      <c r="Q35" s="1"/>
      <c r="R35" s="1"/>
      <c r="S35" s="1"/>
      <c r="T35" s="1"/>
      <c r="U35" s="1"/>
    </row>
    <row r="36" spans="1:21" ht="372">
      <c r="A36" s="13" t="s">
        <v>182</v>
      </c>
      <c r="B36" s="3" t="s">
        <v>815</v>
      </c>
      <c r="C36" s="3" t="s">
        <v>40</v>
      </c>
      <c r="D36" s="3" t="s">
        <v>272</v>
      </c>
      <c r="E36" s="3" t="s">
        <v>21</v>
      </c>
      <c r="F36" s="14">
        <v>44216</v>
      </c>
      <c r="G36" s="14">
        <v>44229</v>
      </c>
      <c r="H36" s="3" t="s">
        <v>22</v>
      </c>
      <c r="I36" s="15" t="s">
        <v>816</v>
      </c>
      <c r="J36" s="15" t="s">
        <v>713</v>
      </c>
      <c r="K36" s="15" t="s">
        <v>714</v>
      </c>
      <c r="L36" s="15" t="s">
        <v>817</v>
      </c>
      <c r="M36" s="1"/>
      <c r="N36" s="1"/>
      <c r="O36" s="1"/>
      <c r="P36" s="1"/>
      <c r="Q36" s="1"/>
      <c r="R36" s="1"/>
      <c r="S36" s="1"/>
      <c r="T36" s="1"/>
      <c r="U36" s="1"/>
    </row>
    <row r="37" spans="1:21" ht="289">
      <c r="A37" s="13" t="s">
        <v>183</v>
      </c>
      <c r="B37" s="3" t="s">
        <v>715</v>
      </c>
      <c r="C37" s="3" t="s">
        <v>40</v>
      </c>
      <c r="D37" s="3" t="s">
        <v>716</v>
      </c>
      <c r="E37" s="3" t="s">
        <v>21</v>
      </c>
      <c r="F37" s="14">
        <v>44216</v>
      </c>
      <c r="G37" s="14">
        <v>44225</v>
      </c>
      <c r="H37" s="3" t="s">
        <v>22</v>
      </c>
      <c r="I37" s="15" t="s">
        <v>717</v>
      </c>
      <c r="J37" s="3" t="s">
        <v>718</v>
      </c>
      <c r="K37" s="15" t="s">
        <v>719</v>
      </c>
      <c r="L37" s="3" t="s">
        <v>720</v>
      </c>
      <c r="M37" s="1"/>
      <c r="N37" s="1"/>
      <c r="O37" s="1"/>
      <c r="P37" s="1"/>
      <c r="Q37" s="1"/>
      <c r="R37" s="1"/>
      <c r="S37" s="1"/>
      <c r="T37" s="1"/>
      <c r="U37" s="1"/>
    </row>
    <row r="38" spans="1:21" ht="187">
      <c r="A38" s="13" t="s">
        <v>184</v>
      </c>
      <c r="B38" s="3" t="s">
        <v>185</v>
      </c>
      <c r="C38" s="3" t="s">
        <v>40</v>
      </c>
      <c r="D38" s="3" t="s">
        <v>263</v>
      </c>
      <c r="E38" s="3" t="s">
        <v>21</v>
      </c>
      <c r="F38" s="14">
        <v>44215</v>
      </c>
      <c r="G38" s="14">
        <v>44217</v>
      </c>
      <c r="H38" s="3" t="s">
        <v>22</v>
      </c>
      <c r="I38" s="15" t="s">
        <v>186</v>
      </c>
      <c r="J38" s="3"/>
      <c r="K38" s="3"/>
      <c r="L38" s="3"/>
      <c r="M38" s="1"/>
      <c r="N38" s="1"/>
      <c r="O38" s="1"/>
      <c r="P38" s="1"/>
      <c r="Q38" s="1"/>
      <c r="R38" s="1"/>
      <c r="S38" s="1"/>
      <c r="T38" s="1"/>
      <c r="U38" s="1"/>
    </row>
    <row r="39" spans="1:21" ht="153">
      <c r="A39" s="13" t="s">
        <v>187</v>
      </c>
      <c r="B39" s="3" t="s">
        <v>721</v>
      </c>
      <c r="C39" s="3" t="s">
        <v>40</v>
      </c>
      <c r="D39" s="3" t="s">
        <v>272</v>
      </c>
      <c r="E39" s="3" t="s">
        <v>21</v>
      </c>
      <c r="F39" s="14">
        <v>44215</v>
      </c>
      <c r="G39" s="14">
        <v>44229</v>
      </c>
      <c r="H39" s="3" t="s">
        <v>36</v>
      </c>
      <c r="I39" s="15" t="s">
        <v>722</v>
      </c>
      <c r="J39" s="3" t="s">
        <v>710</v>
      </c>
      <c r="K39" s="15" t="s">
        <v>723</v>
      </c>
      <c r="L39" s="3" t="s">
        <v>724</v>
      </c>
      <c r="M39" s="1"/>
      <c r="N39" s="1"/>
      <c r="O39" s="1"/>
      <c r="P39" s="1"/>
      <c r="Q39" s="1"/>
      <c r="R39" s="1"/>
      <c r="S39" s="1"/>
      <c r="T39" s="1"/>
      <c r="U39" s="1"/>
    </row>
    <row r="40" spans="1:21" ht="409.6">
      <c r="A40" s="13" t="s">
        <v>188</v>
      </c>
      <c r="B40" s="3" t="s">
        <v>189</v>
      </c>
      <c r="C40" s="3" t="s">
        <v>130</v>
      </c>
      <c r="D40" s="3" t="s">
        <v>275</v>
      </c>
      <c r="E40" s="3" t="s">
        <v>21</v>
      </c>
      <c r="F40" s="14">
        <v>44215</v>
      </c>
      <c r="G40" s="14">
        <v>44216</v>
      </c>
      <c r="H40" s="3" t="s">
        <v>36</v>
      </c>
      <c r="I40" s="15" t="s">
        <v>190</v>
      </c>
      <c r="J40" s="15" t="s">
        <v>191</v>
      </c>
      <c r="K40" s="15" t="s">
        <v>192</v>
      </c>
      <c r="L40" s="3" t="s">
        <v>193</v>
      </c>
      <c r="M40" s="1"/>
      <c r="N40" s="1"/>
      <c r="O40" s="1"/>
      <c r="P40" s="1"/>
      <c r="Q40" s="1"/>
      <c r="R40" s="1"/>
      <c r="S40" s="1"/>
      <c r="T40" s="1"/>
      <c r="U40" s="1"/>
    </row>
    <row r="41" spans="1:21">
      <c r="A41" s="3"/>
      <c r="B41" s="3"/>
      <c r="C41" s="3"/>
      <c r="D41" s="3"/>
      <c r="E41" s="3"/>
      <c r="F41" s="3"/>
      <c r="G41" s="3"/>
      <c r="H41" s="3"/>
      <c r="I41" s="3"/>
      <c r="J41" s="3"/>
      <c r="K41" s="3"/>
      <c r="L41" s="3"/>
      <c r="M41" s="1"/>
      <c r="N41" s="1"/>
      <c r="O41" s="1"/>
      <c r="P41" s="1"/>
      <c r="Q41" s="1"/>
      <c r="R41" s="1"/>
      <c r="S41" s="1"/>
      <c r="T41" s="1"/>
      <c r="U41" s="1"/>
    </row>
    <row r="42" spans="1:21">
      <c r="I42"/>
      <c r="J42"/>
      <c r="K42"/>
    </row>
    <row r="43" spans="1:21">
      <c r="I43"/>
      <c r="J43"/>
      <c r="K43"/>
    </row>
    <row r="44" spans="1:21">
      <c r="I44"/>
      <c r="J44"/>
      <c r="K44"/>
    </row>
    <row r="45" spans="1:21">
      <c r="I45"/>
      <c r="J45"/>
      <c r="K45"/>
    </row>
    <row r="46" spans="1:21">
      <c r="I46"/>
      <c r="J46"/>
      <c r="K46"/>
    </row>
    <row r="47" spans="1:21">
      <c r="I47"/>
      <c r="J47"/>
      <c r="K47"/>
    </row>
    <row r="48" spans="1:21">
      <c r="I48"/>
      <c r="J48"/>
      <c r="K48"/>
    </row>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25" xr:uid="{59CD5CB7-5AC6-402E-B1EC-A9E6DDE0F57E}">
    <filterColumn colId="4">
      <filters>
        <filter val="完了"/>
      </filters>
    </filterColumn>
  </autoFilter>
  <mergeCells count="2">
    <mergeCell ref="B1:C1"/>
    <mergeCell ref="B2:C2"/>
  </mergeCells>
  <phoneticPr fontId="7"/>
  <hyperlinks>
    <hyperlink ref="A6" r:id="rId1" xr:uid="{C7C7E334-9500-4AAE-84E7-DCFD13F7F095}"/>
    <hyperlink ref="A7" r:id="rId2" xr:uid="{8A660B2B-50AC-4835-B518-1CCE09C110E5}"/>
    <hyperlink ref="A8" r:id="rId3" xr:uid="{6F6EF10F-A013-43A4-8CFD-ADBA5558FD47}"/>
    <hyperlink ref="A9" r:id="rId4" xr:uid="{18EDF6CB-1929-4D3A-8BF4-A465AD5CF9C0}"/>
    <hyperlink ref="A10" r:id="rId5" xr:uid="{3914FD68-2545-444E-8188-0B93AADF58EF}"/>
    <hyperlink ref="A11" r:id="rId6" xr:uid="{8AE55998-63B9-4CED-B5E4-F7FFDB7A4B40}"/>
    <hyperlink ref="A12" r:id="rId7" xr:uid="{6DFD43A7-29E8-4A14-9A66-DA24C1B895F0}"/>
    <hyperlink ref="A13" r:id="rId8" xr:uid="{CD849F5F-A0FD-4E4B-90F3-045A13BD3953}"/>
    <hyperlink ref="A14" r:id="rId9" xr:uid="{DA704D48-2F8B-4686-838F-669D6B1BA028}"/>
    <hyperlink ref="A15" r:id="rId10" xr:uid="{1AC21C14-367D-4032-968C-3927582839CB}"/>
    <hyperlink ref="A18" r:id="rId11" xr:uid="{3D003765-6872-419C-BF16-6DF00BE8C70B}"/>
    <hyperlink ref="A20" r:id="rId12" xr:uid="{06156D08-C250-4F0A-9F81-B993E2D7972B}"/>
    <hyperlink ref="A21" r:id="rId13" xr:uid="{837900E6-B9CA-4B79-BC2A-3860C7868A34}"/>
    <hyperlink ref="A22" r:id="rId14" xr:uid="{C7EAA22C-5729-4D24-B821-07E83099A463}"/>
    <hyperlink ref="A24" r:id="rId15" xr:uid="{81BC9E9C-824E-4B6B-AC24-4373425AB32C}"/>
    <hyperlink ref="A16" r:id="rId16" xr:uid="{F91EE036-C0D5-4D07-A240-0D442D060174}"/>
    <hyperlink ref="A17" r:id="rId17" xr:uid="{5E5C0374-AD64-4EA1-BD3E-8FDC1C2C7FD0}"/>
    <hyperlink ref="A19" r:id="rId18" xr:uid="{F0C829DB-8A0D-4CB7-8EB5-EFB5CBE74B1F}"/>
    <hyperlink ref="A23" r:id="rId19" xr:uid="{655C383F-3818-4C7B-A5FC-698C7177891B}"/>
    <hyperlink ref="A25" r:id="rId20" xr:uid="{04F686A8-DA01-472C-AFEB-6B4AF4EE66F2}"/>
    <hyperlink ref="A26" r:id="rId21" xr:uid="{CE369FA1-B941-4B69-B4CC-9118789112DD}"/>
    <hyperlink ref="A27" r:id="rId22" xr:uid="{EF5E0BE1-7F4A-4E36-B7A7-25278EC23AAB}"/>
    <hyperlink ref="A28" r:id="rId23" xr:uid="{DC72866F-65C0-400F-8B2A-D6818F8B9C52}"/>
    <hyperlink ref="A29" r:id="rId24" xr:uid="{4D830543-C344-43CF-87FC-26DA2A9931B9}"/>
    <hyperlink ref="A30" r:id="rId25" xr:uid="{F202DC1F-01AE-44A2-83E2-2E69C5C861C1}"/>
    <hyperlink ref="A31" r:id="rId26" xr:uid="{D154D124-8362-467E-9E8F-97E2CFDBD9F8}"/>
    <hyperlink ref="A32" r:id="rId27" xr:uid="{3A9C51BD-8006-4147-82D8-EE14CAF40839}"/>
    <hyperlink ref="A33" r:id="rId28" xr:uid="{B41F1F4A-533B-4FDF-8DB8-7A58575B0D1B}"/>
    <hyperlink ref="A34" r:id="rId29" xr:uid="{D621D047-2A98-48BB-BC31-C255BDA634FE}"/>
    <hyperlink ref="A35" r:id="rId30" xr:uid="{514228FA-7A8C-40B4-BA65-DCF9B232FF02}"/>
    <hyperlink ref="A36" r:id="rId31" xr:uid="{6808B2BB-B745-4730-959C-DEE943663B28}"/>
    <hyperlink ref="A37" r:id="rId32" xr:uid="{066B2BC0-9C3E-4E76-86B2-03CBD42FFB71}"/>
    <hyperlink ref="A38" r:id="rId33" xr:uid="{CA55A3BE-4A5F-4440-9D88-621834C8730F}"/>
    <hyperlink ref="A39" r:id="rId34" xr:uid="{BFD0DDC0-444A-4A9A-80B8-2341B01E14A5}"/>
    <hyperlink ref="A40" r:id="rId35" xr:uid="{90549002-49EF-4128-B979-532D1CD666E7}"/>
  </hyperlinks>
  <pageMargins left="0.7" right="0.7" top="0.75" bottom="0.75" header="0.3" footer="0.3"/>
  <pageSetup paperSize="9" orientation="portrait" r:id="rId36"/>
  <drawing r:id="rId37"/>
  <legacyDrawing r:id="rId38"/>
  <mc:AlternateContent xmlns:mc="http://schemas.openxmlformats.org/markup-compatibility/2006">
    <mc:Choice Requires="x14">
      <controls>
        <mc:AlternateContent xmlns:mc="http://schemas.openxmlformats.org/markup-compatibility/2006">
          <mc:Choice Requires="x14">
            <control shapeId="20481" r:id="rId39"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D36" sqref="D36"/>
    </sheetView>
  </sheetViews>
  <sheetFormatPr baseColWidth="10" defaultColWidth="9" defaultRowHeight="16"/>
  <cols>
    <col min="1" max="1" width="2" style="1" customWidth="1"/>
    <col min="2" max="2" width="21.6640625" style="1" bestFit="1" customWidth="1"/>
    <col min="3" max="3" width="10.33203125" style="1" customWidth="1"/>
    <col min="4" max="4" width="49.83203125" style="1" bestFit="1" customWidth="1"/>
    <col min="5" max="5" width="14.5" style="1" customWidth="1"/>
    <col min="6" max="16384" width="9" style="1"/>
  </cols>
  <sheetData>
    <row r="1" spans="2:5" ht="18">
      <c r="B1" s="5"/>
    </row>
    <row r="3" spans="2:5">
      <c r="B3" s="8" t="s">
        <v>9</v>
      </c>
      <c r="C3" s="4" t="s">
        <v>1</v>
      </c>
      <c r="D3" s="4" t="s">
        <v>3</v>
      </c>
      <c r="E3" s="4" t="s">
        <v>2</v>
      </c>
    </row>
    <row r="4" spans="2:5" ht="18">
      <c r="B4" s="3" t="s">
        <v>26</v>
      </c>
      <c r="C4" s="9" t="s">
        <v>7</v>
      </c>
      <c r="D4" s="3" t="s">
        <v>52</v>
      </c>
      <c r="E4" s="3">
        <v>10597942</v>
      </c>
    </row>
    <row r="5" spans="2:5" ht="18">
      <c r="B5" s="3" t="s">
        <v>49</v>
      </c>
      <c r="C5" s="9" t="s">
        <v>7</v>
      </c>
      <c r="D5" s="3" t="s">
        <v>54</v>
      </c>
      <c r="E5" s="3">
        <v>10929022</v>
      </c>
    </row>
    <row r="6" spans="2:5" ht="18">
      <c r="B6" s="3" t="s">
        <v>50</v>
      </c>
      <c r="C6" s="9" t="s">
        <v>7</v>
      </c>
      <c r="D6" s="3" t="s">
        <v>55</v>
      </c>
      <c r="E6" s="3">
        <v>10971683</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7"/>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101600</xdr:rowOff>
                  </from>
                  <to>
                    <xdr:col>2</xdr:col>
                    <xdr:colOff>114300</xdr:colOff>
                    <xdr:row>1</xdr:row>
                    <xdr:rowOff>139700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baseColWidth="10" defaultColWidth="9" defaultRowHeight="16"/>
  <cols>
    <col min="1" max="2" width="7.5" style="1" hidden="1" customWidth="1"/>
    <col min="3" max="3" width="14.6640625" style="1" hidden="1" customWidth="1"/>
    <col min="4" max="4" width="0" style="1" hidden="1" customWidth="1"/>
    <col min="5" max="5" width="15.33203125" style="1" customWidth="1"/>
    <col min="6" max="6" width="63.1640625" style="1" bestFit="1" customWidth="1"/>
    <col min="7" max="16384" width="9" style="1"/>
  </cols>
  <sheetData>
    <row r="1" spans="5:6">
      <c r="E1" s="7" t="s">
        <v>0</v>
      </c>
      <c r="F1" s="2" t="s">
        <v>24</v>
      </c>
    </row>
    <row r="2" spans="5:6" ht="18">
      <c r="E2" s="7" t="s">
        <v>6</v>
      </c>
      <c r="F2" s="6" t="s">
        <v>5</v>
      </c>
    </row>
    <row r="3" spans="5:6" ht="18">
      <c r="E3" s="7" t="s">
        <v>4</v>
      </c>
      <c r="F3" s="6" t="s">
        <v>10</v>
      </c>
    </row>
  </sheetData>
  <phoneticPr fontId="7"/>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10</vt:i4>
      </vt:variant>
    </vt:vector>
  </HeadingPairs>
  <TitlesOfParts>
    <vt:vector size="10" baseType="lpstr">
      <vt:lpstr>報告用</vt:lpstr>
      <vt:lpstr>発生・消化曲線</vt:lpstr>
      <vt:lpstr>ステータス</vt:lpstr>
      <vt:lpstr>消化原因</vt:lpstr>
      <vt:lpstr>担当別消化数</vt:lpstr>
      <vt:lpstr>旧サマリ</vt:lpstr>
      <vt:lpstr>SP1～SP5</vt:lpstr>
      <vt:lpstr>SP6</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木部</cp:lastModifiedBy>
  <dcterms:created xsi:type="dcterms:W3CDTF">2015-06-05T18:19:34Z</dcterms:created>
  <dcterms:modified xsi:type="dcterms:W3CDTF">2021-02-04T09:58:19Z</dcterms:modified>
</cp:coreProperties>
</file>