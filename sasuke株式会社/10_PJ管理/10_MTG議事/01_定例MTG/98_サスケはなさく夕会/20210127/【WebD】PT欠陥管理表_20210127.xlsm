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11" codeName="{6BE1CDB9-6C1C-A5B6-3FC1-E231EC3C600E}"/>
  <workbookPr codeName="ThisWorkbook"/>
  <mc:AlternateContent xmlns:mc="http://schemas.openxmlformats.org/markup-compatibility/2006">
    <mc:Choice Requires="x15">
      <x15ac:absPath xmlns:x15ac="http://schemas.microsoft.com/office/spreadsheetml/2010/11/ac" url="/Users/k.kibe/Desktop/"/>
    </mc:Choice>
  </mc:AlternateContent>
  <xr:revisionPtr revIDLastSave="0" documentId="13_ncr:1_{BAE94636-0320-D94D-9FD6-4C147D636944}" xr6:coauthVersionLast="46" xr6:coauthVersionMax="46" xr10:uidLastSave="{00000000-0000-0000-0000-000000000000}"/>
  <bookViews>
    <workbookView xWindow="33600" yWindow="460" windowWidth="29040" windowHeight="16440" xr2:uid="{00000000-000D-0000-FFFF-FFFF00000000}"/>
  </bookViews>
  <sheets>
    <sheet name="報告用" sheetId="16" r:id="rId1"/>
    <sheet name="発生・消化曲線" sheetId="15" r:id="rId2"/>
    <sheet name="ステータス" sheetId="13" r:id="rId3"/>
    <sheet name="消化原因" sheetId="17" r:id="rId4"/>
    <sheet name="担当別消化数" sheetId="14" r:id="rId5"/>
    <sheet name="旧サマリ" sheetId="12" state="hidden" r:id="rId6"/>
    <sheet name="SP1～SP5" sheetId="9" r:id="rId7"/>
    <sheet name="SP6" sheetId="10" r:id="rId8"/>
    <sheet name="優先度低" sheetId="11" r:id="rId9"/>
    <sheet name="親課題リスト" sheetId="6" state="hidden" r:id="rId10"/>
    <sheet name="設定" sheetId="1" r:id="rId11"/>
  </sheets>
  <functionGroups builtInGroupCount="19"/>
  <definedNames>
    <definedName name="_xlnm._FilterDatabase" localSheetId="6" hidden="1">'SP1～SP5'!$A$5:$V$141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15" l="1"/>
  <c r="B9" i="17"/>
  <c r="B8" i="17"/>
  <c r="B7" i="17"/>
  <c r="B6" i="17"/>
  <c r="B5" i="17"/>
  <c r="B4" i="17"/>
  <c r="B3" i="17"/>
  <c r="B2" i="17"/>
  <c r="D25" i="15"/>
  <c r="AB18" i="15"/>
  <c r="AA18" i="15"/>
  <c r="Z18" i="15"/>
  <c r="Y18" i="15"/>
  <c r="X18" i="15"/>
  <c r="W18" i="15"/>
  <c r="V18" i="15"/>
  <c r="U18" i="15"/>
  <c r="T18" i="15"/>
  <c r="S18" i="15"/>
  <c r="R18" i="15"/>
  <c r="Q18" i="15"/>
  <c r="P18" i="15"/>
  <c r="O18" i="15"/>
  <c r="N18" i="15"/>
  <c r="M18" i="15"/>
  <c r="L18" i="15"/>
  <c r="K18" i="15"/>
  <c r="J18" i="15"/>
  <c r="I18" i="15"/>
  <c r="H18" i="15"/>
  <c r="G18" i="15"/>
  <c r="F18" i="15"/>
  <c r="E18" i="15"/>
  <c r="D18" i="15"/>
  <c r="C18" i="15"/>
  <c r="B18" i="15"/>
  <c r="AB17" i="15"/>
  <c r="AA17" i="15"/>
  <c r="Z17" i="15"/>
  <c r="Y17" i="15"/>
  <c r="X17" i="15"/>
  <c r="W17" i="15"/>
  <c r="V17" i="15"/>
  <c r="U17" i="15"/>
  <c r="T17" i="15"/>
  <c r="S17" i="15"/>
  <c r="R17" i="15"/>
  <c r="Q17" i="15"/>
  <c r="P17" i="15"/>
  <c r="O17" i="15"/>
  <c r="N17" i="15"/>
  <c r="M17" i="15"/>
  <c r="L17" i="15"/>
  <c r="K17" i="15"/>
  <c r="J17" i="15"/>
  <c r="I17" i="15"/>
  <c r="H17" i="15"/>
  <c r="G17" i="15"/>
  <c r="F17" i="15"/>
  <c r="E17" i="15"/>
  <c r="D17" i="15"/>
  <c r="C17" i="15"/>
  <c r="B17" i="15"/>
  <c r="AB16" i="15"/>
  <c r="AA16" i="15"/>
  <c r="Z16" i="15"/>
  <c r="Y16" i="15"/>
  <c r="X16" i="15"/>
  <c r="W16" i="15"/>
  <c r="V16" i="15"/>
  <c r="U16" i="15"/>
  <c r="T16" i="15"/>
  <c r="S16" i="15"/>
  <c r="R16" i="15"/>
  <c r="Q16" i="15"/>
  <c r="P16" i="15"/>
  <c r="O16" i="15"/>
  <c r="N16" i="15"/>
  <c r="M16" i="15"/>
  <c r="L16" i="15"/>
  <c r="K16" i="15"/>
  <c r="J16" i="15"/>
  <c r="I16" i="15"/>
  <c r="H16" i="15"/>
  <c r="G16" i="15"/>
  <c r="F16" i="15"/>
  <c r="E16" i="15"/>
  <c r="D16" i="15"/>
  <c r="C16" i="15"/>
  <c r="B16" i="15"/>
  <c r="AB15" i="15"/>
  <c r="AA15" i="15"/>
  <c r="Z15" i="15"/>
  <c r="Y15" i="15"/>
  <c r="X15" i="15"/>
  <c r="W15" i="15"/>
  <c r="V15" i="15"/>
  <c r="U15" i="15"/>
  <c r="T15" i="15"/>
  <c r="S15" i="15"/>
  <c r="R15" i="15"/>
  <c r="Q15" i="15"/>
  <c r="P15" i="15"/>
  <c r="O15" i="15"/>
  <c r="N15" i="15"/>
  <c r="M15" i="15"/>
  <c r="L15" i="15"/>
  <c r="K15" i="15"/>
  <c r="J15" i="15"/>
  <c r="I15" i="15"/>
  <c r="H15" i="15"/>
  <c r="G15" i="15"/>
  <c r="F15" i="15"/>
  <c r="E15" i="15"/>
  <c r="D15" i="15"/>
  <c r="AB27" i="15"/>
  <c r="AA27" i="15"/>
  <c r="Z27" i="15"/>
  <c r="Y27" i="15"/>
  <c r="X27" i="15"/>
  <c r="W27" i="15"/>
  <c r="V27" i="15"/>
  <c r="U27" i="15"/>
  <c r="T27" i="15"/>
  <c r="S27" i="15"/>
  <c r="R27" i="15"/>
  <c r="Q27" i="15"/>
  <c r="P27" i="15"/>
  <c r="O27" i="15"/>
  <c r="N27" i="15"/>
  <c r="M27" i="15"/>
  <c r="L27" i="15"/>
  <c r="K27" i="15"/>
  <c r="J27" i="15"/>
  <c r="I27" i="15"/>
  <c r="H27" i="15"/>
  <c r="G27" i="15"/>
  <c r="F27" i="15"/>
  <c r="E27" i="15"/>
  <c r="D27" i="15"/>
  <c r="C27" i="15"/>
  <c r="B27" i="15"/>
  <c r="AB26" i="15"/>
  <c r="AA26" i="15"/>
  <c r="Z26" i="15"/>
  <c r="Y26" i="15"/>
  <c r="X26" i="15"/>
  <c r="W26" i="15"/>
  <c r="V26" i="15"/>
  <c r="U26" i="15"/>
  <c r="T26" i="15"/>
  <c r="S26" i="15"/>
  <c r="R26" i="15"/>
  <c r="Q26" i="15"/>
  <c r="P26" i="15"/>
  <c r="O26" i="15"/>
  <c r="N26" i="15"/>
  <c r="M26" i="15"/>
  <c r="L26" i="15"/>
  <c r="K26" i="15"/>
  <c r="J26" i="15"/>
  <c r="I26" i="15"/>
  <c r="H26" i="15"/>
  <c r="G26" i="15"/>
  <c r="F26" i="15"/>
  <c r="E26" i="15"/>
  <c r="D26" i="15"/>
  <c r="C26" i="15"/>
  <c r="B26" i="15"/>
  <c r="AB25" i="15"/>
  <c r="AA25" i="15"/>
  <c r="Z25" i="15"/>
  <c r="Y25" i="15"/>
  <c r="X25" i="15"/>
  <c r="W25" i="15"/>
  <c r="V25" i="15"/>
  <c r="U25" i="15"/>
  <c r="T25" i="15"/>
  <c r="S25" i="15"/>
  <c r="S28" i="15" s="1"/>
  <c r="R25" i="15"/>
  <c r="Q25" i="15"/>
  <c r="P25" i="15"/>
  <c r="O25" i="15"/>
  <c r="O28" i="15" s="1"/>
  <c r="N25" i="15"/>
  <c r="M25" i="15"/>
  <c r="L25" i="15"/>
  <c r="K25" i="15"/>
  <c r="J25" i="15"/>
  <c r="I25" i="15"/>
  <c r="H25" i="15"/>
  <c r="G25" i="15"/>
  <c r="F25" i="15"/>
  <c r="E25" i="15"/>
  <c r="C25" i="15"/>
  <c r="B25" i="15"/>
  <c r="AB24" i="15"/>
  <c r="AA24" i="15"/>
  <c r="Z24" i="15"/>
  <c r="Y24" i="15"/>
  <c r="X24" i="15"/>
  <c r="W24" i="15"/>
  <c r="V24" i="15"/>
  <c r="U24" i="15"/>
  <c r="T24" i="15"/>
  <c r="S24" i="15"/>
  <c r="R24" i="15"/>
  <c r="Q24" i="15"/>
  <c r="P24" i="15"/>
  <c r="O24" i="15"/>
  <c r="N24" i="15"/>
  <c r="M24" i="15"/>
  <c r="L24" i="15"/>
  <c r="K24" i="15"/>
  <c r="J24" i="15"/>
  <c r="I24" i="15"/>
  <c r="H24" i="15"/>
  <c r="G24" i="15"/>
  <c r="F24" i="15"/>
  <c r="E24" i="15"/>
  <c r="D24" i="15"/>
  <c r="B6" i="13"/>
  <c r="D17" i="14"/>
  <c r="D16" i="14"/>
  <c r="D15" i="14"/>
  <c r="D14" i="14"/>
  <c r="D13" i="14"/>
  <c r="D12" i="14"/>
  <c r="D11" i="14"/>
  <c r="D10" i="14"/>
  <c r="D9" i="14"/>
  <c r="D8" i="14"/>
  <c r="D7" i="14"/>
  <c r="D6" i="14"/>
  <c r="D5" i="14"/>
  <c r="D4" i="14"/>
  <c r="D3" i="14"/>
  <c r="D2" i="14"/>
  <c r="B3" i="14"/>
  <c r="B4" i="14"/>
  <c r="B5" i="14"/>
  <c r="B6" i="14"/>
  <c r="B7" i="14"/>
  <c r="B8" i="14"/>
  <c r="B9" i="14"/>
  <c r="B10" i="14"/>
  <c r="B11" i="14"/>
  <c r="B12" i="14"/>
  <c r="B13" i="14"/>
  <c r="B14" i="14"/>
  <c r="B15" i="14"/>
  <c r="B16" i="14"/>
  <c r="B17" i="14"/>
  <c r="C3" i="14"/>
  <c r="C4" i="14"/>
  <c r="C5" i="14"/>
  <c r="C6" i="14"/>
  <c r="C7" i="14"/>
  <c r="C8" i="14"/>
  <c r="C9" i="14"/>
  <c r="C10" i="14"/>
  <c r="C11" i="14"/>
  <c r="C12" i="14"/>
  <c r="C13" i="14"/>
  <c r="C14" i="14"/>
  <c r="C15" i="14"/>
  <c r="C16" i="14"/>
  <c r="C17" i="14"/>
  <c r="C2" i="14"/>
  <c r="B2" i="14"/>
  <c r="D6" i="13"/>
  <c r="D5" i="13"/>
  <c r="D4" i="13"/>
  <c r="D3" i="13"/>
  <c r="C6" i="13"/>
  <c r="C5" i="13"/>
  <c r="C4" i="13"/>
  <c r="C3" i="13"/>
  <c r="B3" i="13"/>
  <c r="B4" i="13"/>
  <c r="B5" i="13"/>
  <c r="D5" i="12"/>
  <c r="E5" i="12" s="1"/>
  <c r="F5" i="12" s="1"/>
  <c r="G5" i="12" s="1"/>
  <c r="H5" i="12" s="1"/>
  <c r="I5" i="12" s="1"/>
  <c r="J5" i="12" s="1"/>
  <c r="K5" i="12" s="1"/>
  <c r="L5" i="12" s="1"/>
  <c r="M5" i="12" s="1"/>
  <c r="E7" i="12"/>
  <c r="E12" i="12" s="1"/>
  <c r="C11" i="12"/>
  <c r="D11" i="12"/>
  <c r="D24" i="12" s="1"/>
  <c r="E11" i="12"/>
  <c r="E24" i="12" s="1"/>
  <c r="F11" i="12"/>
  <c r="F24" i="12" s="1"/>
  <c r="C12" i="12"/>
  <c r="D12" i="12"/>
  <c r="F12" i="12"/>
  <c r="F13" i="12" s="1"/>
  <c r="D14" i="12"/>
  <c r="E14" i="12"/>
  <c r="F14" i="12"/>
  <c r="G24" i="12"/>
  <c r="H24" i="12"/>
  <c r="I24" i="12"/>
  <c r="J24" i="12"/>
  <c r="K24" i="12"/>
  <c r="L24" i="12"/>
  <c r="M24" i="12"/>
  <c r="N24" i="12"/>
  <c r="O24" i="12"/>
  <c r="M28" i="15" l="1"/>
  <c r="N28" i="15"/>
  <c r="R28" i="15"/>
  <c r="V28" i="15"/>
  <c r="Z28" i="15"/>
  <c r="P28" i="15"/>
  <c r="X28" i="15"/>
  <c r="AB28" i="15"/>
  <c r="Q28" i="15"/>
  <c r="U28" i="15"/>
  <c r="Y28" i="15"/>
  <c r="W28" i="15"/>
  <c r="AA28" i="15"/>
  <c r="E28" i="15"/>
  <c r="G28" i="15"/>
  <c r="T28" i="15"/>
  <c r="F28" i="15"/>
  <c r="H28" i="15"/>
  <c r="I28" i="15"/>
  <c r="J28" i="15"/>
  <c r="B28" i="15"/>
  <c r="B29" i="15" s="1"/>
  <c r="K28" i="15"/>
  <c r="C28" i="15"/>
  <c r="L28" i="15"/>
  <c r="J19" i="15"/>
  <c r="R19" i="15"/>
  <c r="Z19" i="15"/>
  <c r="B18" i="14"/>
  <c r="C5" i="17"/>
  <c r="D5" i="17" s="1"/>
  <c r="C6" i="17"/>
  <c r="D6" i="17" s="1"/>
  <c r="C7" i="17"/>
  <c r="D7" i="17" s="1"/>
  <c r="C8" i="17"/>
  <c r="D8" i="17" s="1"/>
  <c r="C9" i="17"/>
  <c r="D9" i="17" s="1"/>
  <c r="C2" i="17"/>
  <c r="C3" i="17"/>
  <c r="D3" i="17" s="1"/>
  <c r="C4" i="17"/>
  <c r="D4" i="17" s="1"/>
  <c r="B19" i="15"/>
  <c r="B20" i="15" s="1"/>
  <c r="D28" i="15"/>
  <c r="B10" i="17"/>
  <c r="C19" i="15"/>
  <c r="K19" i="15"/>
  <c r="S19" i="15"/>
  <c r="AA19" i="15"/>
  <c r="D19" i="15"/>
  <c r="L19" i="15"/>
  <c r="T19" i="15"/>
  <c r="AB19" i="15"/>
  <c r="E19" i="15"/>
  <c r="M19" i="15"/>
  <c r="U19" i="15"/>
  <c r="F19" i="15"/>
  <c r="N19" i="15"/>
  <c r="V19" i="15"/>
  <c r="G19" i="15"/>
  <c r="O19" i="15"/>
  <c r="W19" i="15"/>
  <c r="H19" i="15"/>
  <c r="P19" i="15"/>
  <c r="X19" i="15"/>
  <c r="I19" i="15"/>
  <c r="Q19" i="15"/>
  <c r="Y19" i="15"/>
  <c r="D13" i="12"/>
  <c r="D15" i="12" s="1"/>
  <c r="D21" i="12" s="1"/>
  <c r="E13" i="12"/>
  <c r="E15" i="12" s="1"/>
  <c r="E21" i="12" s="1"/>
  <c r="F15" i="12"/>
  <c r="F21" i="12" s="1"/>
  <c r="D18" i="14"/>
  <c r="C18" i="14"/>
  <c r="E17" i="14"/>
  <c r="E9" i="14"/>
  <c r="E16" i="14"/>
  <c r="E8" i="14"/>
  <c r="E15" i="14"/>
  <c r="E7" i="14"/>
  <c r="E14" i="14"/>
  <c r="E6" i="14"/>
  <c r="E13" i="14"/>
  <c r="E5" i="14"/>
  <c r="E12" i="14"/>
  <c r="E4" i="14"/>
  <c r="E11" i="14"/>
  <c r="E3" i="14"/>
  <c r="E10" i="14"/>
  <c r="E2" i="14"/>
  <c r="E6" i="13"/>
  <c r="E5" i="13"/>
  <c r="E4" i="13"/>
  <c r="E3" i="13"/>
  <c r="D7" i="13"/>
  <c r="C7" i="13"/>
  <c r="B4" i="15" l="1"/>
  <c r="B3" i="15"/>
  <c r="B5" i="15" s="1"/>
  <c r="B10" i="15"/>
  <c r="C29" i="15"/>
  <c r="D29" i="15" s="1"/>
  <c r="E29" i="15" s="1"/>
  <c r="F29" i="15" s="1"/>
  <c r="G29" i="15" s="1"/>
  <c r="H29" i="15" s="1"/>
  <c r="I29" i="15" s="1"/>
  <c r="J29" i="15" s="1"/>
  <c r="K29" i="15" s="1"/>
  <c r="L29" i="15" s="1"/>
  <c r="M29" i="15" s="1"/>
  <c r="N29" i="15" s="1"/>
  <c r="O29" i="15" s="1"/>
  <c r="P29" i="15" s="1"/>
  <c r="Q29" i="15" s="1"/>
  <c r="R29" i="15" s="1"/>
  <c r="S29" i="15" s="1"/>
  <c r="T29" i="15" s="1"/>
  <c r="U29" i="15" s="1"/>
  <c r="V29" i="15" s="1"/>
  <c r="W29" i="15" s="1"/>
  <c r="X29" i="15" s="1"/>
  <c r="Y29" i="15" s="1"/>
  <c r="Z29" i="15" s="1"/>
  <c r="AA29" i="15" s="1"/>
  <c r="AB29" i="15" s="1"/>
  <c r="E9" i="17"/>
  <c r="B9" i="15"/>
  <c r="C10" i="17"/>
  <c r="D2" i="17"/>
  <c r="D10" i="17" s="1"/>
  <c r="E8" i="17"/>
  <c r="E6" i="17"/>
  <c r="E7" i="17"/>
  <c r="E5" i="17"/>
  <c r="E4" i="17"/>
  <c r="E3" i="17"/>
  <c r="F17" i="12"/>
  <c r="F18" i="12" s="1"/>
  <c r="D17" i="12"/>
  <c r="D18" i="12" s="1"/>
  <c r="E17" i="12"/>
  <c r="E18" i="12" s="1"/>
  <c r="C20" i="15"/>
  <c r="D20" i="15" s="1"/>
  <c r="E20" i="15" s="1"/>
  <c r="F20" i="15" s="1"/>
  <c r="G20" i="15" s="1"/>
  <c r="H20" i="15" s="1"/>
  <c r="I20" i="15" s="1"/>
  <c r="J20" i="15" s="1"/>
  <c r="K20" i="15" s="1"/>
  <c r="L20" i="15" s="1"/>
  <c r="M20" i="15" s="1"/>
  <c r="N20" i="15" s="1"/>
  <c r="O20" i="15" s="1"/>
  <c r="P20" i="15" s="1"/>
  <c r="Q20" i="15" s="1"/>
  <c r="R20" i="15" s="1"/>
  <c r="S20" i="15" s="1"/>
  <c r="T20" i="15" s="1"/>
  <c r="U20" i="15" s="1"/>
  <c r="V20" i="15" s="1"/>
  <c r="W20" i="15" s="1"/>
  <c r="X20" i="15" s="1"/>
  <c r="Y20" i="15" s="1"/>
  <c r="Z20" i="15" s="1"/>
  <c r="AA20" i="15" s="1"/>
  <c r="AB20" i="15" s="1"/>
  <c r="E18" i="14"/>
  <c r="E7" i="13"/>
  <c r="B7" i="13"/>
  <c r="E2" i="17" l="1"/>
  <c r="E10" i="17" s="1"/>
  <c r="B2" i="10"/>
  <c r="B2" i="9"/>
</calcChain>
</file>

<file path=xl/sharedStrings.xml><?xml version="1.0" encoding="utf-8"?>
<sst xmlns="http://schemas.openxmlformats.org/spreadsheetml/2006/main" count="1663" uniqueCount="960">
  <si>
    <t>個人 API Key</t>
    <rPh sb="0" eb="2">
      <t>コジン</t>
    </rPh>
    <phoneticPr fontId="3"/>
  </si>
  <si>
    <t>リンク</t>
    <phoneticPr fontId="3"/>
  </si>
  <si>
    <t>IssueID</t>
    <phoneticPr fontId="3"/>
  </si>
  <si>
    <t>タイトル</t>
    <phoneticPr fontId="3"/>
  </si>
  <si>
    <t>Backlog API URL</t>
    <phoneticPr fontId="3"/>
  </si>
  <si>
    <t>https://sasuke-fl.backlog.com/view/</t>
    <phoneticPr fontId="3"/>
  </si>
  <si>
    <t>Backlog URL</t>
    <phoneticPr fontId="3"/>
  </si>
  <si>
    <t>OPEN</t>
  </si>
  <si>
    <t>親課題</t>
    <rPh sb="0" eb="1">
      <t>オヤ</t>
    </rPh>
    <rPh sb="1" eb="3">
      <t>カダイ</t>
    </rPh>
    <phoneticPr fontId="3"/>
  </si>
  <si>
    <t>バックログID</t>
    <phoneticPr fontId="3"/>
  </si>
  <si>
    <t>https://sasuke-fl.backlog.com/api/v2/issues</t>
    <phoneticPr fontId="3"/>
  </si>
  <si>
    <t>backlog</t>
    <phoneticPr fontId="3"/>
  </si>
  <si>
    <t>現担当者</t>
    <rPh sb="0" eb="4">
      <t>ゲンタントウシャ</t>
    </rPh>
    <phoneticPr fontId="3"/>
  </si>
  <si>
    <t>ステータス</t>
    <phoneticPr fontId="3"/>
  </si>
  <si>
    <t>開始日</t>
    <rPh sb="0" eb="3">
      <t>カイシビ</t>
    </rPh>
    <phoneticPr fontId="3"/>
  </si>
  <si>
    <t>終了日</t>
    <rPh sb="0" eb="3">
      <t>シュウリョウビ</t>
    </rPh>
    <phoneticPr fontId="3"/>
  </si>
  <si>
    <t>事象内容</t>
    <rPh sb="0" eb="2">
      <t>ジショウ</t>
    </rPh>
    <rPh sb="2" eb="4">
      <t>ナイヨウ</t>
    </rPh>
    <phoneticPr fontId="3"/>
  </si>
  <si>
    <t>障害原因</t>
    <rPh sb="0" eb="2">
      <t>ショウガイ</t>
    </rPh>
    <rPh sb="2" eb="4">
      <t>ゲンイン</t>
    </rPh>
    <phoneticPr fontId="3"/>
  </si>
  <si>
    <t>対応内容</t>
    <rPh sb="0" eb="2">
      <t>タイオウ</t>
    </rPh>
    <rPh sb="2" eb="4">
      <t>ナイヨウ</t>
    </rPh>
    <phoneticPr fontId="3"/>
  </si>
  <si>
    <t>障害分類</t>
    <rPh sb="0" eb="2">
      <t>ショウガイ</t>
    </rPh>
    <rPh sb="2" eb="4">
      <t>ブンルイ</t>
    </rPh>
    <phoneticPr fontId="3"/>
  </si>
  <si>
    <t>未対応</t>
  </si>
  <si>
    <t>完了</t>
  </si>
  <si>
    <t>実装不備</t>
  </si>
  <si>
    <t>その他</t>
  </si>
  <si>
    <t xml:space="preserve">kz94UACQFS002bGiYmEjPb3lJHiLHOk1jig9Q1jtvOW2dk5OySaPDkWlOSAqoD9B </t>
    <phoneticPr fontId="3"/>
  </si>
  <si>
    <t>障害対象設計書</t>
    <phoneticPr fontId="3"/>
  </si>
  <si>
    <t>SASUKE_PROJ_H8739-511</t>
    <phoneticPr fontId="3"/>
  </si>
  <si>
    <t>SASUKE_PROJ_H8739-554</t>
  </si>
  <si>
    <t>【単体テスト・不具合】G0106 ご本人さま確認に関して画面 G0107個人情報入力画面からブラウザバックした際に進むボタンが非活性状態</t>
  </si>
  <si>
    <t>家塚晃慈</t>
  </si>
  <si>
    <t>進むボタンが非活性状態</t>
  </si>
  <si>
    <t>詳細設計書_G0106_ご本人さま確認に関して画面.xlsx</t>
  </si>
  <si>
    <t>SASUKE_PROJ_H8739-553</t>
  </si>
  <si>
    <t>【単体テスト・不具合】G0106 ご本人さま確認に関して画面 進むボタンを押下した際に二重押下防止の処理がなく、押下できてしまう</t>
  </si>
  <si>
    <t>二重押下防止の処理がなく、押下できてしまう</t>
  </si>
  <si>
    <t>詳細設計書_G0106_ご本人さま確認に関して画面</t>
  </si>
  <si>
    <t>SASUKE_PROJ_H8739-552</t>
  </si>
  <si>
    <t>中道信行</t>
  </si>
  <si>
    <t>SASUKE_PROJ_H8739-551</t>
  </si>
  <si>
    <t>【単体テスト・不具合】G0119_受取人・請求人入力画面_figmaとデザインが異なる</t>
  </si>
  <si>
    <t xml:space="preserve"> 
・ 受取人、指定代理請求人についてのリンクがない（以前の指定代理請求人について等のリンクのまま）
・保険者から見た続柄に説明文がない
・保険者からみた続柄に本人、その他の選択肢が存在する</t>
  </si>
  <si>
    <t>SASUKE_PROJ_H8739-548</t>
  </si>
  <si>
    <t>ー</t>
  </si>
  <si>
    <t>要調査</t>
  </si>
  <si>
    <t>SASUKE_PROJ_H8739-543</t>
  </si>
  <si>
    <t>【単体テスト・不具合】G0105_申込前確認画面_ヘッダー部の表示内容</t>
  </si>
  <si>
    <t>ヘッダー部に電話番号が表示されていない。(Figmaと差異がある)</t>
  </si>
  <si>
    <t>Figmaのデザイン変更が取り込まれていないため</t>
  </si>
  <si>
    <t>デザインを正規のものに変更</t>
  </si>
  <si>
    <t>SASUKE_PROJ_H8739-542</t>
  </si>
  <si>
    <t>【単体テスト・不具合】G0105_申込前確認画面_画面URLに差異有</t>
  </si>
  <si>
    <t>tm-s_teramoto</t>
  </si>
  <si>
    <t>SS設計不備</t>
  </si>
  <si>
    <t>詳細設計書_G0105_申込前確認画面.xlsx＞プロセス概要＞URLの表記と、実際のURLに差異が生じている
・詳細設計書→/estimate/before-entry
・実際のURI→/estimate/before-apply</t>
  </si>
  <si>
    <t>SS設計不備のため</t>
  </si>
  <si>
    <t>SS設計を正規のURLに修正</t>
  </si>
  <si>
    <t>SASUKE_PROJ_H8739-541</t>
  </si>
  <si>
    <t>【単体テスト・不具合】G0105_申込前確認画面_ブラウザバックで遷移してきたときの挙動</t>
  </si>
  <si>
    <t>読み込み時に、キャッシュを使用しており、javascriptが再実行されないため
(iOSの仕様という記事を散見)</t>
  </si>
  <si>
    <t>SASUKE_PROJ_H8739-534</t>
  </si>
  <si>
    <t>SASUKE_PROJ_H8739-529</t>
  </si>
  <si>
    <t>【単体テスト・不具合】Karriere\JsonDecoder\ClassBindings参照エラー</t>
  </si>
  <si>
    <t>inouchi</t>
  </si>
  <si>
    <t>use の記述漏れ</t>
  </si>
  <si>
    <t>use Karriere\JsonDecoder\ClassBindings;
を追記する</t>
  </si>
  <si>
    <t>SASUKE_PROJ_H8739-528</t>
  </si>
  <si>
    <t>【単体テスト・不具合】商品情報のドメインバリュークラスで存在しないクラスを継承している</t>
  </si>
  <si>
    <t>t.taguchi</t>
  </si>
  <si>
    <t>SASUKE_PROJ_H8739-527</t>
  </si>
  <si>
    <t>【単体テスト・不具合】告知情報事前確認画面_戻るボタン押下時にエラーが表示される</t>
  </si>
  <si>
    <t>TM森山</t>
  </si>
  <si>
    <t>SASUKE_PROJ_H8739-526</t>
  </si>
  <si>
    <t>SASUKE_PROJ_H8739-525</t>
  </si>
  <si>
    <t>SASUKE_PROJ_H8739-524</t>
  </si>
  <si>
    <t>【単体テスト・不具合】G0106 ご本人さま確認に関して画面 IE11でモーダルが表示されない</t>
  </si>
  <si>
    <t>ボタン押下時にモーダルが表示されない。
　　　・インターネット保険サービス利用規約ボタン
　　　・個人情報の取り扱いボタン
　　　・電磁的方法による交付ボタン</t>
  </si>
  <si>
    <t>SASUKE_PROJ_H8739-522</t>
  </si>
  <si>
    <t>SASUKE_PROJ_H8739-521</t>
  </si>
  <si>
    <t>SASUKE_PROJ_H8739-711</t>
    <phoneticPr fontId="3"/>
  </si>
  <si>
    <t>SASUKE_PROJ_H8739-756</t>
    <phoneticPr fontId="3"/>
  </si>
  <si>
    <t>【親課題】単体テストで発見された不具合・障害報告(SP1～SP5)</t>
  </si>
  <si>
    <t>【親課題】単体テストで発見された不具合・障害報告(SP1～SP5)</t>
    <phoneticPr fontId="3"/>
  </si>
  <si>
    <t>【親課題】単体テストで発見された不具合・障害報告(SP6)</t>
  </si>
  <si>
    <t>【親課題】単体テストで発見された横断対応(優先度低)</t>
  </si>
  <si>
    <t>【親課題】単体テストで発見された不具合・障害報告(SP6)</t>
    <phoneticPr fontId="3"/>
  </si>
  <si>
    <t>【親課題】単体テストで発見された横断対応(優先度低)</t>
    <phoneticPr fontId="3"/>
  </si>
  <si>
    <t>SP1～SP5</t>
    <phoneticPr fontId="3"/>
  </si>
  <si>
    <t>SASUKE_PROJ_H8739-817</t>
  </si>
  <si>
    <t>川村和英</t>
  </si>
  <si>
    <t>SASUKE_PROJ_H8739-810</t>
  </si>
  <si>
    <t>TBC</t>
  </si>
  <si>
    <t>SASUKE_PROJ_H8739-802</t>
  </si>
  <si>
    <t>SASUKE_PROJ_H8739-787</t>
  </si>
  <si>
    <t>SASUKE_PROJ_H8739-784</t>
  </si>
  <si>
    <t>詳細設計書のファイル名を記載する。</t>
  </si>
  <si>
    <t>SASUKE_PROJ_H8739-783</t>
  </si>
  <si>
    <t>SASUKE_PROJ_H8739-781</t>
  </si>
  <si>
    <t>SASUKE_PROJ_H8739-773</t>
  </si>
  <si>
    <t>【単体テスト・不具合】全画面共通_「次へ」系の遷移ボタンの多重押下防止処理の対応</t>
  </si>
  <si>
    <t>TM石川</t>
  </si>
  <si>
    <t>SASUKE_PROJ_H8739-771</t>
  </si>
  <si>
    <t>SASUKE_PROJ_H8739-765</t>
  </si>
  <si>
    <t>PCデザインに変更した際に、正しくバリデーションが効かなくなった。</t>
  </si>
  <si>
    <t>SASUKE_PROJ_H8739-649で行った対応と同様。
次へボタンが有効になる条件を変更。</t>
  </si>
  <si>
    <t>詳細設計書_G0116_ご職業・年収入力画面</t>
  </si>
  <si>
    <t>SASUKE_PROJ_H8739-762</t>
  </si>
  <si>
    <t>★要件不備／SA/UI設計不備／SS設計不備／実装不備／テスト仕様書不備／テスト実施不備／テスト環境不備／その他</t>
  </si>
  <si>
    <t>SASUKE_PROJ_H8739-761</t>
  </si>
  <si>
    <t>SASUKE_PROJ_H8739-758</t>
  </si>
  <si>
    <t>詳細設計書_G0125_申込完了画面.xlsx</t>
  </si>
  <si>
    <t>SASUKE_PROJ_H8739-743</t>
  </si>
  <si>
    <t>SA/UI設計不備</t>
  </si>
  <si>
    <t>SA/UI設計不備、実装不備</t>
  </si>
  <si>
    <t>SA/UI設計書を修正
実装：条件式のコード値を修正</t>
  </si>
  <si>
    <t>画面設計書_G0125_申込完了画面.xlsx</t>
  </si>
  <si>
    <t>SASUKE_PROJ_H8739-729</t>
  </si>
  <si>
    <t>SASUKE_PROJ_H8739-728</t>
  </si>
  <si>
    <t>SASUKE_PROJ_H8739-727</t>
  </si>
  <si>
    <t>SASUKE_PROJ_H8739-726</t>
  </si>
  <si>
    <t>親質問更新時に、最上部へ自動スクロールするように変更</t>
  </si>
  <si>
    <t>SASUKE_PROJ_H8739-725</t>
  </si>
  <si>
    <t>SASUKE_PROJ_H8739-724</t>
  </si>
  <si>
    <t>SASUKE_PROJ_H8739-723</t>
  </si>
  <si>
    <t>SASUKE_PROJ_H8739-722</t>
  </si>
  <si>
    <t>SASUKE_PROJ_H8739-721</t>
  </si>
  <si>
    <t>SASUKE_PROJ_H8739-720</t>
  </si>
  <si>
    <t>SASUKE_PROJ_H8739-718</t>
  </si>
  <si>
    <t>SASUKE_PROJ_H8739-717</t>
  </si>
  <si>
    <t>詳細設計書_G0107_個人情報入力画面.xlsx</t>
  </si>
  <si>
    <t>SASUKE_PROJ_H8739-716</t>
  </si>
  <si>
    <t>SASUKE_PROJ_H8739-713</t>
  </si>
  <si>
    <t>SASUKE_PROJ_H8739-712</t>
  </si>
  <si>
    <t>詳細設計書_G0124_申込内容最終確認画面</t>
  </si>
  <si>
    <t>SASUKE_PROJ_H8739-710</t>
  </si>
  <si>
    <t>SASUKE_PROJ_H8739-709</t>
  </si>
  <si>
    <t>未実装</t>
  </si>
  <si>
    <t>SASUKE_PROJ_H8739-708</t>
  </si>
  <si>
    <t>SASUKE_PROJ_H8739-707</t>
  </si>
  <si>
    <t>【単体テスト・不具合】G0124_申込内容最終確認画面_特則ありなしで切り替わる表示関連の処理が行われていない</t>
  </si>
  <si>
    <t>1.「契約日に関する特則あり」と表示されず「契約日に関する特則適用する」と表示される
2. 現在日付の翌日から翌月一日（当日含む）まででの期間に生年月日がない場合にも「契約日に関する特則」が表示される
3. 計算基準日が特則ありで「申込完了日の日付」、特則なしで「翌月一日の日付」を表示する表示処理が分かれていない（どちらも申込完了日が表示される）
4. 特則あり、年払いの際の初回振込保険料の注意分「※ 契約日に関する特則が適用されています。」が表示れない
.![image][2021-01-18_10h20_29.png]
![image][2021-01-18_10h20_19.png]
![image][2021-01-18_10h24_27.png]</t>
  </si>
  <si>
    <t>1.文言違い
2. 未実装
3. 障害ではない。試算結果画面にて計算後の計算基準日をセッションに入れているため当画面ではセッションの値をそのまま使用すればよい（sasuke小川様に確認済み）
4. 未実装</t>
  </si>
  <si>
    <t>1.文言修正
2. 実装
3. ー
4. 実装</t>
  </si>
  <si>
    <t>SASUKE_PROJ_H8739-705</t>
  </si>
  <si>
    <t>リクエストから取得していた外部認証コードをセッションアカウント情報からも取得するように修正
取得した外部認証コードがnullの場合、メールアドレス項目にWeb申込み専用ページIDの文言が表示されるように、条件判定をbladeに追加</t>
  </si>
  <si>
    <t>SASUKE_PROJ_H8739-704</t>
  </si>
  <si>
    <t>SASUKE_PROJ_H8739-702</t>
  </si>
  <si>
    <t>口座振替を選択した際に表示されるモーダルの×ボタンが非表示になっている。
![image][口座振替モーダルの×ボタンが非表示.png]</t>
  </si>
  <si>
    <t>【単体テスト・不具合】詳細設計書_G0121_保険料払込方法選択画面.xlsx
https://docs.google.com/spreadsheets/d/1yz8WC-mIkkmnPHbe1dGw_bFlZsuHjbnN/edit#gid=1692270551</t>
  </si>
  <si>
    <t>SASUKE_PROJ_H8739-700</t>
  </si>
  <si>
    <t>SASUKE_PROJ_H8739-698</t>
  </si>
  <si>
    <t>SASUKE_PROJ_H8739-697</t>
  </si>
  <si>
    <t>処理済み</t>
  </si>
  <si>
    <t>SASUKE_PROJ_H8739-694</t>
  </si>
  <si>
    <t>SASUKE_PROJ_H8739-692</t>
  </si>
  <si>
    <t>SASUKE_PROJ_H8739-691</t>
  </si>
  <si>
    <t>SASUKE_PROJ_H8739-687</t>
  </si>
  <si>
    <t>SASUKE_PROJ_H8739-682</t>
  </si>
  <si>
    <t>SASUKE_PROJ_H8739-681</t>
  </si>
  <si>
    <t>SASUKE_PROJ_H8739-679</t>
  </si>
  <si>
    <t>【単体テスト・不具合】G0106 ご本人さま確認に関して画面 次へボタンを押下した際に二重押下防止の処理がなく、押下できてしまう</t>
  </si>
  <si>
    <t>SASUKE_PROJ_H8739-678</t>
  </si>
  <si>
    <t>TM_y-ishigaki</t>
  </si>
  <si>
    <t>SASUKE_PROJ_H8739-676</t>
  </si>
  <si>
    <t>Koichi Kibe</t>
  </si>
  <si>
    <t>詳細設計書_G0128_Web申込み専用ページログイン画面（仮登録後）.xlsx
https://drive.google.com/file/d/17FsWMQyY9xLFEOz3DQbbqFsJpwIlMciS/view?usp=sharing</t>
  </si>
  <si>
    <t>SASUKE_PROJ_H8739-675</t>
  </si>
  <si>
    <t>SASUKE_PROJ_H8739-674</t>
  </si>
  <si>
    <t>TM薬袋</t>
  </si>
  <si>
    <t>SASUKE_PROJ_H8739-673</t>
  </si>
  <si>
    <t>SASUKE_PROJ_H8739-672</t>
  </si>
  <si>
    <t>SASUKE_PROJ_H8739-671</t>
  </si>
  <si>
    <t>SASUKE_PROJ_H8739-670</t>
  </si>
  <si>
    <t>SASUKE_PROJ_H8739-669</t>
  </si>
  <si>
    <t>SASUKE_PROJ_H8739-668</t>
  </si>
  <si>
    <t>【単体テスト・不具合】G0107_個人情報入力画面_住所情報を取得できなかった際にシステムエラー画面に遷移してしまう</t>
  </si>
  <si>
    <t>郵便番号の入力フォームで、住所情報を取得できない郵便番号を入力した際に、システムエラー画面に遷移してしまう。</t>
  </si>
  <si>
    <t>詳細設計書に、エラーコードが「400」の場合、通知画面を表示というハンドリングがされているため。</t>
  </si>
  <si>
    <t>エラーコードを「440」に変更
※"JSドキュメント(v1-h20).pdf"を参照</t>
  </si>
  <si>
    <t>SASUKE_PROJ_H8739-665</t>
  </si>
  <si>
    <t>【単体テスト・不具合】G0128_Web申込み専用ページログイン画面（仮登録後）　メールアドレス認証でログインするとエラー画面に遷移する。</t>
  </si>
  <si>
    <t>G0128_Web申込み専用ページログイン画面（仮登録後）に遷移した後、再読込み時エラー画面に遷移される。</t>
  </si>
  <si>
    <t>この画面に遷移した時、セッションは何も詰められていないのでセッション取得処理を行うとエラーになる。
スタックトレース
```
"message":"App\\Repository\\NoSessionValueException: セッションキー「applies」が存在しない in /var/www/html/ ...
```
WebdRegisterLoginBusinessLogic.php nextメソッド内にgetApplyInfoList(true)が原因。
168行目　
```
$applyInfoList = $this-&gt;sessionRepository-&gt;getApplyInfoList(true);
```
該当箇所
WebdRegisterLoginBusinessLogic.php nextメソッド内</t>
  </si>
  <si>
    <t>SASUKE_PROJ_H8739-762
セッション取得処理が不要だったため、処理を削除しました。</t>
  </si>
  <si>
    <t>詳細設計書_G0128_Web申込み専用ページログイン画面（仮登録後）.xlsx
https://drive.google.com/file/d/17FsWMQyY9xLFEOz3DQbbqFsJpwIlMciS/view</t>
  </si>
  <si>
    <t>SASUKE_PROJ_H8739-664</t>
  </si>
  <si>
    <t>【未実装】G0119_受取人・請求人入力画面</t>
  </si>
  <si>
    <t>生年月日周りのJS処理    (計算機から持ってくる)</t>
  </si>
  <si>
    <t>計算機画面をG0119の生年月日と合わせました</t>
  </si>
  <si>
    <t>詳細設計書_G0119_受取人・請求人入力画面</t>
  </si>
  <si>
    <t>SASUKE_PROJ_H8739-659</t>
  </si>
  <si>
    <t>SASUKE_PROJ_H8739-658</t>
  </si>
  <si>
    <t>遷移先であるWeb申込み専用ページログイン画面（G0201）がセットされていなかった。</t>
  </si>
  <si>
    <t>hrefに遷移先を追加　&lt;a href="{{ route('G0201') }}" class="btn small white rounded-login personal-content-item-btn"&gt;</t>
  </si>
  <si>
    <t>SASUKE_PROJ_H8739-657</t>
  </si>
  <si>
    <t>変更されたモーダルのデザインに対応していなかった。</t>
  </si>
  <si>
    <t>変更されたモーダルのデザインに対応するためにheaderの記述を修正。</t>
  </si>
  <si>
    <t>https://drive.google.com/drive/u/0/folders/1fXyon-jhtG9DaFNDJ0Qot7R0vGHClbzR 詳細設計書_G0116_ご職業・年収入力画面</t>
  </si>
  <si>
    <t>SASUKE_PROJ_H8739-656</t>
  </si>
  <si>
    <t>https://drive.google.com/drive/folders/1fXyon-jhtG9DaFNDJ0Qot7R0vGHClbzR
詳細設計書_G0127_Web申込み専用ページ仮登録完了画面.xlsx</t>
  </si>
  <si>
    <t>SASUKE_PROJ_H8739-655</t>
  </si>
  <si>
    <t>画面設計書_共通バリデーションチェック仕様書不備による、誤ったバリデーションをかけていたため。</t>
  </si>
  <si>
    <t>自営業を選択時に、勤務先名をなしと入力しないといけないバリデーションをrequiredに変更。
自営業から違う職業を選択時に勤務先名をリセットする処理追加。</t>
  </si>
  <si>
    <t>SASUKE_PROJ_H8739-654</t>
  </si>
  <si>
    <t>SASUKE_PROJ_H8739-653</t>
  </si>
  <si>
    <t>二重押下防止の処理の実装を実施。</t>
  </si>
  <si>
    <t>SASUKE_PROJ_H8739-652</t>
  </si>
  <si>
    <t>SASUKE_PROJ_H8739-651</t>
  </si>
  <si>
    <t>SASUKE_PROJ_H8739-650</t>
  </si>
  <si>
    <t>SASUKE_PROJ_H8739-649</t>
  </si>
  <si>
    <t>SASUKE_PROJ_H8739-648</t>
  </si>
  <si>
    <t>川上祐輝</t>
  </si>
  <si>
    <t>SASUKE_PROJ_H8739-647</t>
  </si>
  <si>
    <t>画面設計書_G0116_ご職業・年収入力画面</t>
  </si>
  <si>
    <t>SASUKE_PROJ_H8739-643</t>
  </si>
  <si>
    <t>SASUKE_PROJ_H8739-641</t>
  </si>
  <si>
    <t>詳細設計書_G0123_本人確認書類提出画面</t>
  </si>
  <si>
    <t>SASUKE_PROJ_H8739-640</t>
  </si>
  <si>
    <t>cssの設定値不備</t>
  </si>
  <si>
    <t>PCレイアウト修正時にセレクトボックスのデザイン修正</t>
  </si>
  <si>
    <t>SASUKE_PROJ_H8739-639</t>
  </si>
  <si>
    <t>SASUKE_PROJ_H8739-638</t>
  </si>
  <si>
    <t>「閉じる」ボタンではなく、「TOPに戻る」ボタンに変更いたしました。
（須永さん確認済み　→　Figma変更済み）</t>
  </si>
  <si>
    <t>SASUKE_PROJ_H8739-636</t>
  </si>
  <si>
    <t>SASUKE_PROJ_H8739-635</t>
  </si>
  <si>
    <t>【単体テスト・不具合】 バックエンドAPIの共有部分で返却値改修後の対応に漏れがある</t>
  </si>
  <si>
    <t>App\Repository\Backend\BackendApi
```
    public function post($request, bool $exceptionOnError = false): array
    {
　　　　　　：
　　　　　　：
        $jsonData = (string)$rawResponse-&gt;getBody();
        $statusCode = (string)$rawResponse-&gt;getStatusCode();
        return [$jsonData, $statusCode];
　　　　　　↓ 修正
        $jsonData = (string)$rawResponse-&gt;getBody();
        return $jsonData;
    }
```
返却値が array から string に変更されたが、メソッドの返却値の定義が array のままである。
get() メソッドも同様</t>
  </si>
  <si>
    <t>前回返却値を修正したが、返却値の型指定まで修正されていなかった。</t>
  </si>
  <si>
    <t>返却値の型をarrayからstringに修正しました。</t>
  </si>
  <si>
    <t>SASUKE_PROJ_H8739-633</t>
  </si>
  <si>
    <t>画面設計書_共通バリデーションチェック仕様書不備</t>
  </si>
  <si>
    <t>SASUKE_PROJ_H8739-632</t>
  </si>
  <si>
    <t>【単体テスト・不具合】G0116_ご職業・年収入力画面_選択項目の文字が長い場合にレイアウト崩れ</t>
  </si>
  <si>
    <t>選択項目の文字が長い場合にレイアウト崩れ
![image][スクリーンショット 2021-01-13 10.20.28.png]</t>
  </si>
  <si>
    <t>SASUKE_PROJ_H8739-628</t>
  </si>
  <si>
    <t>画面設計書_G0119_受取人・請求人入力画面</t>
  </si>
  <si>
    <t>SASUKE_PROJ_H8739-625</t>
  </si>
  <si>
    <t>SASUKE_PROJ_H8739-624</t>
  </si>
  <si>
    <t>SASUKE_PROJ_H8739-623</t>
  </si>
  <si>
    <t>伊東 雅弘</t>
  </si>
  <si>
    <t>SASUKE_PROJ_H8739-622</t>
  </si>
  <si>
    <t>SASUKE_PROJ_H8739-619</t>
  </si>
  <si>
    <t>テスト環境不備</t>
  </si>
  <si>
    <t>SASUKE_PROJ_H8739-618</t>
  </si>
  <si>
    <t>SASUKE_PROJ_H8739-616</t>
  </si>
  <si>
    <t>SASUKE_PROJ_H8739-615</t>
  </si>
  <si>
    <t>SASUKE_PROJ_H8739-613</t>
  </si>
  <si>
    <t>SASUKE_PROJ_H8739-612</t>
  </si>
  <si>
    <t>SASUKE_PROJ_H8739-611</t>
  </si>
  <si>
    <t>SASUKE_PROJ_H8739-610</t>
  </si>
  <si>
    <t>SASUKE_PROJ_H8739-608</t>
  </si>
  <si>
    <t>SASUKE_PROJ_H8739-607</t>
  </si>
  <si>
    <t>SASUKE_PROJ_H8739-605</t>
  </si>
  <si>
    <t>SASUKE_PROJ_H8739-604</t>
  </si>
  <si>
    <t>SASUKE_PROJ_H8739-601</t>
  </si>
  <si>
    <t>SASUKE_PROJ_H8739-600</t>
  </si>
  <si>
    <t>【単体テスト・不具合】G0121_保険料払込方法選択画面_ボタンの二重押下防止が未実装</t>
  </si>
  <si>
    <t>・ボタン押下後にボタンが非活性化していない</t>
  </si>
  <si>
    <t>実装しました。</t>
  </si>
  <si>
    <t>SASUKE_PROJ_H8739-599</t>
  </si>
  <si>
    <t>【単体テスト・不具合】G0121_保険料払込方法選択画面_支払方法未選択前にボタンが活性化していない</t>
  </si>
  <si>
    <t>・支払方法が未選択状態で活性状態であること</t>
  </si>
  <si>
    <t>SASUKE_PROJ_H8739-596</t>
  </si>
  <si>
    <t>【単体テスト・不具合】商品の表示順が未実装</t>
  </si>
  <si>
    <t>申込内容確認画面などにおいて、商品（主契約特約の約款含む）の表示順が担保されていない。</t>
  </si>
  <si>
    <t>SASUKE_PROJ_H8739-593</t>
  </si>
  <si>
    <t>SASUKE_PROJ_H8739-592</t>
  </si>
  <si>
    <t>初期表示で続柄が表示されないことからセッションに情報が上手く保存されていないと考えられる
続柄コードが、文字列ではなく整数として扱われている箇所が存在していたため。</t>
  </si>
  <si>
    <t>続柄コードは、文字列として取り扱うように修正</t>
  </si>
  <si>
    <t>詳細設計書_G0120_受取人・請求人確認画面.xlsx</t>
  </si>
  <si>
    <t>SASUKE_PROJ_H8739-591</t>
  </si>
  <si>
    <t>松橋佑矢</t>
  </si>
  <si>
    <t>　申込内容確認画面から遷移した際、セットされている情報を画面表示の方に渡す処理で
　参照の仕方が異なっていた</t>
  </si>
  <si>
    <t>　・申込内容確認画面から遷移した時の上記の部分の処理について、参照の仕方を修正する
　　※修正してローカル環境で画面を出そうとしても、ローカル環境ではAPIに接続できないためシステムエラー画面には
　　　なってしまう
　　　まずはローカル環境で計算機画面から遷移してきた時と同様にAPIのエラーで落ちる状態に合わせる</t>
  </si>
  <si>
    <t>SASUKE_PROJ_H8739-587</t>
  </si>
  <si>
    <t>SASUKE_PROJ_H8739-582</t>
  </si>
  <si>
    <t>SASUKE_PROJ_H8739-580</t>
  </si>
  <si>
    <t>【単体テスト・不具合】G0111意向確認画面　戻るボタンで戻ってきた時にチェックがクリアされている</t>
  </si>
  <si>
    <t>チェックがクリアされていて、次へボタンが押せない</t>
  </si>
  <si>
    <t>SASUKE_PROJ_H8739-578</t>
  </si>
  <si>
    <t>【単体テスト・不具合】G0111 意向確認画面「 次へ」ボタンを押下した際に二重押下防止の処理がなく、押下できてしまう</t>
  </si>
  <si>
    <t>SASUKE_PROJ_H8739-575</t>
  </si>
  <si>
    <t>【SS設計不備】G0111_意向確認画面_詳細設計 意向カテゴリ文言誤り</t>
  </si>
  <si>
    <t>【誤】特定の疾病の **補償** （がんなどへの備え）
【正】特定の疾病の **保障** （がんなどへの備え）</t>
  </si>
  <si>
    <t>詳細設計書_G0111_意向確認画面</t>
  </si>
  <si>
    <t>SASUKE_PROJ_H8739-574</t>
  </si>
  <si>
    <t>【SS設計不備】G0111_意向確認画面_商品コードのソートの記述があるがこちらは各機能ではソートしないので記述不要</t>
  </si>
  <si>
    <t>以下の記述はこの機能の処理では対応しないので不要
商品の並びは、申込[0].商品グループ[i].商品付加.販売商品コードを参照し、以下の並びとすること																		
	'31A005', '31E002', '31C003', '31D002', '03A003'</t>
  </si>
  <si>
    <t>詳細設計書_G0111_意向確認画面.xlsx</t>
  </si>
  <si>
    <t>SASUKE_PROJ_H8739-573</t>
  </si>
  <si>
    <t>【単体テスト・不具合】G0109_申込内容確認画面_お申込みプランを変更するボタンを押下しても遷移しない</t>
  </si>
  <si>
    <t>　お申込みプランを変更するボタンを押下しても、G0102.試算結果画面へ遷移することなく
　再度当画面が表示されてしまう。</t>
  </si>
  <si>
    <t>　vue.Jsでnpm run devで生成されるファイルの内容が古いものであったことが原因で
　最新のものが反映されていなかった</t>
  </si>
  <si>
    <t>　npm run devをローカル環境で実行して、そのソースをリポジトリ上にアップする</t>
  </si>
  <si>
    <t>詳細設計書_G0109_申込内容確認画面.xlsx</t>
  </si>
  <si>
    <t>SASUKE_PROJ_H8739-572</t>
  </si>
  <si>
    <t>【単体テスト・不具合】G0109_申込内容確認画面_Figmaのレイアウトと差異がある</t>
  </si>
  <si>
    <t>　・各商品の画像の下にある文言が右寄せで表示されている。
　　→figmaを見直していて、そもそも画像が想定されているものと異なるものを使用していることが
　　　確認できた
　・お支払い回数が表示されていない。（571で報告した内容、修正済み）</t>
  </si>
  <si>
    <t>　実装不備</t>
  </si>
  <si>
    <t>　・参照している画像を想定している画像の方に変更する</t>
  </si>
  <si>
    <t>SASUKE_PROJ_H8739-571</t>
  </si>
  <si>
    <t>【単体テスト・不具合】G0109_申込内容確認画面_支払情報のお支払い回数が表示されていない</t>
  </si>
  <si>
    <t>　お支払い回数が表示されていない。（figmaと差異がある）</t>
  </si>
  <si>
    <t>　・テストデータに判定のためのデータがセットできていなかった
　・表示の際も想定されている表示になるような実装がされていなかった</t>
  </si>
  <si>
    <t>　・お支払い回数の箇所に年払い・月払いの情報が表示されるよう修正
　・テストデータでお支払い回数の箇所のための判定用のデータをセット</t>
  </si>
  <si>
    <t>SASUKE_PROJ_H8739-569</t>
  </si>
  <si>
    <t>【SS設計不備】G0111_意向確認画面_セッションがない場合の遷移先画面がシステムエラー画面になっていない</t>
  </si>
  <si>
    <t>設計書において、セッションがない場合の遷移先画面がシステムエラー画面になっていない</t>
  </si>
  <si>
    <t>SASUKE_PROJ_H8739-568</t>
  </si>
  <si>
    <t>【単体テスト・不具合】G0111意向確認画面 セッションの商品コード、もしくは商品付加バージョン3のデータがない場合に最終意向が空で表示される</t>
  </si>
  <si>
    <t>セッションの商品コード、もしくは商品付加バージョン3のデータがない場合に最終意向が空で表示される
（正しい挙動）
システムエラー画面に遷移するのが正しい挙動</t>
  </si>
  <si>
    <t>SASUKE_PROJ_H8739-567</t>
  </si>
  <si>
    <t>SASUKE_PROJ_H8739-566</t>
  </si>
  <si>
    <t>【単体テスト・不具合】G0119_受取人・請求人入力画面_入力情報の確認へボタンが２重押下できる</t>
  </si>
  <si>
    <t>SASUKE_PROJ_H8739-565</t>
  </si>
  <si>
    <t>SASUKE_PROJ_H8739-558</t>
  </si>
  <si>
    <t>詳細設計書_G0105_申込前確認画面.xlsx＞プロセス概要
　→資料URL：https://docs.google.com/spreadsheets/d/1vfRgJpXYhrNNFllllc5LllSvjJFnepyQ/edit#gid=1646711699</t>
  </si>
  <si>
    <t>Safari(iOS)のみ、次画面の"G0106_重要事項確認画面"からブラウザバックで遷移してきたとき際に、「次へ」ボタンが非活性のまま表示されている</t>
  </si>
  <si>
    <t>【SS設計不備】G0106 ご本人さま確認に関して画面_申込セッションが存在しないときG9991画面にリダイレクトと記載されているがG9990が正</t>
  </si>
  <si>
    <t>（必須）
~~申込セッションが削除された状態で次へボタンを押下するとG9990エラー画面に遷移される。~~
~~本来はG9991認証エラー画面に遷移されることが期待値である。~~
(2021/1/8判明)実装不備ではなく、詳細設計不備でした。
修正点
詳細設計書のセッション取得エラーのリダイレクト先の画面を下記のように修正オネガイシマス。
(誤)
申込セッションが取得できなかった場合は、G9991_画面遷移エラー画面に遷移する
(正)
申込セッションが取得できなかった場合は、 **G9990** _画面遷移エラー画面に遷移する</t>
  </si>
  <si>
    <t>~~helpers.phpのexecRequestメソッドにG9991画面にリダイレクトされる処理がないためだと考えられる。~~
~~対処法~~
~~execRequestメソッドに下記の分岐を追加~~
詳細設計書の記載誤り</t>
  </si>
  <si>
    <t>詳細設計書を修正致しました。</t>
  </si>
  <si>
    <t>以下のエラーが出てカバレッジレポートが出力できない
```
Fatal error: Could not check compatibility between App\Repository\Backend\DisclosureAnswer\DisclosureAnswerBackendApiResponseTransformer::register(App\Repository\Backend\DisclosureAnswer\ClassBindings $classBindings) and Karriere\JsonDecoder\Transformer::register(Karriere\JsonDecoder\ClassBindings $classBindings), because class App\Repository\Backend\DisclosureAnswer\ClassBindings is not available in /server/app/Repository/Backend/DisclosureAnswer/DisclosureAnswerBackendApiResponseTransformer.php on line 10
```</t>
  </si>
  <si>
    <t>継承元のクラスが内とエラーが出力される</t>
  </si>
  <si>
    <t>継承元クラスが存在しないProductionInfoとなっている（実際に存在しているのはProductInfo）</t>
  </si>
  <si>
    <t>継承元クラスProductInfoに変更</t>
  </si>
  <si>
    <t>・戻るボタン押下でG0116画面に遷移後、エラーが表示される。</t>
  </si>
  <si>
    <t>G0116画面で必要なjsファイルがsasuketmブランチに入っていないのではないかと考えられる。
![image][screencapture-local-sasuke-jp-estimate-profession-input-2021-01-06-17_08_19 (1).png]</t>
  </si>
  <si>
    <t>【単体テスト・不具合】G0112_告知情報事前確認画面_次へボタン押下時の二重押下防止処理が未実装</t>
  </si>
  <si>
    <t>・ボタン押下時に非活性にならない</t>
  </si>
  <si>
    <t>SASUKE_PROJ_H8739-776</t>
  </si>
  <si>
    <t xml:space="preserve">全画面共通で必要な「次へ」系の遷移ボタンの多重押下防止処理の対応状況をこちらのチケットで管理する
以下の表で
修正確認ステータスが全て　「済」　になっていたら完了とする
確認者は、
確認して実装されていることが確認できたら「済」
確認して未実装が判明した場合は「未実装」と入れる
全機能対応完了でこのチケットをクローズする
| 画面ID  機能名  | 修正確認者 | 修正確認ステータス |
| ------------- |------------- |------------- |
| G0202	Web申込み専用ページトップ画面 | | | 
| G0203	Web申込み専用ページメッセージBox画面 | | |
| G0204	Web申込み専用ページメッセージBox詳細画面 | | | 
| G0205	Web申込み専用ページ申込データ確認画面| | | 
| G0206	Web申込み専用ページ本人確認書類提出画面| | | 
| G0208	Web申込み専用ページ特別条件付・承諾対応画面| | | 
| G0209	Web申込み専用ページ意向確認画面（特別条件付承諾後）| | | 
| G0210	Web申込み専用ページ特別条件付・承諾対応確認画面| | | 
| G0211	Web申込み専用ページ引受不可確認画面| | | 
| G0212	Web申込み専用ページパスワード変更画面（未ログイン）| | | 
| G0213	Web申込み専用ページパスワード変更確認画面| | | 
| G0214	Web申込み専用ページメールアドレス変更画面| | | 
| G0215	Web申込み専用ページメールアドレス変更確認画面| | | 
| G0216	Web申込み専用ページパスワード変更画面| | | 
| G0126	システムメンテナンス画面| | | </t>
  </si>
  <si>
    <t>SASUKE_PROJ_H8739-770</t>
  </si>
  <si>
    <t>【単体テスト・不具合】G0213_Web申込み専用ページパスワード変更確認画面_変更するボタン押下時にログインされていたらパスワード変更せずにリダイレクトされる仕様は不要</t>
  </si>
  <si>
    <t>変更するボタン押下時にログインされていたらパスワード変更せずにリダイレクトされる仕様は不要
パスワード変更するボタン押してリダイレクトされたのにパスワード変更されていなかったら混乱を招くため</t>
  </si>
  <si>
    <t>SASUKE_PROJ_H8739-769</t>
  </si>
  <si>
    <t>【SS設計不備】G0213_Web申込み専用ページパスワード変更確認画面_変更するボタン押下時にログインされていたらパスワード変更せずにリダイレクトされるが不要</t>
  </si>
  <si>
    <t>詳細設計書_G0213_Web申込み専用ページパスワード変更確認画面</t>
  </si>
  <si>
    <t>SASUKE_PROJ_H8739-768</t>
  </si>
  <si>
    <t>【単体テスト・不具合】G0212_Web申込み専用ページパスワード変更画面（未ログイン）_メールアドレスの長さのバリデーションが効かない</t>
  </si>
  <si>
    <t>以下のメールアドレスを入力するとバリデーションエラーにならずOKで送信が可能になっている
12345678901234567890123456789012345678901234567890123456789012345678901234567890@b.jp
![image][スクリーンショット 2021-01-20 13.26.20.png]
※仕様記載元資料
下記に「メールアドレスチェック」の「桁数チェック」記載があります。
https://drive.google.com/drive/u/1/folders/1CbM56AVtzmWiYuitAMop9srEf2sz1X7-
 ・画面設計書_共通バリデーションチェック仕様書.xlsx
 ・バリデーション仕様書　シート
![image][スクリーンショット 2021-01-20 13.31.35.png]</t>
  </si>
  <si>
    <t>SASUKE_PROJ_H8739-766</t>
  </si>
  <si>
    <t>【単体テスト・不具合】G0212_Web申込み専用ページパスワード変更画面（未ログイン）_戻るボタン押下のURLがおかしい</t>
  </si>
  <si>
    <t>戻るボタン押下のURLがおかしい
![image][スクリーンショット 2021-01-20 12.40.41.png]
![image][スクリーンショット 2021-01-20 12.41.15.png]
![image][スクリーンショット 2021-01-20 12.41.25.png]
![image][スクリーンショット 2021-01-20 12.41.30.png]</t>
  </si>
  <si>
    <t>SASUKE_PROJ_H8739-739</t>
  </si>
  <si>
    <t>【単体テスト・不具合】G0212_Web申込み専用ページパスワード変更画面（未ログイン）_送信ボタン押下時にログインされていたらリダイレクトされる処理は不要</t>
  </si>
  <si>
    <t>送信ボタン押下（POST）時にログインされていたらリダイレクトされる処理は不要
未ログイン状態でこの画面を開いて、別ブラウザでログインして同一セッションで送信するケースなどが考えられるが、Facebookなどで試したところ、送信可能だったのと、送信を押してログイン済画面にリダイレクトされるのは挙動として違和感がある
SS設計と併せて修正</t>
  </si>
  <si>
    <t>SASUKE_PROJ_H8739-738</t>
  </si>
  <si>
    <t>【SS設計不備】G0212_Web申込み専用ページパスワード変更画面（未ログイン）_送信ボタン押下時にログインされていたらリダイレクトされる処理は不要</t>
  </si>
  <si>
    <t>送信ボタン押下（POST）時にログインされていたらリダイレクトされる処理は不要
未ログイン状態でこの画面を開いて、別ブラウザでログインして同一セッションで送信するケースなどが考えられるが、Facebookなどで試したところ、送信可能だったのと、送信を押してログイン済画面にリダイレクトされるのは挙動として違和感がある</t>
  </si>
  <si>
    <t>詳細設計書_G0212_Web申込み専用パスワード変更画面(未ログイン)</t>
  </si>
  <si>
    <t>SASUKE_PROJ_H8739-737</t>
  </si>
  <si>
    <t>【SS設計不備】G0205_Web申込み専用ページ申込データ確認画面_セキュリティ観点で帳票出力処理を見直す</t>
  </si>
  <si>
    <t xml:space="preserve">G0205_Web申込み専用ページ申込データ確認画面
帳票出力処理の設計が今のままでは他人の帳票も見れてしまう設計になっている為、見直しが必要。
■現状の設計
現状：Web申込み専用ページ申込データ確認画面の帳票リンク押下時の処理
(以下、サーバーサイドでの処理)
1. リクエストパラメータとして以下を受け取る。
productAdditionalId(商品付加ID)
productAdditionalVersion(商品付加バージョン)
productDocumentCode(表示したいドキュメントコード)
2. 以下のパラメタで申込参照APIを呼ぶ。
productAdditionalId(商品付加ID)
productAdditionalVersion(商品付加バージョン)
3. 表示したい帳票のデータをAPIのレスポンスから取得し、帳票を表示する。
悪意あるユーザーが1のリクエストパラメータを適当な値に設定することで、
他人の帳票を見れてしまう。
 </t>
  </si>
  <si>
    <t>帳票出力処理で、
表示する帳票がログイン中のユーザーが申し込んだ商品帳票であることをチェックする処理がなかった。</t>
  </si>
  <si>
    <t>セッションの申込情報とパラメータとして渡された商品付加IDを突き合わせて、
セッションに渡された商品付加IDの商品情報があるかをチェックする</t>
  </si>
  <si>
    <t xml:space="preserve"> 詳細設計書_G0205_Web申込み専用ページ申込データ確認画面</t>
  </si>
  <si>
    <t>SASUKE_PROJ_H8739-778</t>
  </si>
  <si>
    <t>【その他・単体テストタスク】middleware配下(共通)資源のUnitTest</t>
  </si>
  <si>
    <t>middleware配下(共通)資源のUnitTestの実施する
　(詳細)
　　・Laravel の初期状態との差分確認する
　　・差分(メンテナンス予告など)について、テストコードを作成の上、UnitTestを実施する
　※メンテナンス画面へ遷移部分については、薬袋さんが実施するため、対象からはずす</t>
  </si>
  <si>
    <t>SASUKE_PROJ_H8739-775</t>
  </si>
  <si>
    <t>【単体テスト・不具合】G0213_Web申込み専用ページパスワード変更確認画面_パスワードのエラー文言</t>
  </si>
  <si>
    <t>パスワードには記号も入力できるが、エラーメッセージの内容からだと記号が設定できないように感じられてしまう
![image][スクリーンショット 2021-01-20 19.15.16.png]
エラーメッセージ仕様書を見てもその内容のエラーメッセージはなさそう
https://docs.google.com/spreadsheets/d/1DXzdGjN3XEHY0Y2I5e2XJIunmQT96MJK/edit#gid=1168281187</t>
  </si>
  <si>
    <t>SASUKE_PROJ_H8739-719</t>
  </si>
  <si>
    <t>【その他】G0117_告知情報入力画面(AURA)_告知のポイント、用語解説モーダルのiframe内のHTMLを受領できていない</t>
  </si>
  <si>
    <t>SASUKE_PROJ_H8739-706</t>
  </si>
  <si>
    <t>【単体テスト・不具合】API呼び出しのリトライ機能追加</t>
  </si>
  <si>
    <t>https://sasuke-fl.backlog.com/view/SASUKE_PROJ_H8739-280#comment-53411708
リトライ0、タイムアウト10秒
※変更されることを考慮し定数化しておくこと</t>
  </si>
  <si>
    <t>SASUKE_PROJ_H8739-693</t>
  </si>
  <si>
    <t>【単体テスト・不具合】G0107_個人情報入力画面_Figma上のデザインと異なる</t>
  </si>
  <si>
    <t>SASUKE_PROJ_H8739-606</t>
  </si>
  <si>
    <t>【SA/UI設計不備】（PEND）G0123_本人確認書類提出画面_リンクの横のアイコンを押しても何も起こらない</t>
  </si>
  <si>
    <t>リンクの横のアイコンを押しても何も起こらない
![image][スクリーンショット 2021-01-12 11.14.16.png]</t>
  </si>
  <si>
    <t>SASUKE_PROJ_H8739-598</t>
  </si>
  <si>
    <t>【単体テスト・不具合】（PEND）G0121_保険料払込方法選択画面_外部サイト(SBPS)へ遷移しない</t>
  </si>
  <si>
    <t>・遷移先が「/xxx」となっている。
　1/11に中道さんに確認したところ、接続先情報について提供されていないため未実装とのことでした。</t>
  </si>
  <si>
    <t>SASUKE_PROJ_H8739-597</t>
  </si>
  <si>
    <t>【単体テスト・不具合】（PEND）G0121_保険料払込方法選択画面_ポップアップのデザイン・文言が異なる</t>
  </si>
  <si>
    <t>・おすすめの支払方法の表示が無い（Figmaはクレジットカード支払いが推されている）
・支払方法の着色が異なる（Figmaは無色）
・次画面へ進むボタンの文言が「支払い入力を行う」）となっている（Figmaでは「次へ（収納代行サービス画面に遷移する」）
　...等
※Figmaは「遷移図(SPレイアウト)と比較」
■画面
G0121_保険料払込方法選択画面</t>
  </si>
  <si>
    <t>SASUKE_PROJ_H8739-594</t>
  </si>
  <si>
    <t>【単体テスト・不具合】キーボードのEnterによる挙動</t>
  </si>
  <si>
    <t>Enterにより次の画面に遷移させるかどうか</t>
  </si>
  <si>
    <t>SASUKE_PROJ_H8739-590</t>
  </si>
  <si>
    <t>【単体テスト・不具合】（PEND）G0120_受取人・請求人確認画面_初期表示がfigmaと異なる</t>
  </si>
  <si>
    <t>1.配偶者が表示されない
![image][No1_2.png]
2.画面上部の文言がfigmaと異なる
![image][figmaと文言が異なる箇所.jpg]</t>
  </si>
  <si>
    <t>SASUKE_PROJ_H8739-586</t>
  </si>
  <si>
    <t>【単体テスト・不具合】（未実装）再開時の承諾対象コード確認</t>
  </si>
  <si>
    <t>笠松 洋允</t>
  </si>
  <si>
    <t>申込途中の任意の画面にて、同画面を複数タブで表示。
片一方をサブミット後に、もう片一方をサブミットすると本来エラーであるべきところがサブミットできてしまう。</t>
  </si>
  <si>
    <t>セッションまたはDB・・・
→別端末で操作している場合、セッションは別の為、最新の情報を取得するために申込参照APIを呼ばないと判定がつかない
フロントで制御するなら・・・
→各アクション処理を行う前に申込参照APIをコールする必要あり
　→セッションが不要になるのでは？
→共通処理でありながら、各画面の承諾コードが必要なため個々で判定処理が必要？
→工数大</t>
  </si>
  <si>
    <t>バックエンドの申込参照APIにて承諾コードのチェックをおこなう。
「承諾テーブル」
・商品付加ID
・商品付加バージョン
・承諾コード
上記カラムに対して、すでにデータベースに登録されている値と、同様の値が再度登録されることは業務上存在しない。
そのため、API内でデータチェックを行い、すでに存在するデータ出会った場合はエラーを返却する。</t>
  </si>
  <si>
    <t>SASUKE_PROJ_H8739-585</t>
  </si>
  <si>
    <t>【単体テスト・不具合】遷移元制御処理</t>
  </si>
  <si>
    <t>直リンクなどによる不正な画面遷移を防具必要がある。</t>
  </si>
  <si>
    <t>・リファラで判定
・Postパラメータ判定
後者の場合、各画面でPOSTデータが必要になるため、前者のリファラ判断とする。
実装タイミングについては、現在ITa環境などで画面スキップをしている画面もあるため、時期検討。</t>
  </si>
  <si>
    <t>SASUKE_PROJ_H8739-584</t>
  </si>
  <si>
    <t>【単体テスト・不具合】商品・特約などの並び順がソートされていない</t>
  </si>
  <si>
    <t>商品・特約などの並び順がソートされていない
申込内容確認画面などにおいて、商品（主契約特約の約款含む）の表示順が担保されていない。</t>
  </si>
  <si>
    <t>SASUKE_PROJ_H8739-583</t>
  </si>
  <si>
    <t>【単体テスト・不具合】二重ログイン防止</t>
  </si>
  <si>
    <t>二重ログイン防止対応がされていない</t>
  </si>
  <si>
    <t>SASUKE_PROJ_H8739-581</t>
  </si>
  <si>
    <t>【単体テスト・不具合】二週目の申込情報の配列制御ができていない</t>
  </si>
  <si>
    <t>SASUKE_PROJ_H8739-579</t>
  </si>
  <si>
    <t>【単体テスト・不具合】 ブラウザバックされた際に警告メッセージを表示する実装がされていない</t>
  </si>
  <si>
    <t xml:space="preserve"> ブラウザバックされた際に警告メッセージを表示する実装がされていない
「ブラウザの戻るボタンは使えません、画面上の戻るボタンで前の画面に戻ってください」のようなメッセージが表示されるのが正しい挙動</t>
  </si>
  <si>
    <t>SASUKE_PROJ_H8739-577</t>
  </si>
  <si>
    <t>【SA/UI設計不備】（PEND）G0111_意向確認画面_割増しされている　と　割増されていない　の表記揺れ　</t>
  </si>
  <si>
    <t>G0111_意向確認画面_割増しされている　と　割増されていない　の表記揺れ　
添付参照</t>
  </si>
  <si>
    <t>デザイン</t>
  </si>
  <si>
    <t>SASUKE_PROJ_H8739-576</t>
  </si>
  <si>
    <t>【SA/UI設計不備】（PEND）G0111_意向確認画面_冒頭文言とチェックボックスの文言について</t>
  </si>
  <si>
    <t>Figmaのデザインで、冒頭に以下のように「はい」「いいえ」でお答えください
とあるが
各チェックボックスは「確認しました」になっていて違和感がある
↓
お申込みいただく商品がお客様の最終的なご意向に沿ったものであるかご確認のうえ、各質問事項に「はい」「いいえ」でお答えください。</t>
  </si>
  <si>
    <t>SASUKE_PROJ_H8739-570</t>
  </si>
  <si>
    <t>【単体テスト・不具合】（PEND）G0111_意向確認画面 意向変更された際のメッセージの文言に誤りがある</t>
  </si>
  <si>
    <t xml:space="preserve"> 意向変更された際のメッセージの文言に誤りがある
【誤】お申込み手続き開始当初よりご意向の変更しました。確認してください。
【正】お申込み手続き開始当初よりご意向が変更されました。ご確認ください。</t>
  </si>
  <si>
    <t>【単体テスト・不具合】（PEND）G0112_告知情報事前確認画面_表のレイアウトが異なる</t>
  </si>
  <si>
    <t>表のタイトル、本文がFigmaでは横並びだが、実装では縦並びのレイアウトになっている</t>
  </si>
  <si>
    <t>定性コメント：</t>
    <rPh sb="0" eb="2">
      <t>テイセイ</t>
    </rPh>
    <phoneticPr fontId="13"/>
  </si>
  <si>
    <t>一人当たり予定消化件数</t>
    <rPh sb="0" eb="2">
      <t>ヒトリ</t>
    </rPh>
    <rPh sb="2" eb="3">
      <t>ア</t>
    </rPh>
    <rPh sb="5" eb="7">
      <t>ヨテイ</t>
    </rPh>
    <rPh sb="7" eb="9">
      <t>ショウカ</t>
    </rPh>
    <rPh sb="9" eb="11">
      <t>ケンスウ</t>
    </rPh>
    <phoneticPr fontId="13"/>
  </si>
  <si>
    <t>対応メンバ数</t>
    <rPh sb="0" eb="2">
      <t>タイオウ</t>
    </rPh>
    <rPh sb="5" eb="6">
      <t>スウ</t>
    </rPh>
    <phoneticPr fontId="13"/>
  </si>
  <si>
    <t>残日数
(翌日～1月末の営業日数)</t>
    <rPh sb="0" eb="1">
      <t>ザン</t>
    </rPh>
    <rPh sb="1" eb="3">
      <t>ニッスウ</t>
    </rPh>
    <rPh sb="5" eb="7">
      <t>ヨクジツ</t>
    </rPh>
    <rPh sb="9" eb="11">
      <t>ガツマツ</t>
    </rPh>
    <rPh sb="12" eb="14">
      <t>エイギョウ</t>
    </rPh>
    <rPh sb="14" eb="16">
      <t>ニッスウ</t>
    </rPh>
    <phoneticPr fontId="13"/>
  </si>
  <si>
    <t>対応件数予実差分</t>
    <rPh sb="0" eb="4">
      <t xml:space="preserve">タイオウケンスウ </t>
    </rPh>
    <rPh sb="4" eb="6">
      <t xml:space="preserve">ヨジツ </t>
    </rPh>
    <rPh sb="6" eb="8">
      <t xml:space="preserve">サブン </t>
    </rPh>
    <phoneticPr fontId="13"/>
  </si>
  <si>
    <t>参考数値</t>
    <rPh sb="0" eb="4">
      <t xml:space="preserve">サンコウスウチ </t>
    </rPh>
    <phoneticPr fontId="13"/>
  </si>
  <si>
    <t>見込み完了日</t>
    <rPh sb="0" eb="2">
      <t xml:space="preserve">ミコミ </t>
    </rPh>
    <rPh sb="3" eb="6">
      <t xml:space="preserve">カンリョウビ </t>
    </rPh>
    <phoneticPr fontId="13"/>
  </si>
  <si>
    <t>見込み残日数
（未完了/平均減少件数）</t>
    <rPh sb="0" eb="2">
      <t xml:space="preserve">ミコミ </t>
    </rPh>
    <rPh sb="3" eb="4">
      <t xml:space="preserve">ザンケンスウ </t>
    </rPh>
    <rPh sb="4" eb="6">
      <t xml:space="preserve">ニッスウ </t>
    </rPh>
    <phoneticPr fontId="13"/>
  </si>
  <si>
    <t>-</t>
    <phoneticPr fontId="13"/>
  </si>
  <si>
    <t>チケット減少件数</t>
    <rPh sb="4" eb="6">
      <t xml:space="preserve">ゲンショウ </t>
    </rPh>
    <rPh sb="6" eb="8">
      <t xml:space="preserve">ケンスウ </t>
    </rPh>
    <phoneticPr fontId="13"/>
  </si>
  <si>
    <t>完了前日比</t>
    <rPh sb="0" eb="2">
      <t xml:space="preserve">カンリョウ </t>
    </rPh>
    <rPh sb="2" eb="4">
      <t xml:space="preserve">ゼンジツヒ </t>
    </rPh>
    <rPh sb="4" eb="5">
      <t xml:space="preserve">ヒ </t>
    </rPh>
    <phoneticPr fontId="13"/>
  </si>
  <si>
    <t>追加チケット数</t>
    <rPh sb="0" eb="2">
      <t xml:space="preserve">ツイカ </t>
    </rPh>
    <rPh sb="6" eb="7">
      <t xml:space="preserve">スウ </t>
    </rPh>
    <phoneticPr fontId="13"/>
  </si>
  <si>
    <t>チケット</t>
    <phoneticPr fontId="13"/>
  </si>
  <si>
    <t>合計：全件数</t>
    <rPh sb="0" eb="2">
      <t>ゴウケイ</t>
    </rPh>
    <rPh sb="2" eb="3">
      <t>：</t>
    </rPh>
    <rPh sb="3" eb="6">
      <t xml:space="preserve">ゼンケンスウ </t>
    </rPh>
    <phoneticPr fontId="3"/>
  </si>
  <si>
    <t>合計：未完了件数</t>
    <rPh sb="0" eb="2">
      <t>ゴウケイ</t>
    </rPh>
    <rPh sb="3" eb="8">
      <t xml:space="preserve">ミカンリョウケンスウ </t>
    </rPh>
    <phoneticPr fontId="3"/>
  </si>
  <si>
    <t>合計</t>
    <rPh sb="0" eb="2">
      <t>ゴウケイ</t>
    </rPh>
    <phoneticPr fontId="3"/>
  </si>
  <si>
    <t>合計</t>
    <rPh sb="0" eb="2">
      <t>ゴウケイ</t>
    </rPh>
    <phoneticPr fontId="13"/>
  </si>
  <si>
    <t>完了</t>
    <rPh sb="0" eb="2">
      <t>カンリョウ</t>
    </rPh>
    <phoneticPr fontId="3"/>
  </si>
  <si>
    <t>処理中</t>
    <rPh sb="0" eb="3">
      <t>ショリチュウ</t>
    </rPh>
    <phoneticPr fontId="3"/>
  </si>
  <si>
    <t>未対応</t>
    <rPh sb="0" eb="3">
      <t>ミタイオウ</t>
    </rPh>
    <phoneticPr fontId="3"/>
  </si>
  <si>
    <t>ステータス</t>
    <phoneticPr fontId="13"/>
  </si>
  <si>
    <t>未完了件数見込み
（総量は仮置き）</t>
    <rPh sb="0" eb="3">
      <t xml:space="preserve">ミカンリョウ </t>
    </rPh>
    <rPh sb="3" eb="5">
      <t xml:space="preserve">ケンスウ </t>
    </rPh>
    <rPh sb="5" eb="7">
      <t xml:space="preserve">ミコミ </t>
    </rPh>
    <rPh sb="10" eb="12">
      <t xml:space="preserve">ソウリョウ </t>
    </rPh>
    <phoneticPr fontId="13"/>
  </si>
  <si>
    <t>予定対応件数</t>
    <rPh sb="0" eb="2">
      <t xml:space="preserve">ヨテイ </t>
    </rPh>
    <rPh sb="2" eb="4">
      <t xml:space="preserve">タイオウ </t>
    </rPh>
    <rPh sb="4" eb="6">
      <t xml:space="preserve">ケンスウ </t>
    </rPh>
    <phoneticPr fontId="13"/>
  </si>
  <si>
    <t>予定</t>
    <rPh sb="0" eb="1">
      <t xml:space="preserve">ヨテイ </t>
    </rPh>
    <phoneticPr fontId="13"/>
  </si>
  <si>
    <t>日付</t>
    <rPh sb="0" eb="2">
      <t>ヒヅケ</t>
    </rPh>
    <phoneticPr fontId="13"/>
  </si>
  <si>
    <t>＜SP1〜5のPTサマリ＞</t>
    <phoneticPr fontId="13"/>
  </si>
  <si>
    <t>＜計算用＞</t>
    <rPh sb="1" eb="4">
      <t>ケイサンヨウ</t>
    </rPh>
    <phoneticPr fontId="3"/>
  </si>
  <si>
    <t>SP6</t>
    <phoneticPr fontId="3"/>
  </si>
  <si>
    <t>優先度低</t>
  </si>
  <si>
    <t>修正
担当者</t>
    <rPh sb="0" eb="2">
      <t>シュウセイ</t>
    </rPh>
    <rPh sb="3" eb="6">
      <t>タントウシャ</t>
    </rPh>
    <phoneticPr fontId="3"/>
  </si>
  <si>
    <t>森山</t>
  </si>
  <si>
    <t>担当者</t>
    <rPh sb="0" eb="3">
      <t>タントウシャ</t>
    </rPh>
    <phoneticPr fontId="3"/>
  </si>
  <si>
    <t>森山</t>
    <rPh sb="0" eb="2">
      <t>モリヤマ</t>
    </rPh>
    <phoneticPr fontId="3"/>
  </si>
  <si>
    <t>石川</t>
    <rPh sb="0" eb="2">
      <t>イシカワ</t>
    </rPh>
    <phoneticPr fontId="3"/>
  </si>
  <si>
    <t>消化</t>
    <rPh sb="0" eb="2">
      <t>ショウカ</t>
    </rPh>
    <phoneticPr fontId="3"/>
  </si>
  <si>
    <t>空欄</t>
    <rPh sb="0" eb="2">
      <t>クウラン</t>
    </rPh>
    <phoneticPr fontId="3"/>
  </si>
  <si>
    <t>＜発生＞</t>
    <rPh sb="1" eb="3">
      <t>ハッセイ</t>
    </rPh>
    <phoneticPr fontId="3"/>
  </si>
  <si>
    <t>～1/10</t>
    <phoneticPr fontId="3"/>
  </si>
  <si>
    <t>発生</t>
    <rPh sb="0" eb="2">
      <t>ハッセイ</t>
    </rPh>
    <phoneticPr fontId="3"/>
  </si>
  <si>
    <t>要件不備</t>
  </si>
  <si>
    <t>テスト仕様書不備</t>
  </si>
  <si>
    <t>テスト実施不備</t>
  </si>
  <si>
    <t>原因分類</t>
    <rPh sb="0" eb="4">
      <t>ゲンインブンルイ</t>
    </rPh>
    <phoneticPr fontId="3"/>
  </si>
  <si>
    <t>＜日付指定＞</t>
    <rPh sb="1" eb="5">
      <t>ヒヅケシテイ</t>
    </rPh>
    <phoneticPr fontId="3"/>
  </si>
  <si>
    <t>分類</t>
    <rPh sb="0" eb="2">
      <t>ブンルイ</t>
    </rPh>
    <phoneticPr fontId="3"/>
  </si>
  <si>
    <t>＜完了＞</t>
    <rPh sb="1" eb="3">
      <t>カンリョウ</t>
    </rPh>
    <phoneticPr fontId="3"/>
  </si>
  <si>
    <t>増減</t>
    <rPh sb="0" eb="2">
      <t>ゾウゲン</t>
    </rPh>
    <phoneticPr fontId="3"/>
  </si>
  <si>
    <t>＜収束予定日＞</t>
    <rPh sb="1" eb="3">
      <t>シュウソク</t>
    </rPh>
    <rPh sb="3" eb="6">
      <t>ヨテイビ</t>
    </rPh>
    <phoneticPr fontId="3"/>
  </si>
  <si>
    <t>01/18～現在</t>
    <rPh sb="6" eb="8">
      <t>ゲンザイ</t>
    </rPh>
    <phoneticPr fontId="3"/>
  </si>
  <si>
    <t>小川</t>
  </si>
  <si>
    <t>SASUKE_PROJ_H8739-822</t>
  </si>
  <si>
    <t>「なし」の文字を表示するIF文処理のなかに色用のクラス付けのタグを追加しました。</t>
  </si>
  <si>
    <t>【単体テスト・不具合】G0107_個人情報入力画面_外部認証コードの設定値が違う</t>
  </si>
  <si>
    <t>TM有友</t>
  </si>
  <si>
    <t>外部認証の共通ビジネスロジックで設定されている、外部認証コード(extAuthCode)が違う
下記のように設定されている。
Yahoo：1
LINE：2
dアカウント：3</t>
  </si>
  <si>
    <t>外部認証する際のURL　`"/webdirect/register-login/callback"`のURLを下記のいずれかの方法で変更する。
+ 定義の順番を変えてみる
+ 正規表現で制約をかける
+ ルート階層を変える</t>
  </si>
  <si>
    <t>sunaga-natsuko</t>
  </si>
  <si>
    <t>【単体テスト・不具合】G0117_告知情報入力画面(AURA)_フリーワード検索を選択時に表示されるテキストボックスの枠が見えない、他フリーワード検索周り</t>
  </si>
  <si>
    <t>・フリーワード検索を選択時に表示されるテキストボックスの枠が見えない
・フリーワード検索を選択後にテキスト入力し、補完されるリスト選択後のモーダルに表示されるテキストに { などの記号が含まれている
・フリーワード検索の選択を外して次へを押下するとフリーワード検索用っぽいテキスト入力欄が表示されている</t>
  </si>
  <si>
    <t>【サスケ】小川啓太</t>
  </si>
  <si>
    <t>処理中</t>
  </si>
  <si>
    <t>CSSで横幅720px以上で非表示にする処理が入っているため</t>
  </si>
  <si>
    <t>【SS設計不備】G0124_申込内容最終確認画面_保険料が万単位で計算されない箇所がある</t>
  </si>
  <si>
    <t>保障内容・保険料のご確認欄に表示される保険料で万単位で表示される部分に、給付金を万単位で計算する処理が記載されていない物がある
・はなさく定期　主契約：保険料
・入院一時給付特約：保険料
![image][2021-01-18_12h24_47.png]
![image][2021-01-18_12h24_14.png]</t>
  </si>
  <si>
    <t>【単体テスト・不具合】G0124_申込内容最終確認画面_特定損傷特約の保険期間・払込期間が主契約と異なる場合でも表示されない</t>
  </si>
  <si>
    <t>特定損傷特約の保険期間と払込期間が、主契約の保険期間と払込期間と異なる場合でも表示されない
![image][2021-01-18_12h00_53.png]</t>
  </si>
  <si>
    <t>※特約(特定損傷特約以外)の保険期間・払込期間は主契約と同値となるため表示不要につき非表示とする
詳細設計書に記載があるため、特定損傷特約（特定約款コード=D1E）は表示対象とする。
![image][約款コード.png]</t>
  </si>
  <si>
    <t>値によって表示出し分け
項目「仕事の内容」については、
無しの場合はセッション空ではなく、00になる。</t>
  </si>
  <si>
    <t>詳細設計書_G0107_個人情報入力画面.xlsx
画面設計書_共通バリデーションチェック仕様書.xlsx</t>
  </si>
  <si>
    <t>【SS設計不備】G0128_Web申込み専用ページログイン画面（仮登録後）_パスワードのバリデーションが表示されてしまう</t>
  </si>
  <si>
    <t xml:space="preserve">パスワードについてはバリデーションチェックは不要なため、下記記載は削除。
シート「プロセス詳細」
--------------------------------------
4.1 クライアントサイド・バリデーションチェック																																																			
	4.1.1 パスワード入力後のフォーカスアウト時、入力値が6文字以上の半角英数字でない場合																									
		パスワード入力項目直下に、入力項目のバリデーションエラー表示をおこなう。																								
			⇒ メッセージ名：バリデーション_パスワード																							
--------------------------------------																										</t>
  </si>
  <si>
    <t>SS設計不備による、実装不備</t>
  </si>
  <si>
    <t>ZIPSERVERのエラーコードを対応できるようにIF文に追加しました。</t>
  </si>
  <si>
    <t>画面設計書_共通メッセージ仕様書.xlsx
画面設計書_G0107_個人情報入力画面.xlsx
詳細設計書_G0107_個人情報入力画面.xlsx</t>
  </si>
  <si>
    <t>【単体テスト・不具合】G0107_個人情報入力画面_サーバ側のバリデーションについて</t>
  </si>
  <si>
    <t>**G0108_個人情報確認画面**へ遷移するときのリクエストバリデーションチェック
・エラー時に、期待値通りのバリデーションメッセージエラーが返ってこない
・「建物名・部屋番号」が入力必須ではないのに、入力必須というエラーメッセージが出てしまう。
・Yahooログイン想定で、下記データを送信するテストを作成して実行したが、パスワードが入力されていないためエラーとなる
```
'lastName' =&gt; '花咲',
'firstName' =&gt; '花子',
'lastNameKana' =&gt; 'ハナサク',
'firstNameKana' =&gt; 'ハナコ',
'zipCode' =&gt; '1066233',
'prefectures' =&gt; '東京都',
'city' =&gt; '港区六本木',
'blockStreet' =&gt; '３－２－１',
'buildings' =&gt; '六本木ヒルズ７６階',
'mobileTel1' =&gt; '090',
'mobileTel2' =&gt; '1234',
'mobileTel3' =&gt; '5678',
'homeTel1' =&gt; '',
'homeTel2' =&gt; '',
'homeTel3' =&gt; '',
'mailAddress' =&gt; 'sample@example.com',
'mailAddressConfirmation' =&gt; 'sample@example.com',
'password' =&gt; '',
'passwordConfirmation' =&gt; '',
'extAuthCode' =&gt; '2',
'extAuthId' =&gt; 'yahooId1234',
```
**G0124_申込内容最終確認画面**へ遷移するときのリクエストバリデーションチェック
・エラー時に、期待値通りのバリデーションメッセージエラーが返ってこない</t>
  </si>
  <si>
    <t>**G0108_個人情報確認画面**へ遷移するときのリクエストバリデーションチェック
**G0124_申込内容最終確認画面**へ遷移するときのリクエストバリデーションチェック
・実装漏れ</t>
  </si>
  <si>
    <t>・バリデーション追加
・外部認証の場合、パスワードバリデーションは実行しない
・バリデーションメッセージの修正</t>
  </si>
  <si>
    <t>BusinessLogicの「この画面でアップロードする場合」と「あとでアップロードする場合」のコードが逆でした。</t>
  </si>
  <si>
    <t>IdentificationInputUpdateBusinessLogicの「この画面でアップロードする場合」と「あとでアップロードする場合」のIF文を直しました。</t>
  </si>
  <si>
    <t>https://docs.google.com/spreadsheets/d/19eZc78CcA-W0XCM0iUBE6dOCF6Rlb2IZ/edit#gid=1841014516</t>
  </si>
  <si>
    <t>【単体テスト・不具合】G0123_本人確認書類提出画面_dアカウントで確認完了後の画面遷移でエラー</t>
  </si>
  <si>
    <t>dアカウントで確認完了後の画面遷移でエラー
![image][スクリーンショット 2021-01-12 12.38.27.png]</t>
  </si>
  <si>
    <t>「次へ」に意事項のチェックに反応できる処理はなかったです。</t>
  </si>
  <si>
    <t>「×ボタン」に表示・非表示の処理が含まれていなかったです。</t>
  </si>
  <si>
    <t>「×ボタン」は初期表示時、非表示。
アップロード済みの場合、表示とする。</t>
  </si>
  <si>
    <t>【未実装】G0128_Web申込み専用ページログイン画面（仮登録後）_外部認証ログイン機能</t>
  </si>
  <si>
    <t>外部認証コードがまだ揃っていないため、検証環境にて該当部分が動作しない。
外部認証コードについては以下のチケット参照
https://sasuke-fl.backlog.com/view/SASUKE_PROJ_H8739-557</t>
  </si>
  <si>
    <t>家塚</t>
  </si>
  <si>
    <t>【単体テスト・不具合】ITAテスト開始画面_IEでJSエラーが起き初期画面表示が上手くいかない</t>
  </si>
  <si>
    <t>IE、Chromeで画面表示差異あり</t>
  </si>
  <si>
    <t>- IE未対応の記法（アロー演算子, 無名関数）
▼要件として・・
IEは対象
→Windows：Edge最新版および一つ前版、IE11.0
→Mac：Safari最新版および一つ前版、Firefox最新版および一つ前版
→iPhone：Safari最新版および一つ前版
→Android：Chrome最新版および一つ前版
▼vue.jsってそもそも・・・
E11対象外。
フロントエンドのライブラリ選定でそもそもミスっている。
https://qiita.com/chenglin/items/da71b3648401f48fa9c6
▼対応案・・・
babelを入れる？or構文エラーを1つ1つ解決していく？
https://www.petitmonte.com/ruby/vue-babel-polyfill.html
https://qiita.com/Hirata-Masato/items/6f48eeac46b921e537fe
https://macoblog.com/vuejs-ie11-error/
※Babel7.4で非推奨になったbabel/polyfill。。。
https://aloerina01.github.io/blog/2019-06-21-1</t>
  </si>
  <si>
    <t>- webpackによる処理において、IE対応となるようにコンパイルの方法を変更  
　combine→「.js」「.babel」にへの変更</t>
  </si>
  <si>
    <t>当画面は開発用画面のため無し</t>
  </si>
  <si>
    <t>App\Repository\SessionRepository の仕様変更対応漏れ</t>
  </si>
  <si>
    <t>App\Repository\SessionRepository
こちらの仕様が変更になったと思われるのですが
変更後の対応が漏れているソースがいくつか存在しているようです。
例）今回発覚のきっかけとなった部分
App\Domain\WebdRegisterBusinessLogic#execute
```
        // セッションを破棄する
        $this-&gt;sessionRepository-&gt;forgetAccountInfo($session);
        $this-&gt;sessionRepository-&gt;forgetApplyInfo($session);
```
App\Repository\SessionRepository
```
    public function forgetAccountInfo(): void
    {
        session()-&gt;forget(self::ACCOUNT_KEY);
    }
    public function forgetApplyInfo(): void
    {
        session()-&gt;forget(self::APPLY_KEY);
    }
```
セッションまわりはSessionRepositoryに集約されている前提になってしまいますが
コントローラからビジネスロジックにセッションを引数で渡している部分も不要と思われます。
（ビジネスロジックではSessionRepositoryが注入されているため）
■下記の調査・修正が発生すると思われます
・コントローラ→ビジネスロジックでセッションを引数で渡している部分の調査と修正
・ビジネスロジックでSessionRepositoryを使用している部分の引数調査と修正
■ロジックへの引数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</si>
  <si>
    <t>App\Repository\SessionRepository
の仕様変更対応漏れ</t>
  </si>
  <si>
    <t>■ロジックへの引数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</si>
  <si>
    <t>SASUKE_PROJ_H8739-821</t>
  </si>
  <si>
    <t>【内部変更】告知検索APIの実装</t>
  </si>
  <si>
    <t>集計日</t>
    <rPh sb="0" eb="2">
      <t>シュウケイホンブン</t>
    </rPh>
    <phoneticPr fontId="3"/>
  </si>
  <si>
    <t>【単体テスト・不具合】G0107_個人情報入力画面_各入力フォームのバリデーションチェック</t>
  </si>
  <si>
    <t>下記に表でまとめます。
| フォーム名  | 機能名 | 事象内容 | 入力内容 |
| ------------- | ------------- |------------- | ------------- |
| 氏名(姓)  | 全角文字に自動変換| 半角から全角に自動変換されない | ﾊﾅｻｸ |
| 氏名(名)  | 全角文字に自動変換| 半角から全角に自動変換されない | ﾊﾅｺ |
| 氏名(姓名)  | 漢字チェック | IBM拡張文字がバリデーションエラーとなる | ⅰ, 黑, 鉸 |
| 氏名(姓名)  | 全体桁数チェック | 姓名の合計桁数が34桁以上であってもエラーにならない | 姓、名フォーム：20文字 |
| 氏名(セイメイ)  | バリデーションチェック | 特殊１の一部が許容されていない | －ー―‐—−＿|
| 氏名(セイメイ)  | 全体桁数チェック | セイメイの合計桁数が34桁以上であってもエラーにならない | セイ、メイフォーム：20文字 |
| 市区郡・町村  | 漢字チェック | IBM拡張文字がバリデーションエラーとなる | ⅰ, 黑, 鉸 |
| 丁目・番地  | 漢字チェック | IBM拡張文字がバリデーションエラーとなる | ⅰ, 黑, 鉸 |
| 建物名・部屋番号| 漢字チェック | IBM拡張文字がバリデーションエラーとなる | ⅰ, 黑, 鉸 |
| 自宅電話番号| 桁数チェック| 合計桁数「９」でエラーが出ない | 03-873-8739 |
| メールアドレス| 文字種 | 許容以外の文字を入力してもエラーが出ない | あいうえお@example.com |
| メールアドレス| 特殊文字| 許容以外の文字を入力してもエラーが出ない | ☆彡star@example.com |</t>
  </si>
  <si>
    <t>・バリデーションメッセージ追加・修正
・許容文字追加
・電話番号、携帯電話番号の合計桁数に関するバリデーション追加</t>
  </si>
  <si>
    <t>SASUKE_PROJ_H8739-829</t>
  </si>
  <si>
    <t>【単体テスト・不具合】G0201_Web申込み専用ページログイン画面 ログイン後、G0202画面にリダイレクトされない。</t>
    <phoneticPr fontId="3"/>
  </si>
  <si>
    <t>伊東 雅弘</t>
    <phoneticPr fontId="3"/>
  </si>
  <si>
    <t>未対応</t>
    <phoneticPr fontId="3"/>
  </si>
  <si>
    <t>実装不備</t>
    <phoneticPr fontId="3"/>
  </si>
  <si>
    <t>【SA/UI設計不備】G0124_申込内容最終確認画面_先進医療特約の表示がfigmaと異なる</t>
    <phoneticPr fontId="3"/>
  </si>
  <si>
    <t>川村和英</t>
    <phoneticPr fontId="3"/>
  </si>
  <si>
    <t>SA/UI設計不備</t>
    <phoneticPr fontId="3"/>
  </si>
  <si>
    <t>~~先進医療特約(該当約款コードD1A)の保険料と「付加する」の文言が表示されない~~
先進医療特約(該当約款コードD1A)の保険料が表示されない
![image][2021-01-25_10h30_46.png]</t>
    <phoneticPr fontId="3"/>
  </si>
  <si>
    <t>処理済み</t>
    <phoneticPr fontId="3"/>
  </si>
  <si>
    <t>【単体テスト・不具合】G0118_告知情報確認画面(AURA)_修正するボタン押下してモーダル開くとコンソールにエラーが出ている</t>
    <phoneticPr fontId="3"/>
  </si>
  <si>
    <t>inouchi</t>
    <phoneticPr fontId="3"/>
  </si>
  <si>
    <t>完了</t>
    <phoneticPr fontId="3"/>
  </si>
  <si>
    <t>修正するボタン押下してモーダル開くとコンソールにエラーが出ている
以下添付参照
![image][スクリーンショット 2021-01-21 11.19.31.png]</t>
    <phoneticPr fontId="3"/>
  </si>
  <si>
    <t>【単体テスト・不具合】全画面共通_「次へ」系の遷移ボタンの多重押下防止処理の対応</t>
    <phoneticPr fontId="3"/>
  </si>
  <si>
    <t>【単体テスト・不具合】G0118_告知情報確認画面(AURA)_身長を修正後に無関係に思われるモーダルが表示されて閉じると修正が反映されていない</t>
    <phoneticPr fontId="3"/>
  </si>
  <si>
    <t xml:space="preserve">身長を修正後に無関係に思われるモーダルが表示されて閉じると修正が反映されていない
</t>
    <phoneticPr fontId="3"/>
  </si>
  <si>
    <t>【単体テスト・不具合】G0117_告知情報入力画面(AURA)_次の質問へ遷移する際に縦スクロール位置が保持されているために、次の質問を読む際に再度上にスクロールしないと読めない</t>
    <phoneticPr fontId="3"/>
  </si>
  <si>
    <t>次の質問へ遷移する際に縦スクロール位置が保持されているために、次の質問を読む際に再度上にスクロールしないと読めない
質問読んでスクロールして「次へ」
![image][スクリーンショット 2021-01-18 17.28.38.png]
↓
次の画面で質問の上の方が読めない
![image][スクリーンショット 2021-01-18 17.28.48.png]</t>
    <phoneticPr fontId="3"/>
  </si>
  <si>
    <t>tm-s_teramoto</t>
    <phoneticPr fontId="3"/>
  </si>
  <si>
    <t>t.taguchi</t>
    <phoneticPr fontId="3"/>
  </si>
  <si>
    <t>TM_y-ishigaki</t>
    <phoneticPr fontId="3"/>
  </si>
  <si>
    <t>TM森山</t>
    <phoneticPr fontId="3"/>
  </si>
  <si>
    <t>SS設計不備</t>
    <phoneticPr fontId="3"/>
  </si>
  <si>
    <t>詳細設計書_G0128_Web申込み専用ページログイン画面（仮登録後）.xlsx
https://drive.google.com/file/d/17FsWMQyY9xLFEOz3DQbbqFsJpwIlMciS/view?usp=sharing</t>
    <phoneticPr fontId="3"/>
  </si>
  <si>
    <t>処理中</t>
    <phoneticPr fontId="3"/>
  </si>
  <si>
    <t>【SA/UI設計不備】G0116_ご職業・年収入力画面_勤務先で半角文字入力途中で禁則文字エラーが表示される</t>
    <phoneticPr fontId="3"/>
  </si>
  <si>
    <t>勤務先で半角文字入力途中で禁則文字エラーが表示される
その後フォーカス移動して全角になるとOKとなるが
英語の勤務先は必ず存在して、かつ入力途中に入力できないとユーザーが思うので改善の余地あり
入力中
![image][スクリーンショット 2021-01-13 16.53.14.png]
フォーカスアウト後
![image][スクリーンショット 2021-01-13 16.53.24.png]</t>
    <phoneticPr fontId="3"/>
  </si>
  <si>
    <t>Justin  Brunnette</t>
    <phoneticPr fontId="3"/>
  </si>
  <si>
    <t>【単体テスト・不具合】元号が「昭和64・平成1」とならず「平成1」となっている</t>
    <phoneticPr fontId="3"/>
  </si>
  <si>
    <t>西暦→元号の変換処理で、表題ような元号の境目のときに新しい方の元号しか表示されていない。
また、変換処理は生年月日を扱う個々の画面で実装されているため、横串で見直す必要がある。
&lt;詳細&gt;
下記の見直しが必要。
・申込フロー内で共通化し横串
・試算エリアと申込フローで表示内容を横串
なお、下記の理由で、試算エリアと申込フローでは変換処理が別途となる。そのため、対応は「表示内容の横串」に留まる。
　・セッションのアカウント情報に和暦が存在する
　・セッションの申込情報に和暦が存在しない</t>
    <phoneticPr fontId="3"/>
  </si>
  <si>
    <t>【単体テスト・不具合】G0123_本人確認書類提出画面_画像アップロード後にデザインの「OK」が表示されない</t>
    <phoneticPr fontId="3"/>
  </si>
  <si>
    <t>【単体テスト・不具合】G0123_本人確認書類提出画面_画像アップロード後にデザイン（Figma）の「OK」が表示されない
以下はFigmaのコピー
![image][スクリーンショット 2021-01-12 16.04.57.png]</t>
    <phoneticPr fontId="3"/>
  </si>
  <si>
    <t>TM有友</t>
    <phoneticPr fontId="3"/>
  </si>
  <si>
    <t>【詳細設計書不備】G0123_本人確認書類提出画面_ファイルアップロードしてるがよろしいですかのメッセージ文言</t>
    <phoneticPr fontId="3"/>
  </si>
  <si>
    <t>G0123本人確認書類提出画面の詳細設計で
（１）ファイルアップロード
（２）dアカウントで本人確認ラジオボタン選択
（３）次へ
で、詳細設計、実装、ともに
「アップロードされている画像がありますが、あとで提出するで進んでよろしいですか？」というポップアップが出ることになっているが
「あとで提出する」を選んでいないので違和感がある
（違和感があるというか、dアカウントの場合も後で提出するんですかね？）</t>
    <phoneticPr fontId="3"/>
  </si>
  <si>
    <t>井内</t>
  </si>
  <si>
    <t>SASUKE_PROJ_H8739-833</t>
  </si>
  <si>
    <t>【単体テスト・不具合】G0123_本人確認書類提出画面_同じファイルを一度アップロードして削除して再アップロードするとプレビューが表示されない</t>
    <phoneticPr fontId="3"/>
  </si>
  <si>
    <t>Justin  Brunnette</t>
  </si>
  <si>
    <t>同じファイルを一度アップロードして削除して再アップロードするとプレビューが表示されない</t>
    <phoneticPr fontId="3"/>
  </si>
  <si>
    <t>SASUKE_PROJ_H8739-832</t>
  </si>
  <si>
    <t>家塚晃慈</t>
    <phoneticPr fontId="3"/>
  </si>
  <si>
    <t>sbpsに渡すパラメータに誤りがあった
保険商品チェックApiを呼ぶ処理が漏れていた</t>
  </si>
  <si>
    <t>①
sbpsに渡すパラメータにpagecon_urlを追加
スペルミスの修正
②
保険商品チェックApiの処理追加
それにともなってエラーハンドリングの処理追加</t>
  </si>
  <si>
    <t>詳細設計書_G0121_保険料払込方法選択画面</t>
  </si>
  <si>
    <t>SA/UI設計不備
SS設計不備
実装不備</t>
    <phoneticPr fontId="3"/>
  </si>
  <si>
    <t>・画面設計書_G0124_申込内容最終確認画面
・詳細設計書_G0124_申込内容最終確認画面</t>
    <phoneticPr fontId="3"/>
  </si>
  <si>
    <t>【未実装】G0123_本人確認書類提出画面の「この画面でアップロードする」ラジオボタン押下時の機能未実装</t>
  </si>
  <si>
    <t>Justin</t>
  </si>
  <si>
    <t>この画面でアップロードするラジオボタンの押下前から、
アップロードUIが表示されている</t>
  </si>
  <si>
    <t>仕様把握漏れによる未実装</t>
  </si>
  <si>
    <t>UIを表示するフラグを追加し、RadioボタンをクリックでフラグをTrue/Falseし、UIはフラグ次第で表示する処理を追加しました。</t>
  </si>
  <si>
    <t>詳細設計書_G0123_本人確認書類提出画面.xlsx</t>
  </si>
  <si>
    <t>【デザイン変更】G0109_申込内容確認画面_特約の文字色出し分け</t>
  </si>
  <si>
    <t>野寺樹</t>
  </si>
  <si>
    <t>主契約や特約のデータを表示する際に、文字色の出しわけ（なしはグレー）にしたい。
赤字にする場合は`color-red `
グレー字の場合(「なし」の場合)は`color-gray2`
というクラスをタグにつけていただければ、色を変えることができます。
よろしくお願いします。
![image][申込内容確認画面.jpg]</t>
  </si>
  <si>
    <t>色変更処理はまだ入れてなかったみたいです。</t>
  </si>
  <si>
    <t>マジックナンバーによる外部認証コード指定を、定数指定に変更(config/externalAuthorizationCode.php)</t>
  </si>
  <si>
    <t>なし</t>
  </si>
  <si>
    <t>【単体テスト・不具合】G0117_告知情報入力画面(AURA)_フリーワード検索から選択して入力後も必須バリデーションエラーメッセージが消えない</t>
    <phoneticPr fontId="3"/>
  </si>
  <si>
    <t>フリーワード検索から選択して入力後も必須バリデーションエラーメッセージが消えない
![image][スクリーンショット 2021-01-21 13.31.04.png]
↓
![image][スクリーンショット 2021-01-21 13.31.15.png]
↓
![image][スクリーンショット 2021-01-21 13.31.22.png]
↓
![image][スクリーンショット 2021-01-21 13.31.35.png]
↓
![image][スクリーンショット 2021-01-21 13.31.44.png]
↓
![image][スクリーンショット 2021-01-21 13.31.52.png]</t>
    <phoneticPr fontId="3"/>
  </si>
  <si>
    <t>【単体テスト・不具合】G0117_告知情報入力画面(AURA)_テキストエリア入力のUI</t>
  </si>
  <si>
    <t>- テキストエリアの外枠が表示されていないのでテキストエリアであることがわからず、また、入力できるかがわからない
- テキストエリアの枠の右端まで入力できずに折り返される
![image][スクリーンショット 2021-01-21 10.54.08.png]
![image][スクリーンショット 2021-01-21 10.54.21.png]</t>
  </si>
  <si>
    <t>【単体テスト・不具合】G0128_Web申込み専用ページログイン画面（仮登録後）外部認証のコールバックURLの不備</t>
    <phoneticPr fontId="3"/>
  </si>
  <si>
    <t>G0128_Web申込み専用ページログイン画面（仮登録後）外部認証のコールバックURLの不備。
外部認証する際のURL　`"webdirect/'/webdirect/register-login/callback"`は画面の初期表示する`'/webdirect/register-login/{hashCode}'`のURLとみなされる。
Laravelが`/callback`部分をハッシュコードとして認識してしまう。</t>
    <phoneticPr fontId="3"/>
  </si>
  <si>
    <t>【単体テスト・不具合】G0116_ ご職業・年収入力画面_「次へ」ボタンが有効にならない</t>
  </si>
  <si>
    <t>入力項目が全てOKな状態になっても、「次へ」ボタンが有効にならない
![image][スクリーンショット 2021-01-20 12.27.01.png]</t>
  </si>
  <si>
    <t>【SS設計不備】G0128_Web申込み専用ページログイン画面（仮登録後）_単体テスト不具合の確認で修正が必要な箇所がある</t>
  </si>
  <si>
    <t>関連する単体テスト不具合（SASUKE_PROJ_H8739-675）
■初期表示
![image][G0128_1.png]
関連する単体テスト不具合（SASUKE_PROJ_H8739-665）
■メールアドレスパスワードによる認証
![image][G0128_2.png]</t>
  </si>
  <si>
    <t>古いバージョンの画面設計書の際に作成したものが残っていた</t>
  </si>
  <si>
    <t>2. ログイン状態チェック、3. セッションより必要な情報を取得するを削除</t>
  </si>
  <si>
    <t>G0128_Web申込み専用ページログイン画面（仮登録後）</t>
  </si>
  <si>
    <t>閉じるボタンをTOPに戻るボタンに変更する。
JavaScriptにて画面を閉じる→はなさく生命のTOP画面に遷移するに修正</t>
  </si>
  <si>
    <t>G0127_Web申込み専用ページ仮登録完了画面</t>
  </si>
  <si>
    <t>須永</t>
  </si>
  <si>
    <t>【単体テスト・不具合】G0117_告知情報入力画面(AURA)_先の質問から前の質問に戻ると先の質問で入力した値が保持されていない</t>
  </si>
  <si>
    <t>先の質問から前の質問に戻ると先の質問で入力した値が保持されていない
質問
![image][スクリーンショット 2021-01-18 17.21.29.png]
次へ
↓
次の画面で
![image][スクリーンショット 2021-01-18 17.21.39.png]
戻る
↓
![image][スクリーンショット 2021-01-18 17.21.47.png]</t>
  </si>
  <si>
    <t>【単体テスト・不具合】G0117_告知情報入力画面(AURA)_「はい」「いいえ」のチェックしたボタンにうっすら青い枠が表示される</t>
  </si>
  <si>
    <t>「はい」「いいえ」のチェックしたボタンを選択するとうっすら青い枠が表示される
![image][スクリーンショット 2021-01-18 17.16.05.png]</t>
  </si>
  <si>
    <t>【単体テスト・不具合】G0117_告知情報入力画面(AURA)_３問目の初期表示の際に「次へ」ボタンの色が薄い</t>
    <phoneticPr fontId="3"/>
  </si>
  <si>
    <t>３問目の初期表示の際に「次へ」ボタンの色が薄い
２問目
![image][スクリーンショット 2021-01-18 17.05.26.png]
↓
３問目
![image][スクリーンショット 2021-01-18 17.05.37.png]</t>
    <phoneticPr fontId="3"/>
  </si>
  <si>
    <t>【単体テスト・不具合】G0117_告知情報入力画面(AURA)_緩和型の商品を申し込んだ場合にヘルプリンクの文言が緩和型のものになっていない</t>
  </si>
  <si>
    <t>緩和型の商品を申し込んだ場合にヘルプリンクの文言が緩和型のものになっていない
添付画像のように
告知忘れの多い事項について
用語解説と留意点
のリンクになっている必要がある。
また、そこから開いたモーダルのタイトルも同様。
![image][スクリーンショット 2021-01-18 16.52.13.png]
![image][スクリーンショット 2021-01-18 16.52.29.png]
![image][スクリーンショット 2021-01-18 16.54.27.png]</t>
  </si>
  <si>
    <t>【単体テスト・不具合】G0107_個人情報入力画面_セッションにアカウント情報がセットされていない</t>
    <phoneticPr fontId="3"/>
  </si>
  <si>
    <t>SS設計不備による実装漏れ</t>
  </si>
  <si>
    <t>主契約の定期（03A）と特約の入院一時給付特約（D1B）の保険料が表示されるようにG0124.blade.phpのswitchに記載</t>
  </si>
  <si>
    <t>【単体テスト・不具合】G0116_ご職業・年収入力画面_職業が無職の人が一時金じゃない商品を申し込んだ際のバリデーションが効かない</t>
  </si>
  <si>
    <t>対応なし</t>
  </si>
  <si>
    <t>職業が無職の人が一時金じゃない商品を申し込んだ際のバリデーションが効かない</t>
  </si>
  <si>
    <t>【単体テスト・不具合】G0124_申込内容最終確認画面_請求人・受取人情報の見出しが設計書と異なる</t>
    <phoneticPr fontId="3"/>
  </si>
  <si>
    <t>請求人・受取人情報の見出しが定期商品の有無に関わらず「指定代理請求人、死亡時支払金受取人(死亡保険金受取人)」となっている。
詳細設計書では以下と記載
・定期のみの場合
指定代理請求人・死亡保険金受取人
・定期を含まない場合
指定代理請求人・死亡時支払金受取人
・定期とその他のいずれかの商品を含む場合
指定代理請求人・死亡時支払金受取人
(死亡保険金受取人)
![image][2021-01-18_10h46_31.png]</t>
    <phoneticPr fontId="3"/>
  </si>
  <si>
    <t>表示条件取得処理実装
表示条件出し分け処理実装</t>
    <phoneticPr fontId="3"/>
  </si>
  <si>
    <t>詳細設計書_G0124_申込内容最終確認画面</t>
    <phoneticPr fontId="3"/>
  </si>
  <si>
    <t>【単体テスト・不具合】G0107_個人情報入力画面(G0124から遷移)_Web申込み専用ページログインの場合の文言が表示されない</t>
  </si>
  <si>
    <t>**G0124_申込内容最終確認画面から遷移してきたときの事象**
Web申込み専用ページログインの場合に下記文言が表示されない
・"web専用マイページID"</t>
  </si>
  <si>
    <t>実装不備
フロント側：該当箇所の出し分け処理がない
サーバー側：判別に必要な「外部認証ID」をセッションから取得していない</t>
  </si>
  <si>
    <t>中道</t>
  </si>
  <si>
    <t>【単体テスト・不具合】G0124_申込内容最終確認画面_保険料払込免除特約の給付金額・日額等に「付加する」が表示されない</t>
    <phoneticPr fontId="3"/>
  </si>
  <si>
    <t>5商品の保険料払込免除特約に付加区分１をセットしても「付加する」と表示されない
（該当約款コード'03A', '31A', '31C', '31D', '31E'）
![image][2021-01-15_15h07_20.png]</t>
    <phoneticPr fontId="3"/>
  </si>
  <si>
    <t>テストでは、additionTypeを参照、
実装では、保険料払込免除特約種類であるfreeOfPremiumRiderClsを参照。
インターフェース仕様書より、商品情報ラインアップ取得APIにより、付加リストであるadditionListと
保険料払込免除特約種類リストであるfreeOfPremiumRiderClsListが返却される。
ここで、それぞれの値は、下記画像の通り。
インターフェース仕様書より、付加する、しないの条件分岐ははadditionTypeによって行う。
■freeOfPremiumRiderClsList
![image][freeOfPremiumRiderClsList.png]
■additionList
![image][additionList.png]</t>
    <phoneticPr fontId="3"/>
  </si>
  <si>
    <t>画面へ表示する値変更</t>
    <phoneticPr fontId="3"/>
  </si>
  <si>
    <t>【未実装】G0105_申込前確認画面_商品付加バージョン１の商品を複写する</t>
  </si>
  <si>
    <t>新規追加処理の為、未実装</t>
  </si>
  <si>
    <t>セッションから申込情報を取得し、商品付加バージョンを調べ１しかなかった場合に、複写する処理追加</t>
  </si>
  <si>
    <t>詳細設計書_G0105_申込前確認画面.xlsx
　→https://docs.google.com/spreadsheets/d/1vfRgJpXYhrNNFllllc5LllSvjJFnepyQ/edit#gid=1719533969</t>
  </si>
  <si>
    <t>【単体テスト・不具合】G0124_申込内容最終確認画面_セッションに値がない項目「-」が表示されない</t>
  </si>
  <si>
    <t>値がない場合は"-"ハイフン表示される場所に"-"ハイフンが表示されない
![image][2021-01-15_14h40_08.png]
![image][2021-01-15_14h40_16.png]
対象項目
1. 自宅電話番号
2. 仕事の内容
3. 勤務先</t>
  </si>
  <si>
    <t>【単体テスト・不具合】G0107_個人情報入力画面_セレクトボックスにプリセットする値が異なる</t>
  </si>
  <si>
    <t>郵便番号検索で、該当住所が複数あった場合に表示されるポップアップについて、
セレクトボックス内の選択肢が、想定の表示内容と異なる。</t>
  </si>
  <si>
    <t>・表示するプロパティの修正
※郵便番号「4520961」であればtownまで入っているのでスペースが追加されていることを確認できます。</t>
  </si>
  <si>
    <t>石川</t>
  </si>
  <si>
    <t>画面設計書_G0128_Web申込み専用ページログイン画面（仮登録後）の画面項目定義書に記載があった為、
詳細設計書にも記載されている。
![image][pasted-2021.01.26-11.52.30.png]</t>
  </si>
  <si>
    <t>詳細設計書の該当項目を削除</t>
  </si>
  <si>
    <t>【単体テスト・不具合】G0128_Web申込み専用ページログイン画面（仮登録後）_パスワードのバリデーションが表示されてしまう</t>
  </si>
  <si>
    <t>薬袋</t>
  </si>
  <si>
    <t>パスワード入力時にパスワードに関するバリデーションエラーが表示されている</t>
  </si>
  <si>
    <t>バリデーションが設定されている</t>
  </si>
  <si>
    <t>入力文字数によるボタンのON/OFF制御以外のバリエーションを削除しました。</t>
  </si>
  <si>
    <t>TM薬袋</t>
    <phoneticPr fontId="3"/>
  </si>
  <si>
    <t>【単体テスト・不具合】G0128_Web申込み専用ページログイン画面（仮登録後）_helpers.phpでエラーが発生する</t>
    <phoneticPr fontId="3"/>
  </si>
  <si>
    <t>ハッシュID有効期限切れ確認のため、APIで【HTTPステータスコード401 errorType=401001】を返却した際に
Laravelのエラー画面に遷移し、「$apierrosが定義されていない」という内容が表示される。</t>
    <phoneticPr fontId="3"/>
  </si>
  <si>
    <t>・helpers.phpで変数$apierrosが定義されていない
　→helpers.phpの93行目に下記を追記
```
if ($statusCode === "401") {  // 認証エラー
    $apiErrors = $e-&gt;getErrorList();     // ←追記
    if ($apiErrors-&gt;errorType === "401001") {
        // Web申込み専用ページ仮登録画面の場合
```</t>
    <phoneticPr fontId="3"/>
  </si>
  <si>
    <t>【単体テスト・不具合】G0128_Web申込み専用ページログイン画面（仮登録後）_ハッシュが無いURLへアクセスすると991では無く、Laravelのエラー画面に遷移</t>
  </si>
  <si>
    <t>ハッシュ値が含まれないURLへアクセスした際には「G9991_画面遷移エラー画面に遷移する」が想定されるが、
Laravelのエラー画面に遷移している。</t>
  </si>
  <si>
    <t>ログイン画面（仮登録後）への遷移URLと認証を行うためのURLが同一であることが原因だと考えられます。
下記web.php
```
// G0128.Web申込み専用ページログイン画面（仮登録後）画面のルート
Route::get('/webdirect/register-login/{hashCode}', 'RegisterLoginController')-&gt;name('G0128');
...
Route::post('/webdirect/register-login', 'RegisterLoginController@next')-&gt;name('G0128Next');
```
そのため、URLを変更するなどの対応が必要かと思います。</t>
  </si>
  <si>
    <t>パラメータなしを許容し、コントローラ側も省略可能かつ初期値を設定するように修正
```
Route::get('/webdirect/register-login/{hashCode?}', 'RegisterLoginController')-&gt;name('G0128');
public function __invoke(Request $request, ?string $hashCode = '')
```
また、ビジネスロジックでセッションからハッシュを取得していましたが、不要とのことなので削除しました。</t>
  </si>
  <si>
    <t>【単体テスト・不具合】G0107_個人情報入力画面_ZIPSERVERエラー通知画面が表示されない</t>
  </si>
  <si>
    <t>ZIPSERVERから、レスポンスエラーが返ってきた際に、システムエラー画面に遷移してしまう。</t>
  </si>
  <si>
    <t>詳細設計書_G0107_個人情報入力画面.xlsx
 ※郵便番号検索API(zs.js)呼び出し後のエラーコードが200(成功)、440(データが取得できない)以外の場合、システムエラーとせずに、通知画面(ZIPSERVERとの処理が正常に行なえませんでした。)を表示する</t>
  </si>
  <si>
    <t>寺本</t>
  </si>
  <si>
    <t>Justin Brunnette</t>
  </si>
  <si>
    <t>川上</t>
  </si>
  <si>
    <t>【単体テスト・不具合】G0116_ご職業・年収入力画面_職業によって（例えば自営業だと）エラーになる条件で勤務先のエラー後に職業変更後全項目OKでも「次へ」が押せない</t>
  </si>
  <si>
    <t>職業によって（例えば自営業だと）エラーになる条件で勤務先のエラー後に職業変更後全項目OKでも「次へ」が押せない
![image][スクリーンショット 2021-01-13 19.47.08.png]
↓
![image][スクリーンショット 2021-01-13 19.47.30.png]</t>
  </si>
  <si>
    <t>【単体テスト・不具合】G0116_ご職業・年収入力画面_職業や職種選択の各種モーダルに「×」で閉じる機能がない</t>
  </si>
  <si>
    <t>職業や職種選択の各種モーダルに「×」で閉じる機能がない
Figmaだとあるので「×」があった方がいい
![image][スクリーンショット 2021-01-13 19.27.07.png]</t>
  </si>
  <si>
    <t>【単体テスト・不具合】G0107_個人情報入力画面_フロント側のバリデーションメッセージについて</t>
  </si>
  <si>
    <t>１．必須入力フォームについて
・”○○は入力が必須です"という文言が表示されない
　　→氏名は表示されるが、表示内容が異なる
２．氏名(姓名)の入力フォームについて
・バリデーションチェックでエラーの場合
　→"氏名は姓と名の合計で34文字以内の全角で入力してください"という文言が表示されない
・入力後フォーマットチェックでエラーの場合
　→"不正な文字種が入力されています。入力内容を見直してください。"という文言が表示されない
３．氏名(セイメイ)の入力フォームについて
・バリデーションチェックでエラーの場合
　→"氏名のフリガナはセイとメイの合計で34文字以内の全角カナで入力してください"という文言が表示されない
・入力後フォーマットチェックでエラーの場合
　→"不正な文字種が入力されています。入力内容を見直してください。"という文言が表示されない</t>
  </si>
  <si>
    <t>必須入力フォームと"不正な文字種…"について
・実装不備
そのほか
・設計書変更により、別途実装対応の必要あり</t>
  </si>
  <si>
    <t>【単体テスト・不具合】G0116_ご職業・年収入力画面_次の告知情報事前確認画面から「戻る」で遷移した際に入力内容が反映されない</t>
    <phoneticPr fontId="3"/>
  </si>
  <si>
    <t>次の告知情報入力画面から「戻る」で遷移した際に入力内容が反映されない</t>
    <phoneticPr fontId="3"/>
  </si>
  <si>
    <t>詳細設計書_G0116_ご職業・年収入力画面</t>
    <phoneticPr fontId="3"/>
  </si>
  <si>
    <t>【詳細設計不備】G0116_ご職業・年収入力画面_専門技術職の文言表記</t>
  </si>
  <si>
    <t>川村</t>
  </si>
  <si>
    <t>正しくは「専門技術職」とのこと
![image][スクリーンショット 2021-01-13 17.57.50.png]
 同様に「芸能」となっているが正しくは「芸者」っぽい
![image][スクリーンショット 2021-01-13 18.32.30.png]</t>
  </si>
  <si>
    <t>focusout的なトリガーにチェックタイミングを変更すること。</t>
    <phoneticPr fontId="3"/>
  </si>
  <si>
    <t>ジャスティン</t>
  </si>
  <si>
    <t>・姓、名各テキストボックスの入力制限
万が一、34文字以上を入力された場合のチェックで引っ掛かった場合は
エラーメッセージ「ERR_VALIDATION_FAMILY_NAME」の「氏名は姓と名の合計で34文字以内の全角で入力してください」を表示
※カナの場合は「ERR_VALIDATION_FAMILY_NAME_KANA」の「氏名のフリガナはセイとメイの合計で34文字以内の全角カナで入力してください」
・姓、名の空白、環境文字チェック
エラーメッセージ「ERR_VALIDATION_TEXTAREA」の「不正な文字種が入力されています。入力内容を見直してください。」を表示してください。
環境依存文字なども同様にこのエラーメッセージで良いです。
・入力必須チェックのバリデーションメッセージ
「〇〇は入力が必須です」に変更を行う
※リクエストクラス内のバリデーション処理でも同様のチェックが入っているかご確認お願いいたします。</t>
  </si>
  <si>
    <t>【単体テスト・不具合】G0123_本人確認書類提出画面_PDFファイルを添付するとプレビューが正しく表示されない</t>
    <phoneticPr fontId="3"/>
  </si>
  <si>
    <t>PDFファイルを添付するとプレビューが正しく表示されない
（Macのプレビューなどのソフトだと表示される）</t>
    <phoneticPr fontId="3"/>
  </si>
  <si>
    <t>詳細設計書_G0123_本人確認書類提出画面.xlsx
https://drive.google.com/file/d/19eZc78CcA-W0XCM0iUBE6dOCF6Rlb2IZ/view?usp=sharing</t>
    <phoneticPr fontId="3"/>
  </si>
  <si>
    <t>詳細設計書_G0123_本人確認書類提出画面</t>
    <phoneticPr fontId="3"/>
  </si>
  <si>
    <t>引数のタイプに差異があるため
※外部認証の動作確認をすることが不可能なため、現コードで正常に動作するか不明です。</t>
  </si>
  <si>
    <t>【未実装】G0123_本人確認書類提出画面_ドコモの本人確認API</t>
  </si>
  <si>
    <t>dアカウントラジオボタンを選択して「次へ」でドコモの本人確認API呼び出しがされていない
## そもそも、以下の要因で着手ができない状態
### hanasakuとdocomoが契約成立していない為、外部認証で必要な情報が提供されておりません。
外部認証コードについては以下のチケット参照
https://sasuke-fl.backlog.com/view/SASUKE_PROJ_H8739-557</t>
  </si>
  <si>
    <t>【単体テスト・不具合】G0123_本人確認書類提出画面_承諾対象コードの設定値誤り</t>
  </si>
  <si>
    <t>承諾対象コードは
「dアカウントの場合」に  14、15
「この画面でアップロードする場合」に　14、16
「あとでアップロードする場合」に  14
が設定されるはずだが、
「この画面でアップロードする場合」と「あとでアップロードする場合」が逆になっている
承諾対象コードの設定値誤り
設計書
https://docs.google.com/spreadsheets/d/19eZc78CcA-W0XCM0iUBE6dOCF6Rlb2IZ/edit#gid=1841014516
該当箇所（抜粋）
![image][スクリーンショット 2021-01-21 19.12.44.png]
![image][スクリーンショット 2021-01-21 19.13.01.png]</t>
  </si>
  <si>
    <t>【単体テスト・不具合】G0123_本人確認書類提出画面_nginxのX-Frame-Options設定がDENYだと書類をアップロードする際の注意事項が表示されない</t>
  </si>
  <si>
    <t>nginxのX-Frame-Options設定がDENYだと書類をアップロードする際の注意事項が表示されない</t>
  </si>
  <si>
    <t>（１）nginxの設定で、該当機能だけDENYとしないようにするか、できるか決める
（２）全体で許可するならば対応不要、該当機能だけそうするならその対応を入れる</t>
  </si>
  <si>
    <t>【単体テスト・不具合】G0123_本人確認書類提出画面_添付画像削除用の「×」ボタンの活性制御</t>
  </si>
  <si>
    <t>（１）「×」ボタンが初期状態で、見た目はグレーになっているが非活性になっていない（マウスオーバーでマウスポインターが押せそうに見える）
（２）また、ファイルアップロード後に「×」が活性状態になったかどうか見た目に変化がなくグレーのままで、判別ができない（ボタン自体は使える）
上記、表面、裏面の×ボタン共通の事象です
![image][スクリーンショット 2021-01-12 10.42.10.png]</t>
  </si>
  <si>
    <t>対応なし（重複）</t>
  </si>
  <si>
    <t>【単体テスト・不具合】G0102_試算結果画面_申込内容確認画面からプラン修正ボタンを押下して遷移した際エラーになる</t>
  </si>
  <si>
    <t>松橋</t>
  </si>
  <si>
    <t>　試算結果画面が表示されずにシステムエラー画面へ遷移する</t>
  </si>
  <si>
    <t>詳細設計書_G0102_試算結果画面.xlsx</t>
  </si>
  <si>
    <t>【単体テスト・不具合】ヘッダー誤り</t>
  </si>
  <si>
    <t xml:space="preserve">ヘッダーに誤りがある画面がある（G0111_意向確認画面は誤りがあることを確認済）
以下の画面について、ヘッダーに誤りがある場合対応する。
| 画面ID  機能名  | 修正対応者 | 修正確認ステータス | figma記載header | 修正前状況 |
| ------------- |------------- |------------- |
| G0105  申込前確認画面 | |済 | フリーダイヤル| 対応済 |
| G0106  ご本人さま確認に関して画面 | |済 | フリーダイヤル| 対応済 |
| G0107  個人情報入力画面 | |済 | フリーダイヤル| 対応済 |
| G0108  個人情報確認画面| |済 |  フリーダイヤル| 対応済 | 
| G0109  申込内容確認画面 | |済 |  フリーダイヤル| 対応済 | 
| G0110 重要事項確認画面 | |済 |  フリーダイヤル| 対応済 | 
| G0111  意向確認画面 |  |済 | フリーダイヤル| 対応済 |
| G0112	 告知情報事前確認画面| |済 | フリーダイヤル| 対応済 |
| G0116	ご職業・年収入力画面   | |済 | フリーダイヤル| 対応済 |
| G0117	告知情報入力画面(AURA) | |済 | フリーダイヤル| 対応済 |
| G0118	告知情報確認画面(AURA) | |済 | フリーダイヤル| 対応済 |
| G0119	受取人・請求人入力画面 | |済 | フリーダイヤル| 対応済 |
| G0120	受取人・請求人確認画面 | |済| フリーダイヤル| 対応済 |
| G0121	保険料払込方法選択画面 | |済 | フリーダイヤル| 対応済 |
| G0123	本人確認書類提出画面 | |済 | フリーダイヤル| 対応済 |
| G0124	申込内容最終確認画面 | |済 | フリーダイヤル| 対応済 |
| G0125	申込完了画面 | |済 | フリーダイヤル| 対応済 | 
| G0127	Web申込み専用ページ仮登録完了画面 | |済 | フリーダイヤル| 対応済 |
| G0128	Web申込み専用ページログイン画面（仮登録後） | |済 | フリーダイヤル| 対応済 |
| G0201	Web申込み専用ページログイン画面 | |済 | フリーダイヤル| 対応済 | </t>
  </si>
  <si>
    <t>画面ヘッダーの設定がそれぞれの画面ごとに設定されていたのが原因。</t>
  </si>
  <si>
    <t>対象となっている画面ついては、Web専用登録IDを持っていない状態なので、ログイン済だったらハンバーガーメニュー、違うなら電話番号のヘッダーを表示するというコードファイルを追加した。
App\Http\Middleware\SwitchHeader.php　（実装者：家塚さん）</t>
  </si>
  <si>
    <t>【SA/UI設計不備】G0119_受取人・請求人入力画面_氏名欄に合計35文字以上入力した場合のJS側のバリデーションメッセージが表示されない</t>
  </si>
  <si>
    <t>「氏名は姓と名の合計で34文字以内で入力してください」と表示されない</t>
  </si>
  <si>
    <t>「氏名は姓と名の合計で34文字以内で入力してください」とバリデーションメッセージを表示させる
メッセージは姓と名の両方に表示する
※リクエストクラス内のバリデーション処理でも同様のチェックが入っているかご確認お願いいたします。
★20200115_川村追記ここから★
現在使用しているバリデーションライブラリの場合、複合チェックをしてメッセージを両方に出力することはできず独自に作りこまなくてはいけない。
リクエストクラス内のバリデーション処理(フロントエンド)は既に実装済の為、js側で当該バリデーションチェックは行わないことする。
※木部さん了承済
★20200115_川村追記ここまで★</t>
  </si>
  <si>
    <t>対応なし（他チケットにて対応）</t>
  </si>
  <si>
    <t>田口</t>
  </si>
  <si>
    <t>伊東</t>
  </si>
  <si>
    <t>【単体テスト・不具合】受取人・請求人情報の入力画面　定期なしの際の条件分岐が行われていない</t>
  </si>
  <si>
    <t>初期画面が表示されない、テストケースのアサーションが通らない</t>
  </si>
  <si>
    <t>定期なしの際の条件分岐が行われていない
定期なしの場合のdescription変数が宣言されていないためリターンする際にエラーになる
```
if ($this-&gt;hasOnlyRegularProduct($productGroups)) {
    // 定期のみの場合
    $description = sprintf($baseDescription, '死亡保険金受取人');
} elseif ($this-&gt;hasRegularProduct($productGroups)) {
    // 定期を含む同時申込みの場合
    $description = sprintf($baseDescription, '死亡時支払金受取人（死亡保険金受取人）');
     // 定期なしの場合
     $description = sprintf($baseDescription, '死亡時支払金受取人');
     $isDeathBenefitBeneficiariesLinkShown = false;
}
return [
    'form' =&gt; $form,
    'description' =&gt; $description,
    'isDeathBenefitBeneficiariesLinkShown' =&gt; $isDeathBenefitBeneficiariesLinkShown,
];
```</t>
  </si>
  <si>
    <t>定期なしの際の条件分岐が行われるように修正する</t>
  </si>
  <si>
    <t>Justin</t>
    <phoneticPr fontId="3"/>
  </si>
  <si>
    <t>家塚</t>
    <rPh sb="0" eb="2">
      <t>イエヅカ</t>
    </rPh>
    <phoneticPr fontId="3"/>
  </si>
  <si>
    <t>薬袋</t>
    <rPh sb="0" eb="2">
      <t>ミナイ</t>
    </rPh>
    <phoneticPr fontId="3"/>
  </si>
  <si>
    <t>有友</t>
    <rPh sb="0" eb="2">
      <t>アリトモ</t>
    </rPh>
    <phoneticPr fontId="3"/>
  </si>
  <si>
    <t>取得日時：2021/01/27 17:02:06</t>
    <phoneticPr fontId="3"/>
  </si>
  <si>
    <t>SASUKE_PROJ_H8739-857</t>
  </si>
  <si>
    <t>【単体テスト・不具合】G0202_Web申込み専用ページトップ画面_手続き再開ボタン押下時エラーとなる</t>
    <phoneticPr fontId="3"/>
  </si>
  <si>
    <t>手続き再開ボタンを押下時、エラー画面に遷移する。</t>
    <phoneticPr fontId="3"/>
  </si>
  <si>
    <t>actionと定義する部分がrouteとなっている
G0202.blade.php
85行名
```
&lt;form method="POST" route="{{route('G0202ResumeProcedure')}}"&gt;
```</t>
  </si>
  <si>
    <t>詳細設計書_G0202_Web申込み専用ページトップ画面</t>
    <phoneticPr fontId="3"/>
  </si>
  <si>
    <t>SASUKE_PROJ_H8739-856</t>
  </si>
  <si>
    <t>【単体テスト・不具合】G0128_Web申込み専用ページログイン画面（仮登録後）_laravel側のパスワードのバリデーションが表示されてしまう</t>
    <phoneticPr fontId="3"/>
  </si>
  <si>
    <t>パスワードを入力し、認証するボタンを押下すると「パスワードは6文字以上の半角英数字で入力してください」が表示されてしまう。
期待結果：パスワードに関するバリデーションは当画面では不要のため表示されない。</t>
    <phoneticPr fontId="3"/>
  </si>
  <si>
    <t>詳細設計書_G0128_Web申込み専用ページログイン画面（仮登録後）.xlsx
https://drive.google.com/file/d/17FsWMQyY9xLFEOz3DQbbqFsJpwIlMciS/view?usp=sharing</t>
    <phoneticPr fontId="3"/>
  </si>
  <si>
    <t>SASUKE_PROJ_H8739-854</t>
  </si>
  <si>
    <t>【単体テスト・不具合】G0128_Web申込み専用ページログイン画面（仮登録後）_ハッシュが無いURLへアクセスすると9991画面ではなく、Laravelのエラー画面に遷移</t>
    <phoneticPr fontId="3"/>
  </si>
  <si>
    <t>ハッシュ値が含まれないURLへアクセスした際には「G9991_画面遷移エラー画面に遷移する」が想定されるが、
Laravelのエラー画面に遷移している。
G0128_Web申込み専用ページログイン画面（仮登録後）において以前起票した課題と同じ現象が起こっている。
https://sasuke-fl.backlog.com/view/SASUKE_PROJ_H8739-672</t>
    <phoneticPr fontId="3"/>
  </si>
  <si>
    <t>SASUKE_PROJ_H8739-853</t>
  </si>
  <si>
    <t>【単体テスト・不具合】G0123_本人確認書類提出画面の「書類の種類を選ぶ」プルダウンが常に初期表示になっている</t>
    <phoneticPr fontId="3"/>
  </si>
  <si>
    <t>薬袋</t>
    <phoneticPr fontId="3"/>
  </si>
  <si>
    <t>「書類の種類を選ぶ」プルダウンが常に「運転免許証」になっている</t>
    <phoneticPr fontId="3"/>
  </si>
  <si>
    <t>SASUKE_PROJ_H8739-817  修正時の考慮漏れ</t>
    <phoneticPr fontId="3"/>
  </si>
  <si>
    <t>v-if ではなく v-show による表示制御に変更しました。
PDFとHeifのプレビューが動的に&lt;canvas&gt;を追加しているため、シンプルな「style="display: 」を使用</t>
    <phoneticPr fontId="3"/>
  </si>
  <si>
    <t>SASUKE_PROJ_H8739-852</t>
  </si>
  <si>
    <t>【単体テスト・不具合】G0128_Web申込み専用ページログイン画面（仮登録後）_外部認証コードと表示内容が異なる</t>
  </si>
  <si>
    <t>外部認証コードに対して表示される内容が異なる。
![image][外部認証コード.png]</t>
  </si>
  <si>
    <t>表示出し分け処理の数字が異なる。
```
  @if (2 == $apiResult-&gt;auth-&gt;extAuthCode)
              &lt;div class=""&gt;
                &lt;div class="entry-btn-ttl"&gt;LINEアカウントでログイン&lt;/div&gt;
                &lt;a href="{{ $lineUrl }}" class="sns-login-btn"&gt;
                  &lt;span class="sns-btn-right line-btn"&gt;LINEアカウントでログイン
                    &lt;img src="/images/common/icon_line_white.svg" alt="line" class="line-icon-btn"&gt;&lt;/span&gt;
                &lt;/a&gt;
              &lt;/div&gt;
  @endif
```</t>
  </si>
  <si>
    <t>・マジックナンバーをconfigの値を用いるように修正</t>
  </si>
  <si>
    <t>詳細設計書_G0128_Web申込み専用ページログイン画面（仮登録後）.xlsx</t>
  </si>
  <si>
    <t>SASUKE_PROJ_H8739-849</t>
  </si>
  <si>
    <t>【単体テスト・不具合】G0201_Web申込み専用ページログイン画面_戻るボタンがない。</t>
  </si>
  <si>
    <t>Figmaの試算エリア　G0201_Web申込み専用ログインページ画面　について下記の内容が実装されていない。
ログインボタン下部の戻るボタンのデザイン取り込み。
戻るボタンのリファラーを参照して遷移先を制御する実装が行われていない。
Figma
![image][スクリーンショット 2021-01-27 11.44.17.png]
実装
![image][screencapture-localhost-webdirect-login-2021-01-27-12_08_41.png]</t>
  </si>
  <si>
    <t>SASUKE_PROJ_H8739-847</t>
  </si>
  <si>
    <t>【SS設計不備】G0123_本人確認書類提出画面_初期表示、及びチェックボックス変更時の表示非表示制御の記述</t>
  </si>
  <si>
    <t>初期表示、及びチェックボックス変更時の表示非表示制御の記述に誤りがある
（経緯）
以下、HTMLモックの実装漏れをカバーするために以下チケットで実装が修正されているが、詳細設計書が未修正
https://sasuke-fl.backlog.com/view/SASUKE_PROJ_H8739-817
![image][スクリーンショット 2021-01-27 10.11.20.png]
![image][スクリーンショット 2021-01-27 10.16.03.png]</t>
  </si>
  <si>
    <t>仕様把握漏れによる設計書未反映</t>
  </si>
  <si>
    <t>本人確認書類のアップロード領域の表示制御を追加しました。</t>
  </si>
  <si>
    <t>G0123_本人確認書類提出画面</t>
  </si>
  <si>
    <t>SASUKE_PROJ_H8739-844</t>
  </si>
  <si>
    <t>【単体テスト・不具合】アカウントセッションの電話番号の構造改善</t>
    <phoneticPr fontId="3"/>
  </si>
  <si>
    <t xml:space="preserve">Justin </t>
    <phoneticPr fontId="3"/>
  </si>
  <si>
    <t>その他</t>
    <phoneticPr fontId="3"/>
  </si>
  <si>
    <t>電話番号のセッションに関して、実装が「アカウントセッションの電話番号オブジェクト」の変更分（※）を取り込めていない。
　※セッション仕様書の2021/01/09の変更点
・詳細
申込[x].商品グループ[x].契約者.電話番号と申込[x].商品グループ[x].受取人.電話番号は
セッション仕様書の変更分を取り込みできている事を確認済み。
アカウント.電話番号の項目のみセッション仕様書と実装で乖離している。
・実装
アカウント.電話番号.携帯
アカウント.電話番号.自宅
・セッション仕様書
アカウント.電話番号[x].電話番号　
アカウント.電話番号[x].電話番号タイプ　（1:携帯、2:自宅）
セッション仕様書の場合　電話番号のオブジェクトの配列になっている。</t>
    <phoneticPr fontId="3"/>
  </si>
  <si>
    <t>・現実装ではアカウント.電話番号のオブジェクトは`App\Domain\Value\Account\PhoneInfo.php`を使用しています。
このオブジェクトは使用せず、  `App\Domain\Value\Apply\TelNums.php`と同じ構造ファイル
`App\Domain\Value\Account\TelNums.php`を作成し、`App\Domain\Value\Account\AccountInfo.php`の修正すること。
・アカウント.電話番号のセッションを画面表示、セッションに書き込みしている画面の処理を修正すること。
修正箇所の具体例
WebdLoginBusinessLogic.php
```
   private function setAccountInfo(AccountAuthBackendApiResponse $response): AccountInfo
{
...
        foreach ($response-&gt;individual-&gt;telNums as $telnum) {
            if ($telnum-&gt;telNumType == 1) {
                $cellphoneNumber = $telnum-&gt;telNum;
            }
            if ($telnum-&gt;telNumType == 2) {
                $homeNumber = $telnum-&gt;telNum;
            }
...
}
```</t>
  </si>
  <si>
    <t>共通セッション仕様書
https://docs.google.com/spreadsheets/d/1ikVxZpHrIFK2FCtQs16ajXKvIfpkSXLs/edit#gid=1482283303</t>
  </si>
  <si>
    <t>SASUKE_PROJ_H8739-841</t>
  </si>
  <si>
    <t>【単体テスト・不具合】G0201_Web申込み専用ページログイン画面_性別か生年月日が異なる場合のエラー画面が存在しない</t>
    <phoneticPr fontId="3"/>
  </si>
  <si>
    <t>性別か生年月日が異なる場合のエラー画面が存在しない
### Figma
![image][スクリーンショット 2021-01-26 17.33.05.png]
### 実装
pages.unmatch_estimate_barthdate_or_sex　ファイルが存在しない
![image][スクリーンショット 2021-01-26 17.36.36.png]</t>
    <phoneticPr fontId="3"/>
  </si>
  <si>
    <t>pages.unmatch_estimate_barthdate_or_sexのページが存在しないです。</t>
  </si>
  <si>
    <t>unmatch_estimate_barthdate_or_sex.blade.phpのファイルを作成しました。</t>
  </si>
  <si>
    <t>詳細設計書_G0201_Web申込み専用ページログイン画面</t>
    <phoneticPr fontId="3"/>
  </si>
  <si>
    <t>Justin</t>
    <phoneticPr fontId="3"/>
  </si>
  <si>
    <t>実装不備</t>
    <phoneticPr fontId="3"/>
  </si>
  <si>
    <t>vue js の@changeは同じファイルでしたら、changeと反応しないので、&lt;input&gt;タグのValueと同じファイルを選択しますと、@changeのfunctionは起動しない。</t>
  </si>
  <si>
    <t>@changeの処理のあとinputタグのvalueをからにしました。これでしたら同じファイルでしてもchangeと認識されます。</t>
  </si>
  <si>
    <t>詳細設計書G0123本人確認書類提出画面</t>
  </si>
  <si>
    <t>【単体テスト・不具合】G0121_保険料払込方法選択画面_sbps不具合、保険商品チェックApiの実装漏れ</t>
  </si>
  <si>
    <t>①クレジットカードで支払うのラジオボタンを選択し、次へ押下時にsbpsに正しく遷移しない
期待結果：正しく遷移する
②最低Pチェックエラー時に口座振替を選択して次へ押下してもエラーモーダルが表示されない
期待結果：エラーモーダルが表示される</t>
  </si>
  <si>
    <t xml:space="preserve"> ~~実装不備~~ テスト実施不備</t>
  </si>
  <si>
    <t>G0107_Web申込み専用ページログイン画面 でメールアドレスでログイン後、`/webdirect/login`のURLに遷移しても、G0202画面にリダイレクトされない。
G9990_エラー画面に遷移されてしまう。</t>
    <phoneticPr fontId="3"/>
  </si>
  <si>
    <t>2021/01/26
G0202_Web申込み専用トップ画面の連絡参照APIのサンプルのjsonファイル不備によるものでした。
WebdTopBusinessLogic.php でdisplayedDatetimeの値をparseする際にエラーが起きており、エラー画面に遷移されていました。</t>
    <phoneticPr fontId="3"/>
  </si>
  <si>
    <t>SA/UI設計不備
SS設計不備
による実装漏れ</t>
  </si>
  <si>
    <t>SA/UI設計
SS設計：詳細設計書の該当箇所に記載
実装：G0124.blade.phpの先進医療特約と引受緩和型先進医療特約に保険料の実装を記載</t>
    <phoneticPr fontId="3"/>
  </si>
  <si>
    <t>SASUKE_PROJ_H8739-807</t>
  </si>
  <si>
    <t>【単体テスト・不具合】G0123_本人確認書類提出画面_外部認証でbirthDateを格納する際にタイプエラーが起こる</t>
  </si>
  <si>
    <t>docomo本人確認アシストAPIから取得してきた、「birthDate」をOpenID認証情報オブジェクトに格納する際に、タイプエラーで処理が中断される</t>
  </si>
  <si>
    <t>OpenID認証情報オブジェクトのbirthDateの型を「string」に修正</t>
  </si>
  <si>
    <t>小川</t>
    <phoneticPr fontId="3"/>
  </si>
  <si>
    <t>【単体テスト・不具合】G0117_告知情報入力画面(AURA)_子質問で「戻る」を押下すると質問回答済みだが「次へ」が押せない</t>
  </si>
  <si>
    <t>子質問で「戻る」を押下すると質問回答済みだが「次へ」が押せない
![image][スクリーンショット 2021-01-21 12.30.50.png]
　↓
![image][スクリーンショット 2021-01-21 12.31.03.png]
　↓
![image][スクリーンショット 2021-01-21 12.31.12.png]</t>
  </si>
  <si>
    <t xml:space="preserve">全画面共通で必要な「次へ」系の遷移ボタンの多重押下防止処理の対応状況をこちらのチケットで管理する
以下の表で
修正確認ステータスが全て　「済」　になっていたら完了とする
確認者は、
確認して実装されていることが確認できたら「済」
確認して未実装が判明した場合は「未実装」と入れる
全機能対応完了でこのチケットをクローズする
| 画面ID  機能名  | 修正対応者 | 修正確認ステータス | 修正前状況 | 修正内容または、備考 |
| ------------- |------------- |------------- |------------- |------------- |
| G0105  申込前確認画面 | |済 | 対応済 | @click="pushBtn()" |
| G0106  ご本人さま確認に関して画面 |石垣(確認) | | | @click="validateCheckBox"|
| G0107  個人情報入力画面 | | | 未実装 | 実装済 sasuketmにマージされれば完了 | 
| G0108  個人情報確認画面 | | | 実装済 | v-on:click.prevent="clickNextButton()"| 
| G0109  申込内容確認画面 | | | 未実装 | |
| G0110 重要事項確認画面 | |済 | 対応済 | v-on:click="checkEnableElements" | 
| G0111  意向確認画面 |  井内(確認)| | | v-on:click="checkEnableElements" |
| G0112	 告知情報事前確認画面 | |済 | 対応済 | @click="pushBtn()" | 
| G0116	ご職業・年収入力画面   | 井内(確認) | | | |
| G0117	告知情報入力画面(AURA)  | | | 未実装 | |  
| G0118	告知情報確認画面(AURA)  | | | 未実装 |  |  
| G0119	受取人・請求人入力画面 | |済 | 対応済 | @click="pushBtn()" |
| G0120	受取人・請求人確認画面 | |済 | 対応済 | @click="pushBtn()" |  
| G0121	保険料払込方法選択画面 | |済 | 対応済 | | 
| G0123	本人確認書類提出画面 | | | 未実装 | | 
| G0124	申込内容最終確認画面 | | | 未実装 | 関数はあったが未実装 onNextSubmit()|
| G0125	申込完了画面 | | |  未実装 | | 
| G0127	Web申込み専用ページ仮登録完了画面 | | | 実装不要| 戻るボタンしかないため | 
| G0128	Web申込み専用ページログイン画面（仮登録後） | | | 一部未実装 | システムエラー （認証するボタンは（@click="pushBtn()"）、次へボタンがbladeにない）| 
| G0201	Web申込み専用ページログイン画面 | | | 未実装 | | </t>
    <phoneticPr fontId="3"/>
  </si>
  <si>
    <t>多重押下防止処理が実装されていない画面について対応する。
実装不備
（　実装方法についての　参照コメント　）
https://sasuketcmobile.slack.com/archives/C01HXCT3MK7/p1611623968000500?thread_ts=1611562843.039100&amp;cid=C01HXCT3MK7
薬袋さんが実装してくださった二重押下防止処理について【ボタンを非活性にする】にする処理を加えたものを追加いたしました。
&lt;button&gt;について :disabled="ObserverProps.invalid || pushButton" を付与することで送信後に非活性にするようにしております。</t>
    <phoneticPr fontId="3"/>
  </si>
  <si>
    <t>有友</t>
  </si>
  <si>
    <t>★SS設計不備／実装不備
実装不備</t>
    <phoneticPr fontId="3"/>
  </si>
  <si>
    <t>web.phpのルーティング定義が認証ハッシュありと、外部認証コールバックで重なっており、認証ハッシュありのURLに遷移する為</t>
  </si>
  <si>
    <t>G0128_Web申込み専用ページログイン画面（仮登録後）詳細設計書　プロセス概要
https://docs.google.com/spreadsheets/d/17FsWMQyY9xLFEOz3DQbbqFsJpwIlMciS/edit#gid=418015088</t>
    <phoneticPr fontId="3"/>
  </si>
  <si>
    <t>【SS設計不備】G127_Web申込み専用ページ仮登録完了画面_閉じるボタンが使えない</t>
    <phoneticPr fontId="3"/>
  </si>
  <si>
    <t>閉じるボタンを実行するための、window.close() がchromeのセキュリティ的に動作しないので変更する必要がある。
→TOPに戻るボタンに変更する。
→実装は対応済みのため、設計書への反映をお願いします。
SASUKE_PROJ_H8739-638</t>
    <phoneticPr fontId="3"/>
  </si>
  <si>
    <t>実装内容変更による、詳細設計書修正</t>
    <phoneticPr fontId="3"/>
  </si>
  <si>
    <t>【単体テスト・不具合】G0125_申込完了画面_セッションが削除されていない</t>
    <phoneticPr fontId="3"/>
  </si>
  <si>
    <t>TM石川</t>
    <phoneticPr fontId="3"/>
  </si>
  <si>
    <t>セッション削除処理が未実装なため、画面描画後、画面リフレッシュすると申込完了画面が再表示される</t>
    <phoneticPr fontId="3"/>
  </si>
  <si>
    <t>実装不備
（詳細設計書には、セッションより全ての申込情報を破棄する　記載あり）</t>
    <phoneticPr fontId="3"/>
  </si>
  <si>
    <t>申込完了画面表示処理後に申込セッション情報の初期化をおこなった。</t>
    <phoneticPr fontId="3"/>
  </si>
  <si>
    <t>【単体テスト・不具合】G0125_申込完了画面_本人書類確認提出のコードが格納されているときに完了とならない</t>
  </si>
  <si>
    <t>承諾コードに「16：本人確認書類提出完了」が格納されている際に、判定フラグがtrueにならない</t>
  </si>
  <si>
    <t>【単体テスト・不具合】G0118_告知情報確認画面(AURA)_健康状態に関する告知のモーダルの「修正」ボタンが押せない</t>
    <phoneticPr fontId="3"/>
  </si>
  <si>
    <t>健康状態に関する告知のモーダルの「修正」ボタンが押せない
また
親画面の「告知情報を確定する」ボタンも押せない</t>
    <phoneticPr fontId="3"/>
  </si>
  <si>
    <t>親質問更新時にスクロール位置が保持されているため</t>
    <phoneticPr fontId="3"/>
  </si>
  <si>
    <t>【SS設計不備】G0124_申込内容最終確認画面_生年月日の月日部分のフォーマットについて</t>
  </si>
  <si>
    <t>設計書において、生年月日の「月日」部分のフォーマットは「01月01日」であるが、実装では「1月1日」となっている。
どちらが正しいか確定する必要がある。
また、本画面では「計算基準日」も存在するので、あわせて確認をお願いします。</t>
  </si>
  <si>
    <t>野寺樹</t>
    <phoneticPr fontId="3"/>
  </si>
  <si>
    <t>CSSの不備に関するもの
`:hover` はスマホではタップ時のみ機能するものではないので、PCと挙動が異なるため発生するもの</t>
    <phoneticPr fontId="3"/>
  </si>
  <si>
    <t>【単体テスト・不具合】G0117_告知情報入力画面(AURA)_次へで質問を進めていくとシステムエラー</t>
  </si>
  <si>
    <t>小川
![image][スクリーンショット 2021-01-18 17.00.16.png]</t>
  </si>
  <si>
    <t>次へで質問を進めていくとシステムエラーが発生して先に進めなくなる</t>
  </si>
  <si>
    <t>チェックボックスタイプでエラー</t>
  </si>
  <si>
    <t>実装ロジックのミスを修正</t>
  </si>
  <si>
    <t>【単体テスト・不具合】G0117_告知情報入力画面(AURA)_告知のポイントのリンククリックしたモーダルのタイトルが表示されない</t>
  </si>
  <si>
    <t>- 告知のポイントのリンククリックしたモーダルのタイトルが表示されない
- よくある質問・用語解説についても同様にモーダルのタイトルが表示されない
期待結果としては、Figmaのように正しいタイトルが表示されること
（中のiframeのHTMLは後日対応）
![image][スクリーンショット 2021-01-18 16.37.53.png]
![image][スクリーンショット 2021-01-18 16.38.02.png]
Figma
![image][スクリーンショット 2021-01-18 16.41.14.png]</t>
  </si>
  <si>
    <t>・まだ表示させる静的HTMLファイルの連携がされていないため</t>
  </si>
  <si>
    <t>・静的HTMLファイルの連携がされたら呼び出し部分の実装</t>
  </si>
  <si>
    <t>森山</t>
    <phoneticPr fontId="3"/>
  </si>
  <si>
    <t>・通常フローで「次へ」ボタンを押下した際に、セッションのアカウント情報に詰める情報が足りない。
・外部認証をしていない場合、外部認証コードには「null」を格納するが、現在フォームから送られてきた空文字をintでキャストして格納している結果「０」が格納されてしまっている。
　　※sasuke須永さんより、外部認証をしていない場合の格納する値を伺ったところ、「null」を格納とご回答いただきました。</t>
    <phoneticPr fontId="3"/>
  </si>
  <si>
    <t>詳細設計書_G0107_個人情報入力画面.xlsx</t>
    <phoneticPr fontId="3"/>
  </si>
  <si>
    <t>【単体テスト・不具合】G0117_告知情報入力画面(AURA)_〜門中〜問目の表記の問題数計算単位</t>
    <phoneticPr fontId="3"/>
  </si>
  <si>
    <t>〜門中〜問目の表記の問題数計算単位が、大きい質問単位で数えるのが正しく
最大で「７問中〜問目」となるはずだが、２５問中と表記されている</t>
    <phoneticPr fontId="3"/>
  </si>
  <si>
    <t>実装時にUI設計書、SS設計書の見落とし</t>
    <phoneticPr fontId="3"/>
  </si>
  <si>
    <t>実装修正</t>
    <phoneticPr fontId="3"/>
  </si>
  <si>
    <t>【単体テスト・不具合】G0117_告知情報入力画面(AURA)_PCレイアウトだと〜門中〜問目の表記が表示されない</t>
  </si>
  <si>
    <t>PCレイアウトだと〜門中〜問目の表記が表示されない
![image][スクリーンショット 2021-01-18 13.10.47.png]
![image][スクリーンショット 2021-01-18 13.11.03.png]</t>
  </si>
  <si>
    <t>詳細設計書_G0124_申込内容最終確認画面</t>
    <phoneticPr fontId="3"/>
  </si>
  <si>
    <t>【単体テスト・不具合】G0128_Web申込専用ページログイン画面（仮登録後） 外部認証ログインの設計不備</t>
    <phoneticPr fontId="3"/>
  </si>
  <si>
    <t>基本設計不備</t>
    <phoneticPr fontId="3"/>
  </si>
  <si>
    <t>外部認証でログインするとき、初期表示のとき外部認証IDと外部認証コードを保持していない。
そのため、認証するボタンを押下時、アカウント認証APIに外部認証IDと外部認証コードをポストできない。　</t>
    <phoneticPr fontId="3"/>
  </si>
  <si>
    <t>基本設計書_G0128_Web申込専用ページログイン画面（仮登録後）
https://docs.google.com/spreadsheets/d/1GJq5fq8rWwjbzyZCDBcsmORKtotJFFwd/edit#gid=1122593218
詳細設計書_G0128_Web申込専用ページログイン画面（仮登録後）
https://docs.google.com/spreadsheets/d/17FsWMQyY9xLFEOz3DQbbqFsJpwIlMciS/edit#gid=1085321353</t>
    <phoneticPr fontId="3"/>
  </si>
  <si>
    <t>【単体テスト・不具合】G0121_保険料払込方法選択画面_口座振替モーダルの×ボタンが非表示</t>
  </si>
  <si>
    <t>詳細には確認できていませんが、クレジットカードのモーダルとdiv構造が異なっているように感じました。</t>
  </si>
  <si>
    <t>モーダルの記述が崩れていたため修正しました。</t>
  </si>
  <si>
    <t>【単体テスト・不具合】G0107_個人情報入力画面_二重押下出来てしまう</t>
    <phoneticPr fontId="3"/>
  </si>
  <si>
    <t>次画面へ遷移するために、「次へ」ボタンを二重で押下出来てしまう。</t>
    <phoneticPr fontId="3"/>
  </si>
  <si>
    <t>【単体テスト・不具合】G0121_保険料払込方法選択画面_SBPS外部サイトからの戻りのメソッドがGETになっている</t>
    <phoneticPr fontId="3"/>
  </si>
  <si>
    <t>表題の通り。
詳細設計書：
&gt; SBPS外部サイトからの戻り
&gt;1. SBPSからの処理結果をPOSTで受け取る
実装：
```
// G0121.保険料払込方法選択画面のルート
Route::get('/estimate/payment-input', 'PaymentInputController')-&gt;name('G0121');  // 初期表示
Route::post('/estimate/payment-input/sbps-cgi-callback', 'PaymentInputController@sbpsCgiCallback')-&gt;name('G0121FromCGI');  // サーバ間通信
Route::get('/estimate/payment-input-sbps-callback', 'PaymentInputController@sbpsCallback')-&gt;name('G0121FromSBPS');  // SBPSからの戻り ←該当箇所
Route::post('/estimate/payment-input-next', 'PaymentInputController@next')-&gt;name('G0121Next');  // 「あとで入力を行う」押下時処理
```</t>
    <phoneticPr fontId="3"/>
  </si>
  <si>
    <t>【単体テスト・不具合】単体テスト仕様書兼結果書_G0121_保険料払込方法選択画面.xlsx
https://drive.google.com/file/d/1yz8WC-mIkkmnPHbe1dGw_bFlZsuHjbnN/view?usp=sharing</t>
    <phoneticPr fontId="3"/>
  </si>
  <si>
    <t>【詳細設計不備】G0121_保険料払込方法選択画面_「あとで入力を行う」押下時のPOSTパラメタ名が詳細設計書と実装で異なる</t>
  </si>
  <si>
    <t>あとで入力を行う処理時のPOSTパラメタ名が詳細設計書と実装で異なる。
詳細設計書：paymentMethod　　　
実装：paymentChannel
paymentMethodは、払込方法（回数）で
paymentChannelが、払込経路であると思います。</t>
  </si>
  <si>
    <t>コメント欄にて記載されているプルリクでの修正は、
森山さんのほうで戻しておくとのことです。</t>
  </si>
  <si>
    <t>【単体テスト・不具合】G0107_個人情報入力画面_該当住所取得後のプリセット箇所が違う</t>
  </si>
  <si>
    <t>郵便番号検索し、該当住所を取得してきた際に、下記フォームにプリセットする内容が異なる。
・市区群・町村
・丁目・番地</t>
  </si>
  <si>
    <t>SS設計不備による、取得したきたデータのプリセット箇所誤り</t>
  </si>
  <si>
    <t>取得してきたデータを下記のように設定するに変更
市区群・町村：city  **+ town**
丁目・番地： ~~town +~~  house_num</t>
  </si>
  <si>
    <t>詳細設計書_G0107_個人情報入力画面.xlsx
https://drive.google.com/file/d/1vjYYd-hfRQHndNoOJd4-kagjKeZ32vu0/view?usp=sharing</t>
  </si>
  <si>
    <t>【単体テスト・不具合】G0108_個情報確認画面 ログイン時に次へボタンを押下すると、常にポップアップが表示される。</t>
  </si>
  <si>
    <t>申込参照APIのバックエンドモックの日付をnullにしても、
ログイン時に「すでにお申込み途中のプランがあります上書きしてよろしいですか
このままお申込みを進めると、～」の文言がポップアップが常に表示される。　</t>
  </si>
  <si>
    <t>オブジェクト内の存在しないプロパティの値についてemptyで参照していたため
常にtrueが返却され、確認画面のポップアップが表示されていた。
@yishigaki3 
applyDateTimeについては下記の認識です。
認識齟齬がないか確認お願いします。
applyDateTimeがnull→手続き途中申込あり→確認画面ポップアップ表示
applyDateTimeがnullでない→手続き途中申込なし→確認画面ポップアップ表示なし
&gt;   ・すでに手続き中のデータがあるか
&gt;　　申込参照APIで申込日が未設定のデータが存在するか確認
&gt;　　存在する場合：確認画面を表示し、手続き中のデータを破棄し、今の申込を進めるか確認を行う。
&gt;　　はいを選んだ場合、申込削除APIをコール、正常終了後、申込追加APIをコールする
&gt;　　いいえを選んだ場合、当画面に留まる
&gt;(ポップアップのレイアウトは画面レイアウトシート参照)
画面設計書_G0108_個人情報確認画面</t>
  </si>
  <si>
    <t>SS設計を正規のURLに修正
・参照するプロパティの値についてスペルミスを修正「applyDateTime」→「applyDatetime」
・判定をemptyからis_nullへ変更</t>
  </si>
  <si>
    <t>https://drive.google.com/file/d/1vntEud9OYMEiIKA6Cv1XISIDK1m_zmDS/view?usp=sharing</t>
  </si>
  <si>
    <t>【単体テスト・不具合】G0128_Web申込み専用ページログイン画面（仮登録後）_認証するボタンの多重押下が可能</t>
  </si>
  <si>
    <t>「認証する」ボタンが複数回クリックできる</t>
  </si>
  <si>
    <t>特にボタン押下時の制御は何も行われていない状態であった。</t>
  </si>
  <si>
    <t>ボタン押下時のチェックをフラグ形式で行うように修正。</t>
  </si>
  <si>
    <t>【未実装】G0128_Web申込み専用ページログイン画面（仮登録後）_外部認証ログイン画面が表示されない</t>
    <phoneticPr fontId="3"/>
  </si>
  <si>
    <t>下記3種類の外部認証ログイン画面が表示されない
・LINE
・dアカウント
・Yahoo!</t>
    <phoneticPr fontId="3"/>
  </si>
  <si>
    <t>【単体テスト・不具合】G0128_Web申込み専用ページログイン画面（仮登録後）_Figmaのデザインと異なる</t>
    <phoneticPr fontId="3"/>
  </si>
  <si>
    <t>下記箇所が異なる。
・「認証する」ボタンの形状が異なる
・背景色がついていない
■実装
![image][【現在の画面】218_web申込専用ページログイン画面.png]
■Figma
![image][【Figma】218_web申込専用ページログイン画面.png]</t>
    <phoneticPr fontId="3"/>
  </si>
  <si>
    <t>対応時の取り込み漏れと思われる。</t>
    <phoneticPr fontId="3"/>
  </si>
  <si>
    <t>下記をFigmaに合わせて修正しました。
・「認証する」ボタンの形状が異なる
・背景色がついていない</t>
    <phoneticPr fontId="3"/>
  </si>
  <si>
    <t>【単体テスト・不具合】G0127_Web申込み専用ページ仮登録完了画面　再読込み時エラー画面に遷移される。</t>
    <phoneticPr fontId="3"/>
  </si>
  <si>
    <t>Koichi Kibe</t>
    <phoneticPr fontId="3"/>
  </si>
  <si>
    <t>対応なし</t>
    <phoneticPr fontId="3"/>
  </si>
  <si>
    <t>G0127_Web申込み専用ページ仮登録完了画面に遷移した後、再読込み時にエラー画面に遷移される。</t>
    <phoneticPr fontId="3"/>
  </si>
  <si>
    <t>セッションをすべて破棄しているため、再読み込み時にメールアドレスが存在せず
エラー画面に遷移されてしまう。</t>
    <phoneticPr fontId="3"/>
  </si>
  <si>
    <t>詳細設計書のファイル名を記載する。</t>
    <phoneticPr fontId="3"/>
  </si>
  <si>
    <t>【単体テスト・不具合】G0107_個人情報入力画面　Web申込み専用ページログインボタンを押下しても遷移できない</t>
    <phoneticPr fontId="3"/>
  </si>
  <si>
    <t>石川</t>
    <phoneticPr fontId="3"/>
  </si>
  <si>
    <t>Web申込み専用ページログインボタンを押下しても遷移できない</t>
    <phoneticPr fontId="3"/>
  </si>
  <si>
    <t>【単体テスト・不具合】G0116_ご職業・年収入力画面_バリデーションエラー通知モーダル画面に「×」ボタンがない</t>
  </si>
  <si>
    <t>バリデーションエラー通知モーダル画面に「×」ボタンがない
![image][スクリーンショット 2021-01-13 20.41.03.png]</t>
  </si>
  <si>
    <t>【単体テスト・不具合】G0127_Web申込み専用ページ仮登録完了画面　エラー画面に遷移されてしまう。</t>
    <phoneticPr fontId="3"/>
  </si>
  <si>
    <t>G9990エラー画面に遷移されてしまう。</t>
    <phoneticPr fontId="3"/>
  </si>
  <si>
    <t>スタックレース
```
#0 [internal function]: Illuminate\\Foundation\\Bootstrap\\HandleExceptions-&gt;handleError(2, 'str_repeat(): S...', '/var/www/html/a...', 64, Array) 
#1 /var/www/html/app/Domain/WebdRegisterBusinessLogic.php(64): str_repeat('*', -1) 
#2 /var/www/html/app/Domain/WebdRegisterBusinessLogic.php(42): App\\Domain\\WebdRegisterBusinessLogic-&gt;hideEmail('') 
```
WebdRegisterBusinessLogic.php のprivate function hideEmail($email) の $replace = str_repeat("*", $hide); の部分で $hideが-1が入っている。
+ スタックトレースの詳細
添付ファイル参照　stacktraceG0127.txt</t>
    <phoneticPr fontId="3"/>
  </si>
  <si>
    <t>メールアドレスを商品付加バージョン２の申込情報.契約者.メールアドレスから取得するよう修正</t>
    <phoneticPr fontId="3"/>
  </si>
  <si>
    <t>【未実装】G0107_個人情報入力画面_商品付加バージョン３である際の処理実装</t>
  </si>
  <si>
    <t>G0124_申込内容最終確認画面から遷移してきた際の挙動で、商品付加バージョン３を考慮する必要あり</t>
  </si>
  <si>
    <t>G0124 申込内容最終確認画面からの戻り時に、申込セッションから商品付加バージョン２を取得していた。</t>
  </si>
  <si>
    <t>G0124 申込内容最終確認画面からの戻り時は、商品付加バージョン３を取得する。</t>
  </si>
  <si>
    <t>詳細設計書_G0107_個人情報入力画面.xlsx (1/26 修正済)</t>
  </si>
  <si>
    <t>【単体テスト・不具合】G0116_ご職業・年収入力画面_「次へ」押下後に二重押下防止のために非活性にならない</t>
  </si>
  <si>
    <t>「次へ」押下後に二重押下防止のために非活性にならない</t>
  </si>
  <si>
    <t>二重押下防止の処理の実装漏れ。</t>
  </si>
  <si>
    <t>家塚</t>
    <phoneticPr fontId="3"/>
  </si>
  <si>
    <t>戻るで遷移した際に入力内容が反映される実装が行われていなかったため。</t>
    <phoneticPr fontId="3"/>
  </si>
  <si>
    <t>セッションに格納されているデータを取得し、設定するように修正。</t>
    <phoneticPr fontId="3"/>
  </si>
  <si>
    <t>【単体テスト・不具合】G0116_ご職業・年収入力画面_文言（各職業配下全ての）職種「サービス業」</t>
  </si>
  <si>
    <t>文言（各職業配下全ての）職種「サービス業」
【誤】サービス業
【正】サービス業(他に分類されないもの)
![image][スクリーンショット 2021-01-13 18.42.18.png]</t>
  </si>
  <si>
    <t>テキストボックスに対してonChange()的なトリガーでチェックをしているため。</t>
  </si>
  <si>
    <t>【単体テスト・不具合】G0123_本人確認書類提出画面_dアカウント選択時にファイルアップロードしてるがよろしいですかのポップアップ</t>
    <phoneticPr fontId="3"/>
  </si>
  <si>
    <t>G0123本人確認書類提出画面で
（１）ファイルアップロード
（２）dアカウントで本人確認ラジオボタン選択
（３）次へ
「アップロードされている画像がありますが、あとで提出するで進んでよろしいですか？」というポップアップが出る
　↓
こちら、詳細設計書でもこうなっていましたが、ポップアップでないように詳細設計を川村さんに修正していただいたので実装も修正お願いします</t>
    <phoneticPr fontId="3"/>
  </si>
  <si>
    <t>dアカウントで画像アップロードしたら次へボタンのポップアップを出るようにの処理がありました。</t>
    <phoneticPr fontId="3"/>
  </si>
  <si>
    <t>dアカウントで画像アップロードしたら次へボタンのポップアップを出るようにの処理を外しました。</t>
    <phoneticPr fontId="3"/>
  </si>
  <si>
    <t>【単体テスト・不具合】G0116_ご職業・年収入力画面_年収ドロップダウンの左右の余白が他のドロップダウンより狭い</t>
    <phoneticPr fontId="3"/>
  </si>
  <si>
    <t>年収ドロップダウンの余白が他のドロップダウンより狭い
同じ画面の「仕事の内容」ドロップダウンよりも「年収」の左右の余白が狭い（スクショ参照）
![image][スクリーンショット 2021-01-13 15.37.34.png]</t>
    <phoneticPr fontId="3"/>
  </si>
  <si>
    <t>cssの設定値不備</t>
    <phoneticPr fontId="3"/>
  </si>
  <si>
    <t>PCレイアウト修正時にセレクトボックスのデザイン修正</t>
    <phoneticPr fontId="3"/>
  </si>
  <si>
    <t>【単体テスト・不具合】G0107_個人情報入力画面　外部認証ができない。</t>
    <phoneticPr fontId="3"/>
  </si>
  <si>
    <t>Yahoo,Line,DocomoのClient_idが設定されていないため外部認証ができない。</t>
    <phoneticPr fontId="3"/>
  </si>
  <si>
    <t>【単体テスト・不具合】G127_Web申込み専用ページ仮登録完了画面　閉じるボタンでウィンドウが閉じない。</t>
    <phoneticPr fontId="3"/>
  </si>
  <si>
    <t>閉じるボタンでウィンドウが閉じない。</t>
    <phoneticPr fontId="3"/>
  </si>
  <si>
    <t>window.close() は、chromeにおいてセキュリティ的にNGとなっている。</t>
    <phoneticPr fontId="3"/>
  </si>
  <si>
    <t>【単体テスト・不具合】G0116_ご職業・年収入力画面_年収選択ドロップダウンリストを選択すると青い枠が表示される</t>
    <phoneticPr fontId="3"/>
  </si>
  <si>
    <t>年収選択ドロップダウンリストを選択すると青い枠が表示される
![image][スクリーンショット 2021-01-13 11.02.42.png]</t>
    <phoneticPr fontId="3"/>
  </si>
  <si>
    <t>PCレイアウト修正時にセレクトボックスのデザイン修正</t>
    <phoneticPr fontId="3"/>
  </si>
  <si>
    <t>【SS設計不備／単体テスト・不具合】G0116_ご職業・年収入力画面_自営業の勤務先に「なし」と入れないとバリデーションエラー</t>
  </si>
  <si>
    <t>【単体テスト・不具合】G0116_ご職業・年収入力画面_自営業の勤務先に「なし」と入れないとバリデーションエラー
自営業で勤務先が有る人のために注意書きが記載されていて、入力項目が表示されていると思う　かつ、勤務先非表示になるケースがあるので設計不備な気がする
バリデーション仕様書
https://docs.google.com/spreadsheets/d/1bM9GwmW8A7Mwjw8rLljv1R7PpcdkA-Tr/edit#gid=1606889947
![image][スクリーンショット 2021-01-13 10.29.15.png]
![image][スクリーンショット 2021-01-13 16.17.36.png]</t>
  </si>
  <si>
    <t>画面設計書_共通バリデーションチェック仕様書の修正</t>
  </si>
  <si>
    <t>https://drive.google.com/drive/u/0/folders/1CbM56AVtzmWiYuitAMop9srEf2sz1X7- 画面設計書_共通バリデーションチェック仕様書</t>
  </si>
  <si>
    <t>【SA/UI設計不備】G0119_受取人・請求人入力画面_JS側のバリデーションエラーのメッセージが設計書と異なる</t>
    <phoneticPr fontId="3"/>
  </si>
  <si>
    <t>下記4点の項目はフロント(js)側のバリデーション処理になります。
1.姓と名の各テキストボックスが 34文字以上入力できない（maxlengthで33と指定してあるが設計書に記載なし）
2.姓と名の各テキストボックスにスペースを入れフォーカスアウトすると、姓のフォーマットが表示されないと表示される（設計書に記載なし）
3.姓と名の各テキストボックスで環境文字など入力し、フォーカスアウトすると「氏名は35文字以内以内で入力してください」と表示される（メッセージが不正な文字種が入力されています。入力内容を見直してください。に基本設計書を変更1/9）
4.入力必須のバリデーションメッセージが「〇〇は必須項目です」と表示される（設計書では「〇〇は入力が必須です」）</t>
    <phoneticPr fontId="3"/>
  </si>
  <si>
    <t>画面設計書_G0119_受取人・請求人入力画面</t>
    <phoneticPr fontId="3"/>
  </si>
  <si>
    <t>【単体テスト・不具合】G0123_本人確認書類提出画面_HEIC画像をアップロードするとプレビューが表示されない</t>
  </si>
  <si>
    <t>HEIC画像をアップロードするとプレビューが表示されない</t>
  </si>
  <si>
    <t>HEIC/HEIFのプレビューはブラウザが対応していない</t>
  </si>
  <si>
    <t>HEIFも同様に対応する。
libheif-js を使用して、HEIC/HEIF画像のプレビュー対応を実施しました。
https://www.npmjs.com/package/libheif-js
サンプル
https://github.com/strukturag/libheif/blob/master/examples/demo.html</t>
  </si>
  <si>
    <t>PDFのプレビューはブラウザが対応していない</t>
  </si>
  <si>
    <t>PDF.jsを使用してプレビューを実現するようにした
参考：https://qiita.com/kakita-yzrh/items/3761a6599c783284aa60</t>
  </si>
  <si>
    <t>申込フロー側が使用している共通変換処理に年計算の不具合があり
1989年であれば、「昭和62年・平成元年」に変換されていました。
また「表題ような元号の境目のときに新しい方の元号しか表示されていない」に関しては再現できませんでした。
「昭和」でGrepしても、処理は試算エリア式と申込フローが利用している共通処理式の２パターンしかないようです。</t>
    <phoneticPr fontId="3"/>
  </si>
  <si>
    <t>試算エリアと同じ処理に合わせました。
不具合部分のみ対応すると紛らわしくなるため。
（JavaScriptやItaTestControllerも試算エリアと同じ処理になっています）
→試算エリアも申込フローが利用している共通処理の呼出に変更されていることを確認（1/20）</t>
    <phoneticPr fontId="3"/>
  </si>
  <si>
    <t>ジャスティン</t>
    <phoneticPr fontId="3"/>
  </si>
  <si>
    <t>OK iconのコードが追加されていませんでした。</t>
  </si>
  <si>
    <t>OK iconのタグをBlade.phpに追加しまして、v-if="removeImg"の処理でフィアルアップロード時に出るようにしました。</t>
  </si>
  <si>
    <t>【単体テスト・不具合】外部ログインの共有ロジックファイルについて</t>
  </si>
  <si>
    <t>共有ロジックファイル「 **ExternalLogin.php** 」の関数である、 **getExternalLoginInfo** の第二引数と、
各外部ログインに関するロジックファイルで、呼び出した際の第二引数が、
ユニットテストを実行した際に、タイプエラーとして認識され、テストが出来ない。
※今回は、「IndividualInputYahooBusinessLogic」のテストを行っていました。</t>
  </si>
  <si>
    <t>【単体テスト・不具合】G0123_本人確認書類提出画面_SPでファイルアップロード時、ファイルサイズ大きい場合にバリデーションエラーメッセージに気づかない</t>
  </si>
  <si>
    <t>SPでファイルアップロード時、ファイルサイズ大きい場合にバリデーションエラーメッセージに気づかない
期待結果は、アップロード部品のすぐ下にエラーメッセージを表示されること
（チケットのコメントから引用、こちらがエラー表示位置の共通仕様だそうです）
・バリデーションエラー：項目のすぐ下にエラー表示
・フロントサーバーチェックエラー：画面上部にエラー文言
・APIエラー：エラーポップアップ
１
![image][スクリーンショット 2021-01-12 14.35.25.png]
↓
２
![image][スクリーンショット 2021-01-12 14.35.43.png]
↓
３選択後
![image][スクリーンショット 2021-01-12 14.35.56.png]
↓
４上にスクロールするとエラーメッセージが出ている
![image][スクリーンショット 2021-01-12 14.36.05.png]</t>
  </si>
  <si>
    <t>ファイルサイズ大きい場合にバリデーションエラーメッセージは直下にはなかったです。</t>
  </si>
  <si>
    <t>ファイルサイズ大きい場合にバリデーションエラーメッセージをアップロードの直下に追加しました。
ファイルサイズエラー時のみ表示するようにしました。</t>
  </si>
  <si>
    <t>【詳細設計書不備】G0123_本人確認書類提出画面_書類ドロップダウン変更時にアップロード済ファイル情報がクリアされる仕様は必要ないので削除</t>
  </si>
  <si>
    <t>G0123_本人確認書類提出画面_書類ドロップダウン変更時にアップロード済ファイル情報がクリアされる仕様について1/9に追記されているが、マインナンバーカード選択時に裏面非表示になって次へを押下した際に別書類の裏面情報が送信されることを懸念したもので
マイナンバーカード選択時には裏面情報が送信されないようにはなっているので当該の仕様は不要</t>
  </si>
  <si>
    <t xml:space="preserve"> 詳細設計書_G0123_本人確認書類提出画面</t>
  </si>
  <si>
    <t>【SS設計不備】G0123_本人確認書類提出画面_「dアカウントでの確認について」リンク非活性の仕様の記述は不要</t>
    <phoneticPr fontId="3"/>
  </si>
  <si>
    <t>川村</t>
    <phoneticPr fontId="3"/>
  </si>
  <si>
    <t>以下の仕様は不要
「dアカウントでの確認について」リンク押下									
1.「https://www.nttdocomo.co.jp/biz/service/kyc/」左記を別タブで表示する。									
	※チェックボックス未選択時の際は当該ボタン非活性とする。	
![image][スクリーンショット 2021-01-12 13.17.12.png]</t>
    <phoneticPr fontId="3"/>
  </si>
  <si>
    <t>【単体テスト・不具合】G0123_本人確認書類提出画面_マイナンバー、保険証選択後の注意事項のチェックを片方入れて閉じるともう片方に変更してチェックしなくても次へが押せてしまう</t>
  </si>
  <si>
    <t>マイナンバー、保険証選択後の注意事項のチェックを片方入れて閉じるともう片方に変更してチェックしなくても次へが押せてしまう</t>
  </si>
  <si>
    <t>・意事項のチェックにValidationというメソッドを作り、意事項にチェックしますと、Booleanの値を保存します。
・OnchangeのメソッドにこのBoolean値を確認し、Falseの場合は「次へ」ボタンを無効にしました。
・意事項のチェックを入れずポップアップ閉じるとエラーメッセージを出すようにしました。</t>
  </si>
  <si>
    <t>【SS設計不備】G0123_本人確認書類提出画面_次へボタンの活性化制御</t>
  </si>
  <si>
    <t>G0123_本人確認書類提出画面_次へボタンの活性化制御が、詳細設計書では
マイナンバーカード以外は
裏面をアップロードしないと「次へ」が非活性になる記述があるが、実際は必須ではないので非活性にしなくて良い
![image][スクリーンショット 2021-01-12 11.24.23.png]
![image][スクリーンショット 2021-01-12 11.30.17.png]</t>
  </si>
  <si>
    <t>【単体テスト・不具合】G0119_受取人・請求人入力画面_コンソールにjsのエラーが出力される</t>
  </si>
  <si>
    <t>下記のエラーが開発者ツールのコンソールに表示される
Error in v-on handler:"TypeError: Cannot read property 'selected' of undefined"
TypeError: Cannot read property 'selected' of undefined</t>
  </si>
  <si>
    <t>うるう年の判定用の関数に、準備されていないオブジェクトを渡していたため。</t>
  </si>
  <si>
    <t>オブジェクトの有無の判定とデフォルト値の指定。</t>
  </si>
  <si>
    <t>詳細設計書_G0119_受取人・請求人入力画面.xlsx</t>
  </si>
  <si>
    <t>【単体テスト・不具合】G0120_受取人・請求人確認画面_戻るを押下した際、プリセットで被保険者からみた続柄が選択されない</t>
  </si>
  <si>
    <t>プリセットで被保険者からみた続柄が選択されない
![image][No5.png]</t>
  </si>
  <si>
    <t>【単体テスト・不具合】最初から始める際セッションに前回の申込情報がいる場合の考慮</t>
    <phoneticPr fontId="3"/>
  </si>
  <si>
    <t>最初から始める際セッションに前回の申込情報がいる場合の考慮ができていない</t>
    <phoneticPr fontId="3"/>
  </si>
  <si>
    <t>【単体テスト・不具合】G0111意向確認画面 当初意向→最終意向で同じ商品は残ったまま商品追加されている場合に変更確認メッセージが出ない</t>
  </si>
  <si>
    <t>G0111意向確認画面 当初意向→最終意向で同じ商品は残ったまま商品追加されている場合に変更確認メッセージ
「お申込み手続き開始当初よりご意向が変更されました。ご確認ください。」
が表示されない</t>
  </si>
  <si>
    <t>【単体テスト・不具合】G0119_受取人・請求人入力画面_氏名に半角文字を入力した後フォーカスアウトで全角に変換されない</t>
    <phoneticPr fontId="3"/>
  </si>
  <si>
    <t>田口</t>
    <phoneticPr fontId="3"/>
  </si>
  <si>
    <t>・氏名入力欄に半角で文字を入力・フォーカスアウト後、全角に自動変換されない</t>
    <phoneticPr fontId="3"/>
  </si>
  <si>
    <t xml:space="preserve"> 【単体テスト・不具合】G0112_告知情報事前確認画面_次へボタン押下時にエラー画面に遷移</t>
  </si>
  <si>
    <t>・エラー画面に遷移する</t>
  </si>
  <si>
    <t>・未実装のため
　web.phpが下記のようになっているためsasuketmにコードが入っていないと考えられます。
```
// G0117.告知情報入力画面（AURA）のルート
Route::get('/G0117', 'G9999Controller')-&gt;name('G0117');
```</t>
  </si>
  <si>
    <t>取得日時：2021/01/27 17:03:08</t>
    <phoneticPr fontId="3"/>
  </si>
  <si>
    <t>SASUKE_PROJ_H8739-843</t>
  </si>
  <si>
    <t>【単体テスト・不具合】G0214_Web申込み専用ページメールアドレス変更画面_サーバ側のバリデーションエラーメッセージ</t>
  </si>
  <si>
    <t>対応しない</t>
  </si>
  <si>
    <t>各フォームを未入力の状態で、postした際に、下記バリデーションエラーメッセージが返ってくる
・有効なメールアドレスを半角英数字と記号で入力してください</t>
  </si>
  <si>
    <t>取得日時：2021/01/27 17:03:17</t>
    <phoneticPr fontId="3"/>
  </si>
  <si>
    <t>メッセージが違っていました。</t>
  </si>
  <si>
    <t>メッセージを正しく直しました。</t>
  </si>
  <si>
    <t>画面設計書_G0213_本人確認情報アップロード画面</t>
  </si>
  <si>
    <t xml:space="preserve">告知のポイント、用語解説モーダルのiframe内のHTMLを受領できていない
そのため、空っぽのモーダルが表示される
いつまでに誰が対応して誰が受領するのか管理する必要がある
 ![image][スクリーンショット 2021-01-18 16.37.53.png]
 ![image][スクリーンショット 2021-01-18 16.38.02.png]
 ![image][スクリーンショット 2021-01-18 16.41.14.png] </t>
  </si>
  <si>
    <t>本日d社とのMTGの中で追加の課題や一部ID未受領などあり。</t>
    <rPh sb="0" eb="2">
      <t xml:space="preserve">ホンジツ </t>
    </rPh>
    <rPh sb="3" eb="4">
      <t xml:space="preserve">シャ </t>
    </rPh>
    <rPh sb="12" eb="14">
      <t xml:space="preserve">ツイカ </t>
    </rPh>
    <rPh sb="18" eb="20">
      <t xml:space="preserve">イチブ </t>
    </rPh>
    <rPh sb="22" eb="25">
      <t xml:space="preserve">ミジュリョウ </t>
    </rPh>
    <phoneticPr fontId="3"/>
  </si>
  <si>
    <t>※本人確認アシストAPIは受領済み、利用者情報取得要求APIが未受領</t>
    <rPh sb="1" eb="5">
      <t xml:space="preserve">ホンニンカクニン </t>
    </rPh>
    <rPh sb="13" eb="15">
      <t xml:space="preserve">ジュリョウ </t>
    </rPh>
    <rPh sb="15" eb="16">
      <t xml:space="preserve">ズミ </t>
    </rPh>
    <phoneticPr fontId="3"/>
  </si>
  <si>
    <t>そのため一部IDの埋め込みなどの対応が2月に差し込む可能性あり。</t>
    <rPh sb="4" eb="6">
      <t xml:space="preserve">イチブ </t>
    </rPh>
    <rPh sb="16" eb="18">
      <t xml:space="preserve">タイオウ </t>
    </rPh>
    <rPh sb="22" eb="23">
      <t xml:space="preserve">サシコム </t>
    </rPh>
    <rPh sb="26" eb="29">
      <t xml:space="preserve">カノウセイ </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</si>
</sst>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_ "/>
    <numFmt numFmtId="177" formatCode="mm/dd"/>
    <numFmt numFmtId="178" formatCode="aaa"/>
  </numFmts>
  <fonts count="26">
    <font>
      <sz val="11"/>
      <color theme="1"/>
      <name val="Yu Gothic"/>
      <family val="2"/>
      <scheme val="minor"/>
    </font>
    <font>
      <sz val="11"/>
      <color theme="1"/>
      <name val="Yu Gothic"/>
      <family val="2"/>
      <charset val="128"/>
      <scheme val="minor"/>
    </font>
    <font>
      <sz val="11"/>
      <color theme="1"/>
      <name val="Yu Gothic"/>
      <family val="2"/>
      <charset val="128"/>
      <scheme val="minor"/>
    </font>
    <font>
      <sz val="6"/>
      <name val="Yu Gothic"/>
      <family val="3"/>
      <charset val="128"/>
      <scheme val="minor"/>
    </font>
    <font>
      <sz val="9"/>
      <color theme="1"/>
      <name val="Yu Gothic"/>
      <family val="3"/>
      <charset val="128"/>
      <scheme val="minor"/>
    </font>
    <font>
      <b/>
      <sz val="9"/>
      <color theme="1"/>
      <name val="Yu Gothic"/>
      <family val="3"/>
      <charset val="128"/>
      <scheme val="minor"/>
    </font>
    <font>
      <b/>
      <u/>
      <sz val="11"/>
      <color theme="1"/>
      <name val="Yu Gothic"/>
      <family val="3"/>
      <charset val="128"/>
      <scheme val="minor"/>
    </font>
    <font>
      <u/>
      <sz val="11"/>
      <color theme="10"/>
      <name val="Yu Gothic"/>
      <family val="2"/>
      <scheme val="minor"/>
    </font>
    <font>
      <sz val="9"/>
      <color theme="1"/>
      <name val="Yu Gothic"/>
      <family val="2"/>
      <scheme val="minor"/>
    </font>
    <font>
      <sz val="11"/>
      <color rgb="FF000000"/>
      <name val="Yu Gothic"/>
      <family val="3"/>
      <charset val="128"/>
    </font>
    <font>
      <b/>
      <sz val="11"/>
      <color theme="1"/>
      <name val="Yu Gothic"/>
      <family val="3"/>
      <charset val="128"/>
      <scheme val="minor"/>
    </font>
    <font>
      <u/>
      <sz val="9"/>
      <color theme="10"/>
      <name val="Yu Gothic"/>
      <family val="2"/>
      <scheme val="minor"/>
    </font>
    <font>
      <sz val="11"/>
      <color rgb="FFFF0000"/>
      <name val="Yu Gothic"/>
      <family val="2"/>
      <charset val="128"/>
      <scheme val="minor"/>
    </font>
    <font>
      <sz val="6"/>
      <name val="Yu Gothic"/>
      <family val="2"/>
      <charset val="128"/>
      <scheme val="minor"/>
    </font>
    <font>
      <sz val="11"/>
      <color theme="1"/>
      <name val="Yu Gothic"/>
      <family val="3"/>
      <charset val="128"/>
      <scheme val="minor"/>
    </font>
    <font>
      <sz val="8"/>
      <color theme="1"/>
      <name val="Yu Gothic"/>
      <family val="3"/>
      <charset val="128"/>
      <scheme val="minor"/>
    </font>
    <font>
      <sz val="11"/>
      <color theme="4"/>
      <name val="Yu Gothic"/>
      <family val="2"/>
      <charset val="128"/>
      <scheme val="minor"/>
    </font>
    <font>
      <sz val="10"/>
      <color theme="1"/>
      <name val="Yu Gothic"/>
      <family val="3"/>
      <charset val="128"/>
      <scheme val="minor"/>
    </font>
    <font>
      <sz val="10"/>
      <color theme="1"/>
      <name val="Yu Gothic"/>
      <family val="2"/>
      <charset val="128"/>
      <scheme val="minor"/>
    </font>
    <font>
      <b/>
      <sz val="16"/>
      <color theme="1"/>
      <name val="Yu Gothic"/>
      <family val="3"/>
      <charset val="128"/>
      <scheme val="minor"/>
    </font>
    <font>
      <b/>
      <sz val="10"/>
      <color theme="1"/>
      <name val="Yu Gothic"/>
      <family val="3"/>
      <charset val="128"/>
      <scheme val="minor"/>
    </font>
    <font>
      <sz val="11"/>
      <color theme="0" tint="-0.499984740745262"/>
      <name val="Yu Gothic"/>
      <family val="2"/>
      <scheme val="minor"/>
    </font>
    <font>
      <sz val="11"/>
      <name val="Yu Gothic"/>
      <family val="2"/>
      <scheme val="minor"/>
    </font>
    <font>
      <b/>
      <sz val="16"/>
      <color theme="0"/>
      <name val="Yu Gothic"/>
      <family val="3"/>
      <charset val="128"/>
      <scheme val="minor"/>
    </font>
    <font>
      <b/>
      <sz val="16"/>
      <color theme="0"/>
      <name val="游ゴシック 本文"/>
      <family val="3"/>
      <charset val="128"/>
    </font>
    <font>
      <b/>
      <sz val="14"/>
      <color theme="1"/>
      <name val="Yu Gothic"/>
      <family val="3"/>
      <charset val="128"/>
      <scheme val="minor"/>
    </font>
  </fonts>
  <fills count="11">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rgb="FF92D050"/>
        <bgColor indexed="64"/>
      </patternFill>
    </fill>
    <fill>
      <patternFill patternType="solid">
        <fgColor rgb="FFFFCCFF"/>
        <bgColor indexed="64"/>
      </patternFill>
    </fill>
    <fill>
      <patternFill patternType="solid">
        <fgColor theme="8" tint="0.79998168889431442"/>
        <bgColor indexed="64"/>
      </patternFill>
    </fill>
    <fill>
      <patternFill patternType="solid">
        <fgColor theme="0" tint="-0.34998626667073579"/>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3">
    <xf numFmtId="0" fontId="0" fillId="0" borderId="0"/>
    <xf numFmtId="0" fontId="7" fillId="0" borderId="0" applyNumberFormat="0" applyFill="0" applyBorder="0" applyAlignment="0" applyProtection="0"/>
    <xf numFmtId="0" fontId="2" fillId="0" borderId="0">
      <alignment vertical="center"/>
    </xf>
  </cellStyleXfs>
  <cellXfs count="104">
    <xf numFmtId="0" fontId="0" fillId="0" borderId="0" xfId="0"/>
    <xf numFmtId="0" fontId="4" fillId="0" borderId="0" xfId="0" applyFont="1"/>
    <xf numFmtId="0" fontId="4" fillId="0" borderId="1" xfId="0" applyFont="1" applyBorder="1" applyAlignment="1">
      <alignment horizontal="left"/>
    </xf>
    <xf numFmtId="0" fontId="4" fillId="0" borderId="1" xfId="0" applyFont="1" applyBorder="1"/>
    <xf numFmtId="0" fontId="5" fillId="2" borderId="1" xfId="0" applyFont="1" applyFill="1" applyBorder="1"/>
    <xf numFmtId="0" fontId="6" fillId="0" borderId="0" xfId="0" applyFont="1"/>
    <xf numFmtId="0" fontId="0" fillId="0" borderId="1" xfId="0" applyFill="1" applyBorder="1"/>
    <xf numFmtId="0" fontId="5" fillId="4" borderId="1" xfId="0" applyFont="1" applyFill="1" applyBorder="1" applyAlignment="1"/>
    <xf numFmtId="0" fontId="5" fillId="3" borderId="1" xfId="0" applyFont="1" applyFill="1" applyBorder="1"/>
    <xf numFmtId="0" fontId="7" fillId="0" borderId="1" xfId="1" applyBorder="1"/>
    <xf numFmtId="0" fontId="5" fillId="4" borderId="1" xfId="0" applyFont="1" applyFill="1" applyBorder="1" applyAlignment="1">
      <alignment horizontal="center" vertical="center"/>
    </xf>
    <xf numFmtId="0" fontId="0" fillId="0" borderId="0" xfId="0" applyAlignment="1">
      <alignment wrapText="1"/>
    </xf>
    <xf numFmtId="0" fontId="0" fillId="0" borderId="0" xfId="0" applyBorder="1"/>
    <xf numFmtId="0" fontId="11" fillId="0" borderId="1" xfId="1" applyFont="1" applyBorder="1"/>
    <xf numFmtId="14" fontId="4" fillId="0" borderId="1" xfId="0" applyNumberFormat="1" applyFont="1" applyBorder="1"/>
    <xf numFmtId="0" fontId="4" fillId="0" borderId="1" xfId="0" applyFont="1" applyBorder="1" applyAlignment="1">
      <alignment wrapText="1"/>
    </xf>
    <xf numFmtId="0" fontId="10" fillId="4" borderId="1" xfId="0" applyFont="1" applyFill="1" applyBorder="1" applyAlignment="1">
      <alignment horizontal="center" vertical="center" wrapText="1"/>
    </xf>
    <xf numFmtId="0" fontId="10" fillId="4" borderId="1" xfId="0" applyFont="1" applyFill="1" applyBorder="1" applyAlignment="1">
      <alignment horizontal="center" vertical="center"/>
    </xf>
    <xf numFmtId="0" fontId="2" fillId="0" borderId="0" xfId="2">
      <alignment vertical="center"/>
    </xf>
    <xf numFmtId="0" fontId="2" fillId="0" borderId="2" xfId="2" applyBorder="1">
      <alignment vertical="center"/>
    </xf>
    <xf numFmtId="0" fontId="2" fillId="0" borderId="3" xfId="2" applyBorder="1">
      <alignment vertical="center"/>
    </xf>
    <xf numFmtId="0" fontId="2" fillId="0" borderId="4" xfId="2" applyBorder="1">
      <alignment vertical="center"/>
    </xf>
    <xf numFmtId="0" fontId="2" fillId="0" borderId="5" xfId="2" applyBorder="1">
      <alignment vertical="center"/>
    </xf>
    <xf numFmtId="0" fontId="2" fillId="0" borderId="6" xfId="2" applyBorder="1">
      <alignment vertical="center"/>
    </xf>
    <xf numFmtId="0" fontId="10" fillId="0" borderId="0" xfId="2" applyFont="1">
      <alignment vertical="center"/>
    </xf>
    <xf numFmtId="0" fontId="2" fillId="0" borderId="7" xfId="2" applyBorder="1">
      <alignment vertical="center"/>
    </xf>
    <xf numFmtId="0" fontId="2" fillId="0" borderId="8" xfId="2" applyBorder="1">
      <alignment vertical="center"/>
    </xf>
    <xf numFmtId="0" fontId="2" fillId="0" borderId="9" xfId="2" applyBorder="1">
      <alignment vertical="center"/>
    </xf>
    <xf numFmtId="0" fontId="12" fillId="0" borderId="10" xfId="2" applyFont="1" applyBorder="1">
      <alignment vertical="center"/>
    </xf>
    <xf numFmtId="0" fontId="2" fillId="0" borderId="10" xfId="2" applyBorder="1">
      <alignment vertical="center"/>
    </xf>
    <xf numFmtId="0" fontId="2" fillId="5" borderId="10" xfId="2" applyFill="1" applyBorder="1" applyAlignment="1">
      <alignment vertical="center" shrinkToFit="1"/>
    </xf>
    <xf numFmtId="0" fontId="2" fillId="0" borderId="1" xfId="2" applyBorder="1">
      <alignment vertical="center"/>
    </xf>
    <xf numFmtId="0" fontId="2" fillId="5" borderId="1" xfId="2" applyFill="1" applyBorder="1">
      <alignment vertical="center"/>
    </xf>
    <xf numFmtId="0" fontId="2" fillId="5" borderId="1" xfId="2" applyFill="1" applyBorder="1" applyAlignment="1">
      <alignment vertical="center" wrapText="1"/>
    </xf>
    <xf numFmtId="0" fontId="14" fillId="5" borderId="1" xfId="2" applyFont="1" applyFill="1" applyBorder="1">
      <alignment vertical="center"/>
    </xf>
    <xf numFmtId="0" fontId="10" fillId="3" borderId="1" xfId="2" applyFont="1" applyFill="1" applyBorder="1">
      <alignment vertical="center"/>
    </xf>
    <xf numFmtId="176" fontId="2" fillId="0" borderId="1" xfId="2" applyNumberFormat="1" applyBorder="1">
      <alignment vertical="center"/>
    </xf>
    <xf numFmtId="0" fontId="10" fillId="3" borderId="1" xfId="2" applyFont="1" applyFill="1" applyBorder="1" applyAlignment="1">
      <alignment vertical="center" wrapText="1"/>
    </xf>
    <xf numFmtId="0" fontId="12" fillId="0" borderId="1" xfId="2" applyFont="1" applyBorder="1">
      <alignment vertical="center"/>
    </xf>
    <xf numFmtId="0" fontId="2" fillId="2" borderId="1" xfId="2" applyFill="1" applyBorder="1">
      <alignment vertical="center"/>
    </xf>
    <xf numFmtId="0" fontId="2" fillId="0" borderId="1" xfId="2" applyBorder="1" applyAlignment="1"/>
    <xf numFmtId="0" fontId="16" fillId="0" borderId="1" xfId="2" applyFont="1" applyBorder="1" applyAlignment="1"/>
    <xf numFmtId="0" fontId="2" fillId="2" borderId="1" xfId="2" applyFill="1" applyBorder="1" applyAlignment="1"/>
    <xf numFmtId="0" fontId="12" fillId="0" borderId="1" xfId="2" applyFont="1" applyBorder="1" applyAlignment="1"/>
    <xf numFmtId="0" fontId="2" fillId="6" borderId="1" xfId="2" applyFill="1" applyBorder="1" applyAlignment="1"/>
    <xf numFmtId="0" fontId="2" fillId="4" borderId="1" xfId="2" applyFill="1" applyBorder="1" applyAlignment="1"/>
    <xf numFmtId="0" fontId="2" fillId="0" borderId="1" xfId="2" applyBorder="1" applyAlignment="1">
      <alignment vertical="center" wrapText="1"/>
    </xf>
    <xf numFmtId="0" fontId="19" fillId="0" borderId="0" xfId="2" applyFont="1">
      <alignment vertical="center"/>
    </xf>
    <xf numFmtId="177" fontId="14" fillId="0" borderId="1" xfId="2" applyNumberFormat="1" applyFont="1" applyBorder="1">
      <alignment vertical="center"/>
    </xf>
    <xf numFmtId="177" fontId="10" fillId="7" borderId="1" xfId="2" applyNumberFormat="1" applyFont="1" applyFill="1" applyBorder="1">
      <alignment vertical="center"/>
    </xf>
    <xf numFmtId="177" fontId="10" fillId="7" borderId="1" xfId="2" applyNumberFormat="1" applyFont="1" applyFill="1" applyBorder="1" applyAlignment="1">
      <alignment horizontal="center" vertical="center"/>
    </xf>
    <xf numFmtId="177" fontId="10" fillId="8" borderId="1" xfId="2" applyNumberFormat="1" applyFont="1" applyFill="1" applyBorder="1" applyAlignment="1">
      <alignment horizontal="center" vertical="center"/>
    </xf>
    <xf numFmtId="0" fontId="8" fillId="0" borderId="0" xfId="0" applyFont="1" applyBorder="1" applyAlignment="1">
      <alignment horizontal="left"/>
    </xf>
    <xf numFmtId="0" fontId="0" fillId="0" borderId="1" xfId="0" applyBorder="1"/>
    <xf numFmtId="177" fontId="10" fillId="2" borderId="1" xfId="2" applyNumberFormat="1" applyFont="1" applyFill="1" applyBorder="1" applyAlignment="1">
      <alignment horizontal="center" vertical="center"/>
    </xf>
    <xf numFmtId="0" fontId="0" fillId="8" borderId="1" xfId="0" applyFill="1" applyBorder="1"/>
    <xf numFmtId="176" fontId="0" fillId="0" borderId="1" xfId="0" applyNumberFormat="1" applyBorder="1"/>
    <xf numFmtId="177" fontId="20" fillId="2" borderId="1" xfId="2" applyNumberFormat="1" applyFont="1" applyFill="1" applyBorder="1" applyAlignment="1">
      <alignment horizontal="center" vertical="center"/>
    </xf>
    <xf numFmtId="178" fontId="20" fillId="2" borderId="1" xfId="2" applyNumberFormat="1" applyFont="1" applyFill="1" applyBorder="1" applyAlignment="1">
      <alignment horizontal="center" vertical="center"/>
    </xf>
    <xf numFmtId="0" fontId="10" fillId="8" borderId="1" xfId="0" applyFont="1" applyFill="1" applyBorder="1" applyAlignment="1">
      <alignment horizontal="center"/>
    </xf>
    <xf numFmtId="176" fontId="0" fillId="0" borderId="12" xfId="0" applyNumberFormat="1" applyBorder="1"/>
    <xf numFmtId="0" fontId="10" fillId="8" borderId="13" xfId="0" applyFont="1" applyFill="1" applyBorder="1" applyAlignment="1">
      <alignment horizontal="center"/>
    </xf>
    <xf numFmtId="176" fontId="0" fillId="0" borderId="13" xfId="0" applyNumberFormat="1" applyBorder="1"/>
    <xf numFmtId="0" fontId="2" fillId="0" borderId="1" xfId="2" applyFill="1" applyBorder="1" applyAlignment="1"/>
    <xf numFmtId="177" fontId="10" fillId="0" borderId="1" xfId="2" applyNumberFormat="1" applyFont="1" applyFill="1" applyBorder="1" applyAlignment="1">
      <alignment horizontal="center" vertical="center"/>
    </xf>
    <xf numFmtId="177" fontId="10" fillId="0" borderId="12" xfId="2" applyNumberFormat="1" applyFont="1" applyFill="1" applyBorder="1" applyAlignment="1">
      <alignment horizontal="center" vertical="center"/>
    </xf>
    <xf numFmtId="0" fontId="0" fillId="0" borderId="0" xfId="0" applyFill="1" applyBorder="1"/>
    <xf numFmtId="0" fontId="21" fillId="0" borderId="0" xfId="0" applyFont="1" applyFill="1"/>
    <xf numFmtId="0" fontId="22" fillId="0" borderId="0" xfId="0" applyFont="1" applyFill="1"/>
    <xf numFmtId="0" fontId="0" fillId="0" borderId="0" xfId="0" applyFill="1"/>
    <xf numFmtId="0" fontId="2" fillId="0" borderId="9" xfId="2" applyFill="1" applyBorder="1" applyAlignment="1">
      <alignment horizontal="left" vertical="top"/>
    </xf>
    <xf numFmtId="0" fontId="2" fillId="0" borderId="8" xfId="2" applyFill="1" applyBorder="1" applyAlignment="1">
      <alignment horizontal="left" vertical="top"/>
    </xf>
    <xf numFmtId="0" fontId="0" fillId="0" borderId="8" xfId="0" applyFill="1" applyBorder="1"/>
    <xf numFmtId="0" fontId="0" fillId="0" borderId="7" xfId="0" applyFill="1" applyBorder="1"/>
    <xf numFmtId="0" fontId="2" fillId="0" borderId="6" xfId="2" applyFill="1" applyBorder="1" applyAlignment="1">
      <alignment horizontal="left" vertical="top"/>
    </xf>
    <xf numFmtId="0" fontId="2" fillId="0" borderId="0" xfId="2" applyFill="1" applyBorder="1" applyAlignment="1">
      <alignment horizontal="left" vertical="top"/>
    </xf>
    <xf numFmtId="0" fontId="2" fillId="0" borderId="0" xfId="2" applyFill="1" applyBorder="1" applyAlignment="1">
      <alignment horizontal="center" vertical="top"/>
    </xf>
    <xf numFmtId="0" fontId="0" fillId="0" borderId="5" xfId="0" applyFill="1" applyBorder="1"/>
    <xf numFmtId="0" fontId="0" fillId="0" borderId="6" xfId="0" applyFill="1" applyBorder="1"/>
    <xf numFmtId="0" fontId="0" fillId="0" borderId="4" xfId="0" applyFill="1" applyBorder="1"/>
    <xf numFmtId="0" fontId="0" fillId="0" borderId="3" xfId="0" applyFill="1" applyBorder="1"/>
    <xf numFmtId="0" fontId="0" fillId="0" borderId="2" xfId="0" applyFill="1" applyBorder="1"/>
    <xf numFmtId="0" fontId="1" fillId="0" borderId="0" xfId="2" applyFont="1" applyFill="1" applyBorder="1" applyAlignment="1">
      <alignment horizontal="left" vertical="top"/>
    </xf>
    <xf numFmtId="0" fontId="24" fillId="10" borderId="1" xfId="0" applyFont="1" applyFill="1" applyBorder="1" applyAlignment="1">
      <alignment horizontal="center" vertical="center"/>
    </xf>
    <xf numFmtId="0" fontId="23" fillId="10" borderId="1" xfId="0" applyFont="1" applyFill="1" applyBorder="1" applyAlignment="1">
      <alignment horizontal="center" vertical="center"/>
    </xf>
    <xf numFmtId="14" fontId="25" fillId="0" borderId="1" xfId="0" applyNumberFormat="1" applyFont="1" applyFill="1" applyBorder="1" applyAlignment="1">
      <alignment horizontal="center"/>
    </xf>
    <xf numFmtId="177" fontId="10" fillId="2" borderId="14" xfId="0" applyNumberFormat="1" applyFont="1" applyFill="1" applyBorder="1" applyAlignment="1">
      <alignment horizontal="center"/>
    </xf>
    <xf numFmtId="177" fontId="10" fillId="2" borderId="15" xfId="0" applyNumberFormat="1" applyFont="1" applyFill="1" applyBorder="1" applyAlignment="1">
      <alignment horizontal="center"/>
    </xf>
    <xf numFmtId="0" fontId="10" fillId="9" borderId="10" xfId="0" applyFont="1" applyFill="1" applyBorder="1" applyAlignment="1">
      <alignment horizontal="center" vertical="center"/>
    </xf>
    <xf numFmtId="0" fontId="10" fillId="9" borderId="17" xfId="0" applyFont="1" applyFill="1" applyBorder="1" applyAlignment="1">
      <alignment horizontal="center" vertical="center"/>
    </xf>
    <xf numFmtId="177" fontId="10" fillId="2" borderId="1" xfId="0" applyNumberFormat="1" applyFont="1" applyFill="1" applyBorder="1" applyAlignment="1">
      <alignment horizontal="center"/>
    </xf>
    <xf numFmtId="0" fontId="10" fillId="2" borderId="14" xfId="2" applyFont="1" applyFill="1" applyBorder="1" applyAlignment="1">
      <alignment horizontal="center" vertical="center"/>
    </xf>
    <xf numFmtId="0" fontId="10" fillId="2" borderId="16" xfId="2" applyFont="1" applyFill="1" applyBorder="1" applyAlignment="1">
      <alignment horizontal="center" vertical="center"/>
    </xf>
    <xf numFmtId="0" fontId="10" fillId="2" borderId="15" xfId="2" applyFont="1" applyFill="1" applyBorder="1" applyAlignment="1">
      <alignment horizontal="center" vertical="center"/>
    </xf>
    <xf numFmtId="177" fontId="10" fillId="2" borderId="14" xfId="2" applyNumberFormat="1" applyFont="1" applyFill="1" applyBorder="1" applyAlignment="1">
      <alignment horizontal="center" vertical="center"/>
    </xf>
    <xf numFmtId="177" fontId="10" fillId="2" borderId="16" xfId="2" applyNumberFormat="1" applyFont="1" applyFill="1" applyBorder="1" applyAlignment="1">
      <alignment horizontal="center" vertical="center"/>
    </xf>
    <xf numFmtId="177" fontId="10" fillId="2" borderId="15" xfId="2" applyNumberFormat="1" applyFont="1" applyFill="1" applyBorder="1" applyAlignment="1">
      <alignment horizontal="center" vertical="center"/>
    </xf>
    <xf numFmtId="0" fontId="4" fillId="4" borderId="1" xfId="2" applyFont="1" applyFill="1" applyBorder="1" applyAlignment="1">
      <alignment horizontal="center" vertical="center" textRotation="255"/>
    </xf>
    <xf numFmtId="0" fontId="18" fillId="6" borderId="1" xfId="2" applyFont="1" applyFill="1" applyBorder="1" applyAlignment="1">
      <alignment horizontal="center" vertical="center" textRotation="255"/>
    </xf>
    <xf numFmtId="0" fontId="17" fillId="6" borderId="1" xfId="2" applyFont="1" applyFill="1" applyBorder="1" applyAlignment="1">
      <alignment horizontal="center" vertical="center" textRotation="255"/>
    </xf>
    <xf numFmtId="0" fontId="15" fillId="2" borderId="1" xfId="2" applyFont="1" applyFill="1" applyBorder="1" applyAlignment="1">
      <alignment horizontal="center" vertical="center" textRotation="255"/>
    </xf>
    <xf numFmtId="0" fontId="10" fillId="7" borderId="0" xfId="2" applyFont="1" applyFill="1" applyAlignment="1">
      <alignment horizontal="center" vertical="center"/>
    </xf>
    <xf numFmtId="0" fontId="10" fillId="7" borderId="11" xfId="2" applyFont="1" applyFill="1" applyBorder="1" applyAlignment="1">
      <alignment horizontal="center" vertical="center"/>
    </xf>
    <xf numFmtId="0" fontId="8" fillId="0" borderId="1" xfId="0" applyFont="1" applyBorder="1" applyAlignment="1">
      <alignment horizontal="left"/>
    </xf>
  </cellXfs>
  <cellStyles count="3">
    <cellStyle name="ハイパーリンク" xfId="1" builtinId="8"/>
    <cellStyle name="標準" xfId="0" builtinId="0"/>
    <cellStyle name="標準 2" xfId="2" xr:uid="{E7ED17EE-B63A-4973-AA6B-A5CB9893BBE8}"/>
  </cellStyles>
  <dxfs count="0"/>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ja-JP" altLang="en-US" b="1"/>
              <a:t>発生・消化</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tx>
            <c:v>発生</c:v>
          </c:tx>
          <c:spPr>
            <a:solidFill>
              <a:schemeClr val="accent1"/>
            </a:solidFill>
            <a:ln>
              <a:noFill/>
            </a:ln>
            <a:effectLst/>
          </c:spPr>
          <c:invertIfNegative val="0"/>
          <c:cat>
            <c:numRef>
              <c:f>発生・消化曲線!$D$23:$AB$23</c:f>
              <c:numCache>
                <c:formatCode>mm/dd</c:formatCode>
                <c:ptCount val="25"/>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numCache>
            </c:numRef>
          </c:cat>
          <c:val>
            <c:numRef>
              <c:f>発生・消化曲線!$D$19:$AB$19</c:f>
              <c:numCache>
                <c:formatCode>0_ </c:formatCode>
                <c:ptCount val="25"/>
                <c:pt idx="0">
                  <c:v>13</c:v>
                </c:pt>
                <c:pt idx="1">
                  <c:v>19</c:v>
                </c:pt>
                <c:pt idx="2">
                  <c:v>19</c:v>
                </c:pt>
                <c:pt idx="3">
                  <c:v>14</c:v>
                </c:pt>
                <c:pt idx="4">
                  <c:v>15</c:v>
                </c:pt>
                <c:pt idx="5">
                  <c:v>0</c:v>
                </c:pt>
                <c:pt idx="6">
                  <c:v>0</c:v>
                </c:pt>
                <c:pt idx="7">
                  <c:v>20</c:v>
                </c:pt>
                <c:pt idx="8">
                  <c:v>9</c:v>
                </c:pt>
                <c:pt idx="9">
                  <c:v>7</c:v>
                </c:pt>
                <c:pt idx="10">
                  <c:v>6</c:v>
                </c:pt>
                <c:pt idx="11">
                  <c:v>3</c:v>
                </c:pt>
                <c:pt idx="12">
                  <c:v>0</c:v>
                </c:pt>
                <c:pt idx="13">
                  <c:v>0</c:v>
                </c:pt>
                <c:pt idx="14">
                  <c:v>2</c:v>
                </c:pt>
                <c:pt idx="15">
                  <c:v>3</c:v>
                </c:pt>
                <c:pt idx="16">
                  <c:v>7</c:v>
                </c:pt>
                <c:pt idx="17">
                  <c:v>0</c:v>
                </c:pt>
                <c:pt idx="18">
                  <c:v>0</c:v>
                </c:pt>
                <c:pt idx="19">
                  <c:v>0</c:v>
                </c:pt>
                <c:pt idx="20">
                  <c:v>0</c:v>
                </c:pt>
                <c:pt idx="21">
                  <c:v>1</c:v>
                </c:pt>
                <c:pt idx="22">
                  <c:v>0</c:v>
                </c:pt>
                <c:pt idx="23">
                  <c:v>0</c:v>
                </c:pt>
                <c:pt idx="24">
                  <c:v>0</c:v>
                </c:pt>
              </c:numCache>
            </c:numRef>
          </c:val>
          <c:extLst>
            <c:ext xmlns:c16="http://schemas.microsoft.com/office/drawing/2014/chart" uri="{C3380CC4-5D6E-409C-BE32-E72D297353CC}">
              <c16:uniqueId val="{00000000-5882-4931-8D1F-43D7D7BFF9F8}"/>
            </c:ext>
          </c:extLst>
        </c:ser>
        <c:ser>
          <c:idx val="3"/>
          <c:order val="2"/>
          <c:tx>
            <c:v>完了</c:v>
          </c:tx>
          <c:spPr>
            <a:solidFill>
              <a:schemeClr val="accent4"/>
            </a:solidFill>
            <a:ln>
              <a:noFill/>
            </a:ln>
            <a:effectLst/>
          </c:spPr>
          <c:invertIfNegative val="0"/>
          <c:val>
            <c:numRef>
              <c:f>発生・消化曲線!$D$28:$AB$28</c:f>
              <c:numCache>
                <c:formatCode>0_ </c:formatCode>
                <c:ptCount val="25"/>
                <c:pt idx="0">
                  <c:v>8</c:v>
                </c:pt>
                <c:pt idx="1">
                  <c:v>4</c:v>
                </c:pt>
                <c:pt idx="2">
                  <c:v>8</c:v>
                </c:pt>
                <c:pt idx="3">
                  <c:v>1</c:v>
                </c:pt>
                <c:pt idx="4">
                  <c:v>3</c:v>
                </c:pt>
                <c:pt idx="5">
                  <c:v>0</c:v>
                </c:pt>
                <c:pt idx="6">
                  <c:v>0</c:v>
                </c:pt>
                <c:pt idx="7">
                  <c:v>13</c:v>
                </c:pt>
                <c:pt idx="8">
                  <c:v>6</c:v>
                </c:pt>
                <c:pt idx="9">
                  <c:v>19</c:v>
                </c:pt>
                <c:pt idx="10">
                  <c:v>14</c:v>
                </c:pt>
                <c:pt idx="11">
                  <c:v>7</c:v>
                </c:pt>
                <c:pt idx="12">
                  <c:v>0</c:v>
                </c:pt>
                <c:pt idx="13">
                  <c:v>0</c:v>
                </c:pt>
                <c:pt idx="14">
                  <c:v>3</c:v>
                </c:pt>
                <c:pt idx="15">
                  <c:v>13</c:v>
                </c:pt>
                <c:pt idx="16">
                  <c:v>11</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2-47AB-447F-A06A-863EE5ADD76C}"/>
            </c:ext>
          </c:extLst>
        </c:ser>
        <c:dLbls>
          <c:showLegendKey val="0"/>
          <c:showVal val="0"/>
          <c:showCatName val="0"/>
          <c:showSerName val="0"/>
          <c:showPercent val="0"/>
          <c:showBubbleSize val="0"/>
        </c:dLbls>
        <c:gapWidth val="219"/>
        <c:axId val="2102627584"/>
        <c:axId val="2102640480"/>
      </c:barChart>
      <c:lineChart>
        <c:grouping val="standard"/>
        <c:varyColors val="0"/>
        <c:ser>
          <c:idx val="2"/>
          <c:order val="1"/>
          <c:tx>
            <c:v>発生合計</c:v>
          </c:tx>
          <c:spPr>
            <a:ln w="28575" cap="rnd">
              <a:solidFill>
                <a:schemeClr val="accent1">
                  <a:lumMod val="75000"/>
                </a:schemeClr>
              </a:solidFill>
              <a:round/>
            </a:ln>
            <a:effectLst/>
          </c:spPr>
          <c:marker>
            <c:symbol val="none"/>
          </c:marker>
          <c:val>
            <c:numRef>
              <c:f>発生・消化曲線!$D$20:$AB$20</c:f>
              <c:numCache>
                <c:formatCode>0_ </c:formatCode>
                <c:ptCount val="25"/>
                <c:pt idx="0">
                  <c:v>54</c:v>
                </c:pt>
                <c:pt idx="1">
                  <c:v>73</c:v>
                </c:pt>
                <c:pt idx="2">
                  <c:v>92</c:v>
                </c:pt>
                <c:pt idx="3">
                  <c:v>106</c:v>
                </c:pt>
                <c:pt idx="4">
                  <c:v>121</c:v>
                </c:pt>
                <c:pt idx="5">
                  <c:v>121</c:v>
                </c:pt>
                <c:pt idx="6">
                  <c:v>121</c:v>
                </c:pt>
                <c:pt idx="7">
                  <c:v>141</c:v>
                </c:pt>
                <c:pt idx="8">
                  <c:v>150</c:v>
                </c:pt>
                <c:pt idx="9">
                  <c:v>157</c:v>
                </c:pt>
                <c:pt idx="10">
                  <c:v>163</c:v>
                </c:pt>
                <c:pt idx="11">
                  <c:v>166</c:v>
                </c:pt>
                <c:pt idx="12">
                  <c:v>166</c:v>
                </c:pt>
                <c:pt idx="13">
                  <c:v>166</c:v>
                </c:pt>
                <c:pt idx="14">
                  <c:v>168</c:v>
                </c:pt>
                <c:pt idx="15">
                  <c:v>171</c:v>
                </c:pt>
                <c:pt idx="16">
                  <c:v>178</c:v>
                </c:pt>
                <c:pt idx="17">
                  <c:v>178</c:v>
                </c:pt>
                <c:pt idx="18">
                  <c:v>178</c:v>
                </c:pt>
                <c:pt idx="19">
                  <c:v>178</c:v>
                </c:pt>
                <c:pt idx="20">
                  <c:v>178</c:v>
                </c:pt>
                <c:pt idx="21">
                  <c:v>179</c:v>
                </c:pt>
                <c:pt idx="22">
                  <c:v>179</c:v>
                </c:pt>
                <c:pt idx="23">
                  <c:v>179</c:v>
                </c:pt>
                <c:pt idx="24">
                  <c:v>179</c:v>
                </c:pt>
              </c:numCache>
            </c:numRef>
          </c:val>
          <c:smooth val="0"/>
          <c:extLst>
            <c:ext xmlns:c16="http://schemas.microsoft.com/office/drawing/2014/chart" uri="{C3380CC4-5D6E-409C-BE32-E72D297353CC}">
              <c16:uniqueId val="{00000002-5882-4931-8D1F-43D7D7BFF9F8}"/>
            </c:ext>
          </c:extLst>
        </c:ser>
        <c:ser>
          <c:idx val="1"/>
          <c:order val="3"/>
          <c:tx>
            <c:v>完了合計</c:v>
          </c:tx>
          <c:spPr>
            <a:ln w="28575" cap="rnd">
              <a:solidFill>
                <a:schemeClr val="accent2"/>
              </a:solidFill>
              <a:round/>
            </a:ln>
            <a:effectLst/>
          </c:spPr>
          <c:marker>
            <c:symbol val="none"/>
          </c:marker>
          <c:cat>
            <c:numRef>
              <c:f>発生・消化曲線!$D$23:$AB$23</c:f>
              <c:numCache>
                <c:formatCode>mm/dd</c:formatCode>
                <c:ptCount val="25"/>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numCache>
            </c:numRef>
          </c:cat>
          <c:val>
            <c:numRef>
              <c:f>発生・消化曲線!$D$29:$AB$29</c:f>
              <c:numCache>
                <c:formatCode>0_ </c:formatCode>
                <c:ptCount val="25"/>
                <c:pt idx="0">
                  <c:v>21</c:v>
                </c:pt>
                <c:pt idx="1">
                  <c:v>25</c:v>
                </c:pt>
                <c:pt idx="2">
                  <c:v>33</c:v>
                </c:pt>
                <c:pt idx="3">
                  <c:v>34</c:v>
                </c:pt>
                <c:pt idx="4">
                  <c:v>37</c:v>
                </c:pt>
                <c:pt idx="5">
                  <c:v>37</c:v>
                </c:pt>
                <c:pt idx="6">
                  <c:v>37</c:v>
                </c:pt>
                <c:pt idx="7">
                  <c:v>50</c:v>
                </c:pt>
                <c:pt idx="8">
                  <c:v>56</c:v>
                </c:pt>
                <c:pt idx="9">
                  <c:v>75</c:v>
                </c:pt>
                <c:pt idx="10">
                  <c:v>89</c:v>
                </c:pt>
                <c:pt idx="11">
                  <c:v>96</c:v>
                </c:pt>
                <c:pt idx="12">
                  <c:v>96</c:v>
                </c:pt>
                <c:pt idx="13">
                  <c:v>96</c:v>
                </c:pt>
                <c:pt idx="14">
                  <c:v>99</c:v>
                </c:pt>
                <c:pt idx="15">
                  <c:v>112</c:v>
                </c:pt>
                <c:pt idx="16">
                  <c:v>123</c:v>
                </c:pt>
                <c:pt idx="17">
                  <c:v>123</c:v>
                </c:pt>
                <c:pt idx="18">
                  <c:v>123</c:v>
                </c:pt>
                <c:pt idx="19">
                  <c:v>123</c:v>
                </c:pt>
                <c:pt idx="20">
                  <c:v>123</c:v>
                </c:pt>
                <c:pt idx="21">
                  <c:v>123</c:v>
                </c:pt>
                <c:pt idx="22">
                  <c:v>123</c:v>
                </c:pt>
                <c:pt idx="23">
                  <c:v>123</c:v>
                </c:pt>
                <c:pt idx="24">
                  <c:v>123</c:v>
                </c:pt>
              </c:numCache>
            </c:numRef>
          </c:val>
          <c:smooth val="0"/>
          <c:extLst>
            <c:ext xmlns:c16="http://schemas.microsoft.com/office/drawing/2014/chart" uri="{C3380CC4-5D6E-409C-BE32-E72D297353CC}">
              <c16:uniqueId val="{00000001-5882-4931-8D1F-43D7D7BFF9F8}"/>
            </c:ext>
          </c:extLst>
        </c:ser>
        <c:dLbls>
          <c:showLegendKey val="0"/>
          <c:showVal val="0"/>
          <c:showCatName val="0"/>
          <c:showSerName val="0"/>
          <c:showPercent val="0"/>
          <c:showBubbleSize val="0"/>
        </c:dLbls>
        <c:marker val="1"/>
        <c:smooth val="0"/>
        <c:axId val="950069487"/>
        <c:axId val="950065327"/>
      </c:lineChart>
      <c:dateAx>
        <c:axId val="2102627584"/>
        <c:scaling>
          <c:orientation val="minMax"/>
        </c:scaling>
        <c:delete val="0"/>
        <c:axPos val="b"/>
        <c:numFmt formatCode="mm/dd\(aaa\)"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02640480"/>
        <c:crosses val="autoZero"/>
        <c:auto val="1"/>
        <c:lblOffset val="100"/>
        <c:baseTimeUnit val="days"/>
      </c:dateAx>
      <c:valAx>
        <c:axId val="2102640480"/>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02627584"/>
        <c:crosses val="autoZero"/>
        <c:crossBetween val="between"/>
      </c:valAx>
      <c:valAx>
        <c:axId val="950065327"/>
        <c:scaling>
          <c:orientation val="minMax"/>
        </c:scaling>
        <c:delete val="0"/>
        <c:axPos val="r"/>
        <c:numFmt formatCode="0_ "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0069487"/>
        <c:crosses val="max"/>
        <c:crossBetween val="between"/>
      </c:valAx>
      <c:catAx>
        <c:axId val="950069487"/>
        <c:scaling>
          <c:orientation val="minMax"/>
        </c:scaling>
        <c:delete val="1"/>
        <c:axPos val="b"/>
        <c:numFmt formatCode="mm/dd" sourceLinked="1"/>
        <c:majorTickMark val="out"/>
        <c:minorTickMark val="none"/>
        <c:tickLblPos val="nextTo"/>
        <c:crossAx val="950065327"/>
        <c:crosses val="autoZero"/>
        <c:auto val="1"/>
        <c:lblAlgn val="ctr"/>
        <c:lblOffset val="100"/>
        <c:tickLblSkip val="1"/>
        <c:tickMarkSkip val="1"/>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消化原因!$E$1</c:f>
              <c:strCache>
                <c:ptCount val="1"/>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E9F-48DA-AEA3-04E49EB7F1F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E9F-48DA-AEA3-04E49EB7F1F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E9F-48DA-AEA3-04E49EB7F1F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E9F-48DA-AEA3-04E49EB7F1F9}"/>
              </c:ext>
            </c:extLst>
          </c:dPt>
          <c:dLbls>
            <c:dLbl>
              <c:idx val="0"/>
              <c:layout>
                <c:manualLayout>
                  <c:x val="-0.29209484047264295"/>
                  <c:y val="3.990976963501143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E9F-48DA-AEA3-04E49EB7F1F9}"/>
                </c:ext>
              </c:extLst>
            </c:dLbl>
            <c:dLbl>
              <c:idx val="1"/>
              <c:layout>
                <c:manualLayout>
                  <c:x val="0.27277621154230453"/>
                  <c:y val="4.7464569754230704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extLst>
                <c:ext xmlns:c15="http://schemas.microsoft.com/office/drawing/2012/chart" uri="{CE6537A1-D6FC-4f65-9D91-7224C49458BB}">
                  <c15:layout>
                    <c:manualLayout>
                      <c:w val="0.26543453262031058"/>
                      <c:h val="0.15545915332491966"/>
                    </c:manualLayout>
                  </c15:layout>
                </c:ext>
                <c:ext xmlns:c16="http://schemas.microsoft.com/office/drawing/2014/chart" uri="{C3380CC4-5D6E-409C-BE32-E72D297353CC}">
                  <c16:uniqueId val="{00000003-2E9F-48DA-AEA3-04E49EB7F1F9}"/>
                </c:ext>
              </c:extLst>
            </c:dLbl>
            <c:dLbl>
              <c:idx val="2"/>
              <c:layout>
                <c:manualLayout>
                  <c:x val="8.2901156049305161E-2"/>
                  <c:y val="0.16799035051001299"/>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E9F-48DA-AEA3-04E49EB7F1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消化原因!$A$2:$A$9</c15:sqref>
                  </c15:fullRef>
                </c:ext>
              </c:extLst>
              <c:f>消化原因!$A$2:$A$5</c:f>
              <c:strCache>
                <c:ptCount val="4"/>
                <c:pt idx="0">
                  <c:v>要件不備</c:v>
                </c:pt>
                <c:pt idx="1">
                  <c:v>SA/UI設計不備</c:v>
                </c:pt>
                <c:pt idx="2">
                  <c:v>SS設計不備</c:v>
                </c:pt>
                <c:pt idx="3">
                  <c:v>実装不備</c:v>
                </c:pt>
              </c:strCache>
            </c:strRef>
          </c:cat>
          <c:val>
            <c:numRef>
              <c:extLst>
                <c:ext xmlns:c15="http://schemas.microsoft.com/office/drawing/2012/chart" uri="{02D57815-91ED-43cb-92C2-25804820EDAC}">
                  <c15:fullRef>
                    <c15:sqref>消化原因!$E$2:$E$9</c15:sqref>
                  </c15:fullRef>
                </c:ext>
              </c:extLst>
              <c:f>消化原因!$E$2:$E$5</c:f>
              <c:numCache>
                <c:formatCode>0_ </c:formatCode>
                <c:ptCount val="4"/>
                <c:pt idx="0">
                  <c:v>0</c:v>
                </c:pt>
                <c:pt idx="1">
                  <c:v>4</c:v>
                </c:pt>
                <c:pt idx="2">
                  <c:v>24</c:v>
                </c:pt>
                <c:pt idx="3">
                  <c:v>86</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8-2E9F-48DA-AEA3-04E49EB7F1F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ステータス!$E$2</c:f>
              <c:strCache>
                <c:ptCount val="1"/>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E50-4922-9DD4-36C39AE256A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E50-4922-9DD4-36C39AE256A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E50-4922-9DD4-36C39AE256A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E50-4922-9DD4-36C39AE256A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ステータス!$A$3:$A$6</c:f>
              <c:strCache>
                <c:ptCount val="4"/>
                <c:pt idx="0">
                  <c:v>未対応</c:v>
                </c:pt>
                <c:pt idx="1">
                  <c:v>処理中</c:v>
                </c:pt>
                <c:pt idx="2">
                  <c:v>処理済み</c:v>
                </c:pt>
                <c:pt idx="3">
                  <c:v>完了</c:v>
                </c:pt>
              </c:strCache>
            </c:strRef>
          </c:cat>
          <c:val>
            <c:numRef>
              <c:f>ステータス!$E$3:$E$6</c:f>
              <c:numCache>
                <c:formatCode>General</c:formatCode>
                <c:ptCount val="4"/>
                <c:pt idx="0">
                  <c:v>38</c:v>
                </c:pt>
                <c:pt idx="1">
                  <c:v>11</c:v>
                </c:pt>
                <c:pt idx="2">
                  <c:v>7</c:v>
                </c:pt>
                <c:pt idx="3">
                  <c:v>123</c:v>
                </c:pt>
              </c:numCache>
            </c:numRef>
          </c:val>
          <c:extLst>
            <c:ext xmlns:c16="http://schemas.microsoft.com/office/drawing/2014/chart" uri="{C3380CC4-5D6E-409C-BE32-E72D297353CC}">
              <c16:uniqueId val="{00000008-6E50-4922-9DD4-36C39AE256AC}"/>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emf"/><Relationship Id="rId1" Type="http://schemas.openxmlformats.org/officeDocument/2006/relationships/chart" Target="../charts/chart1.xml"/><Relationship Id="rId6" Type="http://schemas.openxmlformats.org/officeDocument/2006/relationships/image" Target="../media/image3.emf"/><Relationship Id="rId5" Type="http://schemas.openxmlformats.org/officeDocument/2006/relationships/chart" Target="../charts/chart3.xml"/><Relationship Id="rId4"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8</xdr:col>
      <xdr:colOff>78441</xdr:colOff>
      <xdr:row>3</xdr:row>
      <xdr:rowOff>66344</xdr:rowOff>
    </xdr:from>
    <xdr:to>
      <xdr:col>50</xdr:col>
      <xdr:colOff>0</xdr:colOff>
      <xdr:row>18</xdr:row>
      <xdr:rowOff>167510</xdr:rowOff>
    </xdr:to>
    <xdr:graphicFrame macro="">
      <xdr:nvGraphicFramePr>
        <xdr:cNvPr id="2" name="グラフ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26</xdr:col>
          <xdr:colOff>156881</xdr:colOff>
          <xdr:row>22</xdr:row>
          <xdr:rowOff>91886</xdr:rowOff>
        </xdr:from>
        <xdr:to>
          <xdr:col>35</xdr:col>
          <xdr:colOff>149698</xdr:colOff>
          <xdr:row>33</xdr:row>
          <xdr:rowOff>0</xdr:rowOff>
        </xdr:to>
        <xdr:pic>
          <xdr:nvPicPr>
            <xdr:cNvPr id="4" name="図 3">
              <a:extLst>
                <a:ext uri="{FF2B5EF4-FFF2-40B4-BE49-F238E27FC236}">
                  <a16:creationId xmlns:a16="http://schemas.microsoft.com/office/drawing/2014/main" id="{00000000-0008-0000-0000-000004000000}"/>
                </a:ext>
              </a:extLst>
            </xdr:cNvPr>
            <xdr:cNvPicPr>
              <a:picLocks noChangeAspect="1" noChangeArrowheads="1"/>
              <a:extLst>
                <a:ext uri="{84589F7E-364E-4C9E-8A38-B11213B215E9}">
                  <a14:cameraTool cellRange="消化原因!$A$1:$E$10" spid="_x0000_s27880"/>
                </a:ext>
              </a:extLst>
            </xdr:cNvPicPr>
          </xdr:nvPicPr>
          <xdr:blipFill>
            <a:blip xmlns:r="http://schemas.openxmlformats.org/officeDocument/2006/relationships" r:embed="rId2"/>
            <a:srcRect/>
            <a:stretch>
              <a:fillRect/>
            </a:stretch>
          </xdr:blipFill>
          <xdr:spPr bwMode="auto">
            <a:xfrm>
              <a:off x="6277729" y="5251951"/>
              <a:ext cx="2154578" cy="2558549"/>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37</xdr:col>
      <xdr:colOff>44823</xdr:colOff>
      <xdr:row>22</xdr:row>
      <xdr:rowOff>91886</xdr:rowOff>
    </xdr:from>
    <xdr:to>
      <xdr:col>49</xdr:col>
      <xdr:colOff>223260</xdr:colOff>
      <xdr:row>33</xdr:row>
      <xdr:rowOff>1775</xdr:rowOff>
    </xdr:to>
    <xdr:graphicFrame macro="">
      <xdr:nvGraphicFramePr>
        <xdr:cNvPr id="5" name="グラフ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27785</xdr:colOff>
          <xdr:row>22</xdr:row>
          <xdr:rowOff>57149</xdr:rowOff>
        </xdr:from>
        <xdr:to>
          <xdr:col>10</xdr:col>
          <xdr:colOff>134011</xdr:colOff>
          <xdr:row>29</xdr:row>
          <xdr:rowOff>0</xdr:rowOff>
        </xdr:to>
        <xdr:pic>
          <xdr:nvPicPr>
            <xdr:cNvPr id="8" name="図 7">
              <a:extLst>
                <a:ext uri="{FF2B5EF4-FFF2-40B4-BE49-F238E27FC236}">
                  <a16:creationId xmlns:a16="http://schemas.microsoft.com/office/drawing/2014/main" id="{00000000-0008-0000-0000-000008000000}"/>
                </a:ext>
              </a:extLst>
            </xdr:cNvPr>
            <xdr:cNvPicPr>
              <a:picLocks noChangeAspect="1" noChangeArrowheads="1"/>
              <a:extLst>
                <a:ext uri="{84589F7E-364E-4C9E-8A38-B11213B215E9}">
                  <a14:cameraTool cellRange="ステータス!$A$2:$E$7" spid="_x0000_s27881"/>
                </a:ext>
              </a:extLst>
            </xdr:cNvPicPr>
          </xdr:nvPicPr>
          <xdr:blipFill>
            <a:blip xmlns:r="http://schemas.openxmlformats.org/officeDocument/2006/relationships" r:embed="rId4"/>
            <a:srcRect/>
            <a:stretch>
              <a:fillRect/>
            </a:stretch>
          </xdr:blipFill>
          <xdr:spPr bwMode="auto">
            <a:xfrm>
              <a:off x="263109" y="5234267"/>
              <a:ext cx="2224137" cy="159011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11</xdr:col>
      <xdr:colOff>16579</xdr:colOff>
      <xdr:row>22</xdr:row>
      <xdr:rowOff>57150</xdr:rowOff>
    </xdr:from>
    <xdr:to>
      <xdr:col>24</xdr:col>
      <xdr:colOff>149599</xdr:colOff>
      <xdr:row>33</xdr:row>
      <xdr:rowOff>1</xdr:rowOff>
    </xdr:to>
    <xdr:graphicFrame macro="">
      <xdr:nvGraphicFramePr>
        <xdr:cNvPr id="11" name="グラフ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37310</xdr:colOff>
          <xdr:row>3</xdr:row>
          <xdr:rowOff>75869</xdr:rowOff>
        </xdr:from>
        <xdr:to>
          <xdr:col>7</xdr:col>
          <xdr:colOff>205398</xdr:colOff>
          <xdr:row>8</xdr:row>
          <xdr:rowOff>6722</xdr:rowOff>
        </xdr:to>
        <xdr:pic>
          <xdr:nvPicPr>
            <xdr:cNvPr id="12" name="図 11">
              <a:extLst>
                <a:ext uri="{FF2B5EF4-FFF2-40B4-BE49-F238E27FC236}">
                  <a16:creationId xmlns:a16="http://schemas.microsoft.com/office/drawing/2014/main" id="{00000000-0008-0000-0000-00000C000000}"/>
                </a:ext>
              </a:extLst>
            </xdr:cNvPr>
            <xdr:cNvPicPr>
              <a:picLocks noChangeAspect="1" noChangeArrowheads="1"/>
              <a:extLst>
                <a:ext uri="{84589F7E-364E-4C9E-8A38-B11213B215E9}">
                  <a14:cameraTool cellRange="発生・消化曲線!$A$2:$B$5" spid="_x0000_s27882"/>
                </a:ext>
              </a:extLst>
            </xdr:cNvPicPr>
          </xdr:nvPicPr>
          <xdr:blipFill>
            <a:blip xmlns:r="http://schemas.openxmlformats.org/officeDocument/2006/relationships" r:embed="rId6"/>
            <a:srcRect/>
            <a:stretch>
              <a:fillRect/>
            </a:stretch>
          </xdr:blipFill>
          <xdr:spPr bwMode="auto">
            <a:xfrm>
              <a:off x="151610" y="571169"/>
              <a:ext cx="1596838" cy="1121478"/>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27785</xdr:colOff>
      <xdr:row>1</xdr:row>
      <xdr:rowOff>22410</xdr:rowOff>
    </xdr:from>
    <xdr:to>
      <xdr:col>50</xdr:col>
      <xdr:colOff>0</xdr:colOff>
      <xdr:row>2</xdr:row>
      <xdr:rowOff>156882</xdr:rowOff>
    </xdr:to>
    <xdr:sp macro="" textlink="">
      <xdr:nvSpPr>
        <xdr:cNvPr id="13" name="テキスト ボックス 12">
          <a:extLst>
            <a:ext uri="{FF2B5EF4-FFF2-40B4-BE49-F238E27FC236}">
              <a16:creationId xmlns:a16="http://schemas.microsoft.com/office/drawing/2014/main" id="{00000000-0008-0000-0000-00000D000000}"/>
            </a:ext>
          </a:extLst>
        </xdr:cNvPr>
        <xdr:cNvSpPr txBox="1"/>
      </xdr:nvSpPr>
      <xdr:spPr>
        <a:xfrm>
          <a:off x="263109" y="257734"/>
          <a:ext cx="11772009"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発生・完了分析</a:t>
          </a:r>
        </a:p>
      </xdr:txBody>
    </xdr:sp>
    <xdr:clientData/>
  </xdr:twoCellAnchor>
  <xdr:twoCellAnchor>
    <xdr:from>
      <xdr:col>1</xdr:col>
      <xdr:colOff>27786</xdr:colOff>
      <xdr:row>20</xdr:row>
      <xdr:rowOff>0</xdr:rowOff>
    </xdr:from>
    <xdr:to>
      <xdr:col>24</xdr:col>
      <xdr:colOff>149599</xdr:colOff>
      <xdr:row>21</xdr:row>
      <xdr:rowOff>134472</xdr:rowOff>
    </xdr:to>
    <xdr:sp macro="" textlink="">
      <xdr:nvSpPr>
        <xdr:cNvPr id="14" name="テキスト ボックス 13">
          <a:extLst>
            <a:ext uri="{FF2B5EF4-FFF2-40B4-BE49-F238E27FC236}">
              <a16:creationId xmlns:a16="http://schemas.microsoft.com/office/drawing/2014/main" id="{00000000-0008-0000-0000-00000E000000}"/>
            </a:ext>
          </a:extLst>
        </xdr:cNvPr>
        <xdr:cNvSpPr txBox="1"/>
      </xdr:nvSpPr>
      <xdr:spPr>
        <a:xfrm>
          <a:off x="263110" y="4706471"/>
          <a:ext cx="5534254"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ステータス</a:t>
          </a:r>
        </a:p>
      </xdr:txBody>
    </xdr:sp>
    <xdr:clientData/>
  </xdr:twoCellAnchor>
  <xdr:twoCellAnchor>
    <xdr:from>
      <xdr:col>26</xdr:col>
      <xdr:colOff>168086</xdr:colOff>
      <xdr:row>20</xdr:row>
      <xdr:rowOff>0</xdr:rowOff>
    </xdr:from>
    <xdr:to>
      <xdr:col>49</xdr:col>
      <xdr:colOff>235323</xdr:colOff>
      <xdr:row>21</xdr:row>
      <xdr:rowOff>134472</xdr:rowOff>
    </xdr:to>
    <xdr:sp macro="" textlink="">
      <xdr:nvSpPr>
        <xdr:cNvPr id="15" name="テキスト ボックス 14">
          <a:extLst>
            <a:ext uri="{FF2B5EF4-FFF2-40B4-BE49-F238E27FC236}">
              <a16:creationId xmlns:a16="http://schemas.microsoft.com/office/drawing/2014/main" id="{00000000-0008-0000-0000-00000F000000}"/>
            </a:ext>
          </a:extLst>
        </xdr:cNvPr>
        <xdr:cNvSpPr txBox="1"/>
      </xdr:nvSpPr>
      <xdr:spPr>
        <a:xfrm>
          <a:off x="6286498" y="4706471"/>
          <a:ext cx="5748619"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原因分類</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3</xdr:row>
      <xdr:rowOff>47625</xdr:rowOff>
    </xdr:from>
    <xdr:to>
      <xdr:col>11</xdr:col>
      <xdr:colOff>371475</xdr:colOff>
      <xdr:row>9</xdr:row>
      <xdr:rowOff>152400</xdr:rowOff>
    </xdr:to>
    <xdr:sp macro="" textlink="">
      <xdr:nvSpPr>
        <xdr:cNvPr id="2" name="正方形/長方形 1">
          <a:extLst>
            <a:ext uri="{FF2B5EF4-FFF2-40B4-BE49-F238E27FC236}">
              <a16:creationId xmlns:a16="http://schemas.microsoft.com/office/drawing/2014/main" id="{00000000-0008-0000-0400-000002000000}"/>
            </a:ext>
          </a:extLst>
        </xdr:cNvPr>
        <xdr:cNvSpPr/>
      </xdr:nvSpPr>
      <xdr:spPr>
        <a:xfrm>
          <a:off x="2276475" y="762000"/>
          <a:ext cx="3581400" cy="1533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BackLog</a:t>
          </a:r>
          <a:r>
            <a:rPr kumimoji="1" lang="ja-JP" altLang="en-US" sz="1100"/>
            <a:t>の修正者欄が整備できておりません。</a:t>
          </a:r>
          <a:endParaRPr kumimoji="1" lang="en-US" altLang="ja-JP" sz="1100"/>
        </a:p>
        <a:p>
          <a:pPr algn="l"/>
          <a:r>
            <a:rPr kumimoji="1" lang="en-US" altLang="ja-JP" sz="1100"/>
            <a:t>1/28</a:t>
          </a:r>
          <a:r>
            <a:rPr kumimoji="1" lang="ja-JP" altLang="en-US" sz="1100"/>
            <a:t>の報告までに修正いたします。</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25400</xdr:colOff>
          <xdr:row>0</xdr:row>
          <xdr:rowOff>25400</xdr:rowOff>
        </xdr:from>
        <xdr:to>
          <xdr:col>6</xdr:col>
          <xdr:colOff>647700</xdr:colOff>
          <xdr:row>1</xdr:row>
          <xdr:rowOff>228600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バックログ出力</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25400</xdr:colOff>
          <xdr:row>0</xdr:row>
          <xdr:rowOff>25400</xdr:rowOff>
        </xdr:from>
        <xdr:to>
          <xdr:col>6</xdr:col>
          <xdr:colOff>647700</xdr:colOff>
          <xdr:row>1</xdr:row>
          <xdr:rowOff>228600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7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バックログ出力</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25400</xdr:colOff>
          <xdr:row>0</xdr:row>
          <xdr:rowOff>25400</xdr:rowOff>
        </xdr:from>
        <xdr:to>
          <xdr:col>6</xdr:col>
          <xdr:colOff>647700</xdr:colOff>
          <xdr:row>1</xdr:row>
          <xdr:rowOff>228600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8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バックログ出力</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9524</xdr:colOff>
      <xdr:row>0</xdr:row>
      <xdr:rowOff>57149</xdr:rowOff>
    </xdr:from>
    <xdr:to>
      <xdr:col>2</xdr:col>
      <xdr:colOff>590550</xdr:colOff>
      <xdr:row>1</xdr:row>
      <xdr:rowOff>95250</xdr:rowOff>
    </xdr:to>
    <xdr:sp macro="" textlink="">
      <xdr:nvSpPr>
        <xdr:cNvPr id="5121" name="Button 1" hidden="1">
          <a:extLst>
            <a:ext uri="{63B3BB69-23CF-44E3-9099-C40C66FF867C}">
              <a14:compatExt xmlns:a14="http://schemas.microsoft.com/office/drawing/2010/main" spid="_x0000_s5121"/>
            </a:ext>
            <a:ext uri="{FF2B5EF4-FFF2-40B4-BE49-F238E27FC236}">
              <a16:creationId xmlns:a16="http://schemas.microsoft.com/office/drawing/2014/main" id="{00000000-0008-0000-09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親課題取得</a:t>
          </a:r>
        </a:p>
      </xdr:txBody>
    </xdr:sp>
    <xdr:clientData fPrintsWithSheet="0"/>
  </xdr:twoCellAnchor>
  <mc:AlternateContent xmlns:mc="http://schemas.openxmlformats.org/markup-compatibility/2006">
    <mc:Choice xmlns:a14="http://schemas.microsoft.com/office/drawing/2010/main" Requires="a14">
      <xdr:twoCellAnchor>
        <xdr:from>
          <xdr:col>1</xdr:col>
          <xdr:colOff>0</xdr:colOff>
          <xdr:row>0</xdr:row>
          <xdr:rowOff>101600</xdr:rowOff>
        </xdr:from>
        <xdr:to>
          <xdr:col>2</xdr:col>
          <xdr:colOff>114300</xdr:colOff>
          <xdr:row>1</xdr:row>
          <xdr:rowOff>139700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9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IssueID取得</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17" Type="http://schemas.openxmlformats.org/officeDocument/2006/relationships/hyperlink" Target="https://sasuke-fl.backlog.com/view/SASUKE_PROJ_H8739-596" TargetMode="External"/><Relationship Id="rId21" Type="http://schemas.openxmlformats.org/officeDocument/2006/relationships/hyperlink" Target="https://sasuke-fl.backlog.com/view/SASUKE_PROJ_H8739-716" TargetMode="External"/><Relationship Id="rId42" Type="http://schemas.openxmlformats.org/officeDocument/2006/relationships/hyperlink" Target="https://sasuke-fl.backlog.com/view/SASUKE_PROJ_H8739-623" TargetMode="External"/><Relationship Id="rId63" Type="http://schemas.openxmlformats.org/officeDocument/2006/relationships/hyperlink" Target="https://sasuke-fl.backlog.com/view/SASUKE_PROJ_H8739-724" TargetMode="External"/><Relationship Id="rId84" Type="http://schemas.openxmlformats.org/officeDocument/2006/relationships/hyperlink" Target="https://sasuke-fl.backlog.com/view/SASUKE_PROJ_H8739-675" TargetMode="External"/><Relationship Id="rId138" Type="http://schemas.openxmlformats.org/officeDocument/2006/relationships/hyperlink" Target="https://sasuke-fl.backlog.com/view/SASUKE_PROJ_H8739-543" TargetMode="External"/><Relationship Id="rId107" Type="http://schemas.openxmlformats.org/officeDocument/2006/relationships/hyperlink" Target="https://sasuke-fl.backlog.com/view/SASUKE_PROJ_H8739-615" TargetMode="External"/><Relationship Id="rId11" Type="http://schemas.openxmlformats.org/officeDocument/2006/relationships/hyperlink" Target="https://sasuke-fl.backlog.com/view/SASUKE_PROJ_H8739-783" TargetMode="External"/><Relationship Id="rId32" Type="http://schemas.openxmlformats.org/officeDocument/2006/relationships/hyperlink" Target="https://sasuke-fl.backlog.com/view/SASUKE_PROJ_H8739-656" TargetMode="External"/><Relationship Id="rId53" Type="http://schemas.openxmlformats.org/officeDocument/2006/relationships/hyperlink" Target="https://sasuke-fl.backlog.com/view/SASUKE_PROJ_H8739-810" TargetMode="External"/><Relationship Id="rId74" Type="http://schemas.openxmlformats.org/officeDocument/2006/relationships/hyperlink" Target="https://sasuke-fl.backlog.com/view/SASUKE_PROJ_H8739-702" TargetMode="External"/><Relationship Id="rId128" Type="http://schemas.openxmlformats.org/officeDocument/2006/relationships/hyperlink" Target="https://sasuke-fl.backlog.com/view/SASUKE_PROJ_H8739-571" TargetMode="External"/><Relationship Id="rId149" Type="http://schemas.openxmlformats.org/officeDocument/2006/relationships/hyperlink" Target="https://sasuke-fl.backlog.com/view/SASUKE_PROJ_H8739-521" TargetMode="External"/><Relationship Id="rId5" Type="http://schemas.openxmlformats.org/officeDocument/2006/relationships/hyperlink" Target="https://sasuke-fl.backlog.com/view/SASUKE_PROJ_H8739-844" TargetMode="External"/><Relationship Id="rId95" Type="http://schemas.openxmlformats.org/officeDocument/2006/relationships/hyperlink" Target="https://sasuke-fl.backlog.com/view/SASUKE_PROJ_H8739-652" TargetMode="External"/><Relationship Id="rId22" Type="http://schemas.openxmlformats.org/officeDocument/2006/relationships/hyperlink" Target="https://sasuke-fl.backlog.com/view/SASUKE_PROJ_H8739-708" TargetMode="External"/><Relationship Id="rId27" Type="http://schemas.openxmlformats.org/officeDocument/2006/relationships/hyperlink" Target="https://sasuke-fl.backlog.com/view/SASUKE_PROJ_H8739-673" TargetMode="External"/><Relationship Id="rId43" Type="http://schemas.openxmlformats.org/officeDocument/2006/relationships/hyperlink" Target="https://sasuke-fl.backlog.com/view/SASUKE_PROJ_H8739-622" TargetMode="External"/><Relationship Id="rId48" Type="http://schemas.openxmlformats.org/officeDocument/2006/relationships/hyperlink" Target="https://sasuke-fl.backlog.com/view/SASUKE_PROJ_H8739-852" TargetMode="External"/><Relationship Id="rId64" Type="http://schemas.openxmlformats.org/officeDocument/2006/relationships/hyperlink" Target="https://sasuke-fl.backlog.com/view/SASUKE_PROJ_H8739-723" TargetMode="External"/><Relationship Id="rId69" Type="http://schemas.openxmlformats.org/officeDocument/2006/relationships/hyperlink" Target="https://sasuke-fl.backlog.com/view/SASUKE_PROJ_H8739-712" TargetMode="External"/><Relationship Id="rId113" Type="http://schemas.openxmlformats.org/officeDocument/2006/relationships/hyperlink" Target="https://sasuke-fl.backlog.com/view/SASUKE_PROJ_H8739-604" TargetMode="External"/><Relationship Id="rId118" Type="http://schemas.openxmlformats.org/officeDocument/2006/relationships/hyperlink" Target="https://sasuke-fl.backlog.com/view/SASUKE_PROJ_H8739-593" TargetMode="External"/><Relationship Id="rId134" Type="http://schemas.openxmlformats.org/officeDocument/2006/relationships/hyperlink" Target="https://sasuke-fl.backlog.com/view/SASUKE_PROJ_H8739-558" TargetMode="External"/><Relationship Id="rId139" Type="http://schemas.openxmlformats.org/officeDocument/2006/relationships/hyperlink" Target="https://sasuke-fl.backlog.com/view/SASUKE_PROJ_H8739-542" TargetMode="External"/><Relationship Id="rId80" Type="http://schemas.openxmlformats.org/officeDocument/2006/relationships/hyperlink" Target="https://sasuke-fl.backlog.com/view/SASUKE_PROJ_H8739-681" TargetMode="External"/><Relationship Id="rId85" Type="http://schemas.openxmlformats.org/officeDocument/2006/relationships/hyperlink" Target="https://sasuke-fl.backlog.com/view/SASUKE_PROJ_H8739-674" TargetMode="External"/><Relationship Id="rId150" Type="http://schemas.openxmlformats.org/officeDocument/2006/relationships/printerSettings" Target="../printerSettings/printerSettings5.bin"/><Relationship Id="rId12" Type="http://schemas.openxmlformats.org/officeDocument/2006/relationships/hyperlink" Target="https://sasuke-fl.backlog.com/view/SASUKE_PROJ_H8739-773" TargetMode="External"/><Relationship Id="rId17" Type="http://schemas.openxmlformats.org/officeDocument/2006/relationships/hyperlink" Target="https://sasuke-fl.backlog.com/view/SASUKE_PROJ_H8739-728" TargetMode="External"/><Relationship Id="rId33" Type="http://schemas.openxmlformats.org/officeDocument/2006/relationships/hyperlink" Target="https://sasuke-fl.backlog.com/view/SASUKE_PROJ_H8739-649" TargetMode="External"/><Relationship Id="rId38" Type="http://schemas.openxmlformats.org/officeDocument/2006/relationships/hyperlink" Target="https://sasuke-fl.backlog.com/view/SASUKE_PROJ_H8739-638" TargetMode="External"/><Relationship Id="rId59" Type="http://schemas.openxmlformats.org/officeDocument/2006/relationships/hyperlink" Target="https://sasuke-fl.backlog.com/view/SASUKE_PROJ_H8739-762" TargetMode="External"/><Relationship Id="rId103" Type="http://schemas.openxmlformats.org/officeDocument/2006/relationships/hyperlink" Target="https://sasuke-fl.backlog.com/view/SASUKE_PROJ_H8739-625" TargetMode="External"/><Relationship Id="rId108" Type="http://schemas.openxmlformats.org/officeDocument/2006/relationships/hyperlink" Target="https://sasuke-fl.backlog.com/view/SASUKE_PROJ_H8739-613" TargetMode="External"/><Relationship Id="rId124" Type="http://schemas.openxmlformats.org/officeDocument/2006/relationships/hyperlink" Target="https://sasuke-fl.backlog.com/view/SASUKE_PROJ_H8739-575" TargetMode="External"/><Relationship Id="rId129" Type="http://schemas.openxmlformats.org/officeDocument/2006/relationships/hyperlink" Target="https://sasuke-fl.backlog.com/view/SASUKE_PROJ_H8739-569" TargetMode="External"/><Relationship Id="rId54" Type="http://schemas.openxmlformats.org/officeDocument/2006/relationships/hyperlink" Target="https://sasuke-fl.backlog.com/view/SASUKE_PROJ_H8739-807" TargetMode="External"/><Relationship Id="rId70" Type="http://schemas.openxmlformats.org/officeDocument/2006/relationships/hyperlink" Target="https://sasuke-fl.backlog.com/view/SASUKE_PROJ_H8739-710" TargetMode="External"/><Relationship Id="rId75" Type="http://schemas.openxmlformats.org/officeDocument/2006/relationships/hyperlink" Target="https://sasuke-fl.backlog.com/view/SASUKE_PROJ_H8739-698" TargetMode="External"/><Relationship Id="rId91" Type="http://schemas.openxmlformats.org/officeDocument/2006/relationships/hyperlink" Target="https://sasuke-fl.backlog.com/view/SASUKE_PROJ_H8739-657" TargetMode="External"/><Relationship Id="rId96" Type="http://schemas.openxmlformats.org/officeDocument/2006/relationships/hyperlink" Target="https://sasuke-fl.backlog.com/view/SASUKE_PROJ_H8739-651" TargetMode="External"/><Relationship Id="rId140" Type="http://schemas.openxmlformats.org/officeDocument/2006/relationships/hyperlink" Target="https://sasuke-fl.backlog.com/view/SASUKE_PROJ_H8739-541" TargetMode="External"/><Relationship Id="rId145" Type="http://schemas.openxmlformats.org/officeDocument/2006/relationships/hyperlink" Target="https://sasuke-fl.backlog.com/view/SASUKE_PROJ_H8739-526" TargetMode="External"/><Relationship Id="rId1" Type="http://schemas.openxmlformats.org/officeDocument/2006/relationships/hyperlink" Target="https://sasuke-fl.backlog.com/view/SASUKE_PROJ_H8739-857" TargetMode="External"/><Relationship Id="rId6" Type="http://schemas.openxmlformats.org/officeDocument/2006/relationships/hyperlink" Target="https://sasuke-fl.backlog.com/view/SASUKE_PROJ_H8739-841" TargetMode="External"/><Relationship Id="rId23" Type="http://schemas.openxmlformats.org/officeDocument/2006/relationships/hyperlink" Target="https://sasuke-fl.backlog.com/view/SASUKE_PROJ_H8739-704" TargetMode="External"/><Relationship Id="rId28" Type="http://schemas.openxmlformats.org/officeDocument/2006/relationships/hyperlink" Target="https://sasuke-fl.backlog.com/view/SASUKE_PROJ_H8739-670" TargetMode="External"/><Relationship Id="rId49" Type="http://schemas.openxmlformats.org/officeDocument/2006/relationships/hyperlink" Target="https://sasuke-fl.backlog.com/view/SASUKE_PROJ_H8739-849" TargetMode="External"/><Relationship Id="rId114" Type="http://schemas.openxmlformats.org/officeDocument/2006/relationships/hyperlink" Target="https://sasuke-fl.backlog.com/view/SASUKE_PROJ_H8739-601" TargetMode="External"/><Relationship Id="rId119" Type="http://schemas.openxmlformats.org/officeDocument/2006/relationships/hyperlink" Target="https://sasuke-fl.backlog.com/view/SASUKE_PROJ_H8739-592" TargetMode="External"/><Relationship Id="rId44" Type="http://schemas.openxmlformats.org/officeDocument/2006/relationships/hyperlink" Target="https://sasuke-fl.backlog.com/view/SASUKE_PROJ_H8739-611" TargetMode="External"/><Relationship Id="rId60" Type="http://schemas.openxmlformats.org/officeDocument/2006/relationships/hyperlink" Target="https://sasuke-fl.backlog.com/view/SASUKE_PROJ_H8739-743" TargetMode="External"/><Relationship Id="rId65" Type="http://schemas.openxmlformats.org/officeDocument/2006/relationships/hyperlink" Target="https://sasuke-fl.backlog.com/view/SASUKE_PROJ_H8739-721" TargetMode="External"/><Relationship Id="rId81" Type="http://schemas.openxmlformats.org/officeDocument/2006/relationships/hyperlink" Target="https://sasuke-fl.backlog.com/view/SASUKE_PROJ_H8739-679" TargetMode="External"/><Relationship Id="rId86" Type="http://schemas.openxmlformats.org/officeDocument/2006/relationships/hyperlink" Target="https://sasuke-fl.backlog.com/view/SASUKE_PROJ_H8739-672" TargetMode="External"/><Relationship Id="rId130" Type="http://schemas.openxmlformats.org/officeDocument/2006/relationships/hyperlink" Target="https://sasuke-fl.backlog.com/view/SASUKE_PROJ_H8739-568" TargetMode="External"/><Relationship Id="rId135" Type="http://schemas.openxmlformats.org/officeDocument/2006/relationships/hyperlink" Target="https://sasuke-fl.backlog.com/view/SASUKE_PROJ_H8739-554" TargetMode="External"/><Relationship Id="rId151" Type="http://schemas.openxmlformats.org/officeDocument/2006/relationships/drawing" Target="../drawings/drawing3.xml"/><Relationship Id="rId13" Type="http://schemas.openxmlformats.org/officeDocument/2006/relationships/hyperlink" Target="https://sasuke-fl.backlog.com/view/SASUKE_PROJ_H8739-771" TargetMode="External"/><Relationship Id="rId18" Type="http://schemas.openxmlformats.org/officeDocument/2006/relationships/hyperlink" Target="https://sasuke-fl.backlog.com/view/SASUKE_PROJ_H8739-726" TargetMode="External"/><Relationship Id="rId39" Type="http://schemas.openxmlformats.org/officeDocument/2006/relationships/hyperlink" Target="https://sasuke-fl.backlog.com/view/SASUKE_PROJ_H8739-636" TargetMode="External"/><Relationship Id="rId109" Type="http://schemas.openxmlformats.org/officeDocument/2006/relationships/hyperlink" Target="https://sasuke-fl.backlog.com/view/SASUKE_PROJ_H8739-612" TargetMode="External"/><Relationship Id="rId34" Type="http://schemas.openxmlformats.org/officeDocument/2006/relationships/hyperlink" Target="https://sasuke-fl.backlog.com/view/SASUKE_PROJ_H8739-643" TargetMode="External"/><Relationship Id="rId50" Type="http://schemas.openxmlformats.org/officeDocument/2006/relationships/hyperlink" Target="https://sasuke-fl.backlog.com/view/SASUKE_PROJ_H8739-847" TargetMode="External"/><Relationship Id="rId55" Type="http://schemas.openxmlformats.org/officeDocument/2006/relationships/hyperlink" Target="https://sasuke-fl.backlog.com/view/SASUKE_PROJ_H8739-802" TargetMode="External"/><Relationship Id="rId76" Type="http://schemas.openxmlformats.org/officeDocument/2006/relationships/hyperlink" Target="https://sasuke-fl.backlog.com/view/SASUKE_PROJ_H8739-697" TargetMode="External"/><Relationship Id="rId97" Type="http://schemas.openxmlformats.org/officeDocument/2006/relationships/hyperlink" Target="https://sasuke-fl.backlog.com/view/SASUKE_PROJ_H8739-650" TargetMode="External"/><Relationship Id="rId104" Type="http://schemas.openxmlformats.org/officeDocument/2006/relationships/hyperlink" Target="https://sasuke-fl.backlog.com/view/SASUKE_PROJ_H8739-619" TargetMode="External"/><Relationship Id="rId120" Type="http://schemas.openxmlformats.org/officeDocument/2006/relationships/hyperlink" Target="https://sasuke-fl.backlog.com/view/SASUKE_PROJ_H8739-591" TargetMode="External"/><Relationship Id="rId125" Type="http://schemas.openxmlformats.org/officeDocument/2006/relationships/hyperlink" Target="https://sasuke-fl.backlog.com/view/SASUKE_PROJ_H8739-574" TargetMode="External"/><Relationship Id="rId141" Type="http://schemas.openxmlformats.org/officeDocument/2006/relationships/hyperlink" Target="https://sasuke-fl.backlog.com/view/SASUKE_PROJ_H8739-534" TargetMode="External"/><Relationship Id="rId146" Type="http://schemas.openxmlformats.org/officeDocument/2006/relationships/hyperlink" Target="https://sasuke-fl.backlog.com/view/SASUKE_PROJ_H8739-525" TargetMode="External"/><Relationship Id="rId7" Type="http://schemas.openxmlformats.org/officeDocument/2006/relationships/hyperlink" Target="https://sasuke-fl.backlog.com/view/SASUKE_PROJ_H8739-833" TargetMode="External"/><Relationship Id="rId71" Type="http://schemas.openxmlformats.org/officeDocument/2006/relationships/hyperlink" Target="https://sasuke-fl.backlog.com/view/SASUKE_PROJ_H8739-709" TargetMode="External"/><Relationship Id="rId92" Type="http://schemas.openxmlformats.org/officeDocument/2006/relationships/hyperlink" Target="https://sasuke-fl.backlog.com/view/SASUKE_PROJ_H8739-655" TargetMode="External"/><Relationship Id="rId2" Type="http://schemas.openxmlformats.org/officeDocument/2006/relationships/hyperlink" Target="https://sasuke-fl.backlog.com/view/SASUKE_PROJ_H8739-856" TargetMode="External"/><Relationship Id="rId29" Type="http://schemas.openxmlformats.org/officeDocument/2006/relationships/hyperlink" Target="https://sasuke-fl.backlog.com/view/SASUKE_PROJ_H8739-669" TargetMode="External"/><Relationship Id="rId24" Type="http://schemas.openxmlformats.org/officeDocument/2006/relationships/hyperlink" Target="https://sasuke-fl.backlog.com/view/SASUKE_PROJ_H8739-700" TargetMode="External"/><Relationship Id="rId40" Type="http://schemas.openxmlformats.org/officeDocument/2006/relationships/hyperlink" Target="https://sasuke-fl.backlog.com/view/SASUKE_PROJ_H8739-628" TargetMode="External"/><Relationship Id="rId45" Type="http://schemas.openxmlformats.org/officeDocument/2006/relationships/hyperlink" Target="https://sasuke-fl.backlog.com/view/SASUKE_PROJ_H8739-610" TargetMode="External"/><Relationship Id="rId66" Type="http://schemas.openxmlformats.org/officeDocument/2006/relationships/hyperlink" Target="https://sasuke-fl.backlog.com/view/SASUKE_PROJ_H8739-720" TargetMode="External"/><Relationship Id="rId87" Type="http://schemas.openxmlformats.org/officeDocument/2006/relationships/hyperlink" Target="https://sasuke-fl.backlog.com/view/SASUKE_PROJ_H8739-671" TargetMode="External"/><Relationship Id="rId110" Type="http://schemas.openxmlformats.org/officeDocument/2006/relationships/hyperlink" Target="https://sasuke-fl.backlog.com/view/SASUKE_PROJ_H8739-608" TargetMode="External"/><Relationship Id="rId115" Type="http://schemas.openxmlformats.org/officeDocument/2006/relationships/hyperlink" Target="https://sasuke-fl.backlog.com/view/SASUKE_PROJ_H8739-600" TargetMode="External"/><Relationship Id="rId131" Type="http://schemas.openxmlformats.org/officeDocument/2006/relationships/hyperlink" Target="https://sasuke-fl.backlog.com/view/SASUKE_PROJ_H8739-567" TargetMode="External"/><Relationship Id="rId136" Type="http://schemas.openxmlformats.org/officeDocument/2006/relationships/hyperlink" Target="https://sasuke-fl.backlog.com/view/SASUKE_PROJ_H8739-553" TargetMode="External"/><Relationship Id="rId61" Type="http://schemas.openxmlformats.org/officeDocument/2006/relationships/hyperlink" Target="https://sasuke-fl.backlog.com/view/SASUKE_PROJ_H8739-727" TargetMode="External"/><Relationship Id="rId82" Type="http://schemas.openxmlformats.org/officeDocument/2006/relationships/hyperlink" Target="https://sasuke-fl.backlog.com/view/SASUKE_PROJ_H8739-678" TargetMode="External"/><Relationship Id="rId152" Type="http://schemas.openxmlformats.org/officeDocument/2006/relationships/vmlDrawing" Target="../drawings/vmlDrawing2.vml"/><Relationship Id="rId19" Type="http://schemas.openxmlformats.org/officeDocument/2006/relationships/hyperlink" Target="https://sasuke-fl.backlog.com/view/SASUKE_PROJ_H8739-722" TargetMode="External"/><Relationship Id="rId14" Type="http://schemas.openxmlformats.org/officeDocument/2006/relationships/hyperlink" Target="https://sasuke-fl.backlog.com/view/SASUKE_PROJ_H8739-761" TargetMode="External"/><Relationship Id="rId30" Type="http://schemas.openxmlformats.org/officeDocument/2006/relationships/hyperlink" Target="https://sasuke-fl.backlog.com/view/SASUKE_PROJ_H8739-659" TargetMode="External"/><Relationship Id="rId35" Type="http://schemas.openxmlformats.org/officeDocument/2006/relationships/hyperlink" Target="https://sasuke-fl.backlog.com/view/SASUKE_PROJ_H8739-641" TargetMode="External"/><Relationship Id="rId56" Type="http://schemas.openxmlformats.org/officeDocument/2006/relationships/hyperlink" Target="https://sasuke-fl.backlog.com/view/SASUKE_PROJ_H8739-784" TargetMode="External"/><Relationship Id="rId77" Type="http://schemas.openxmlformats.org/officeDocument/2006/relationships/hyperlink" Target="https://sasuke-fl.backlog.com/view/SASUKE_PROJ_H8739-691" TargetMode="External"/><Relationship Id="rId100" Type="http://schemas.openxmlformats.org/officeDocument/2006/relationships/hyperlink" Target="https://sasuke-fl.backlog.com/view/SASUKE_PROJ_H8739-635" TargetMode="External"/><Relationship Id="rId105" Type="http://schemas.openxmlformats.org/officeDocument/2006/relationships/hyperlink" Target="https://sasuke-fl.backlog.com/view/SASUKE_PROJ_H8739-618" TargetMode="External"/><Relationship Id="rId126" Type="http://schemas.openxmlformats.org/officeDocument/2006/relationships/hyperlink" Target="https://sasuke-fl.backlog.com/view/SASUKE_PROJ_H8739-573" TargetMode="External"/><Relationship Id="rId147" Type="http://schemas.openxmlformats.org/officeDocument/2006/relationships/hyperlink" Target="https://sasuke-fl.backlog.com/view/SASUKE_PROJ_H8739-524" TargetMode="External"/><Relationship Id="rId8" Type="http://schemas.openxmlformats.org/officeDocument/2006/relationships/hyperlink" Target="https://sasuke-fl.backlog.com/view/SASUKE_PROJ_H8739-829" TargetMode="External"/><Relationship Id="rId51" Type="http://schemas.openxmlformats.org/officeDocument/2006/relationships/hyperlink" Target="https://sasuke-fl.backlog.com/view/SASUKE_PROJ_H8739-832" TargetMode="External"/><Relationship Id="rId72" Type="http://schemas.openxmlformats.org/officeDocument/2006/relationships/hyperlink" Target="https://sasuke-fl.backlog.com/view/SASUKE_PROJ_H8739-707" TargetMode="External"/><Relationship Id="rId93" Type="http://schemas.openxmlformats.org/officeDocument/2006/relationships/hyperlink" Target="https://sasuke-fl.backlog.com/view/SASUKE_PROJ_H8739-654" TargetMode="External"/><Relationship Id="rId98" Type="http://schemas.openxmlformats.org/officeDocument/2006/relationships/hyperlink" Target="https://sasuke-fl.backlog.com/view/SASUKE_PROJ_H8739-648" TargetMode="External"/><Relationship Id="rId121" Type="http://schemas.openxmlformats.org/officeDocument/2006/relationships/hyperlink" Target="https://sasuke-fl.backlog.com/view/SASUKE_PROJ_H8739-587" TargetMode="External"/><Relationship Id="rId142" Type="http://schemas.openxmlformats.org/officeDocument/2006/relationships/hyperlink" Target="https://sasuke-fl.backlog.com/view/SASUKE_PROJ_H8739-529" TargetMode="External"/><Relationship Id="rId3" Type="http://schemas.openxmlformats.org/officeDocument/2006/relationships/hyperlink" Target="https://sasuke-fl.backlog.com/view/SASUKE_PROJ_H8739-854" TargetMode="External"/><Relationship Id="rId25" Type="http://schemas.openxmlformats.org/officeDocument/2006/relationships/hyperlink" Target="https://sasuke-fl.backlog.com/view/SASUKE_PROJ_H8739-694" TargetMode="External"/><Relationship Id="rId46" Type="http://schemas.openxmlformats.org/officeDocument/2006/relationships/hyperlink" Target="https://sasuke-fl.backlog.com/view/SASUKE_PROJ_H8739-582" TargetMode="External"/><Relationship Id="rId67" Type="http://schemas.openxmlformats.org/officeDocument/2006/relationships/hyperlink" Target="https://sasuke-fl.backlog.com/view/SASUKE_PROJ_H8739-718" TargetMode="External"/><Relationship Id="rId116" Type="http://schemas.openxmlformats.org/officeDocument/2006/relationships/hyperlink" Target="https://sasuke-fl.backlog.com/view/SASUKE_PROJ_H8739-599" TargetMode="External"/><Relationship Id="rId137" Type="http://schemas.openxmlformats.org/officeDocument/2006/relationships/hyperlink" Target="https://sasuke-fl.backlog.com/view/SASUKE_PROJ_H8739-551" TargetMode="External"/><Relationship Id="rId20" Type="http://schemas.openxmlformats.org/officeDocument/2006/relationships/hyperlink" Target="https://sasuke-fl.backlog.com/view/SASUKE_PROJ_H8739-717" TargetMode="External"/><Relationship Id="rId41" Type="http://schemas.openxmlformats.org/officeDocument/2006/relationships/hyperlink" Target="https://sasuke-fl.backlog.com/view/SASUKE_PROJ_H8739-624" TargetMode="External"/><Relationship Id="rId62" Type="http://schemas.openxmlformats.org/officeDocument/2006/relationships/hyperlink" Target="https://sasuke-fl.backlog.com/view/SASUKE_PROJ_H8739-725" TargetMode="External"/><Relationship Id="rId83" Type="http://schemas.openxmlformats.org/officeDocument/2006/relationships/hyperlink" Target="https://sasuke-fl.backlog.com/view/SASUKE_PROJ_H8739-676" TargetMode="External"/><Relationship Id="rId88" Type="http://schemas.openxmlformats.org/officeDocument/2006/relationships/hyperlink" Target="https://sasuke-fl.backlog.com/view/SASUKE_PROJ_H8739-668" TargetMode="External"/><Relationship Id="rId111" Type="http://schemas.openxmlformats.org/officeDocument/2006/relationships/hyperlink" Target="https://sasuke-fl.backlog.com/view/SASUKE_PROJ_H8739-607" TargetMode="External"/><Relationship Id="rId132" Type="http://schemas.openxmlformats.org/officeDocument/2006/relationships/hyperlink" Target="https://sasuke-fl.backlog.com/view/SASUKE_PROJ_H8739-566" TargetMode="External"/><Relationship Id="rId153" Type="http://schemas.openxmlformats.org/officeDocument/2006/relationships/ctrlProp" Target="../ctrlProps/ctrlProp1.xml"/><Relationship Id="rId15" Type="http://schemas.openxmlformats.org/officeDocument/2006/relationships/hyperlink" Target="https://sasuke-fl.backlog.com/view/SASUKE_PROJ_H8739-758" TargetMode="External"/><Relationship Id="rId36" Type="http://schemas.openxmlformats.org/officeDocument/2006/relationships/hyperlink" Target="https://sasuke-fl.backlog.com/view/SASUKE_PROJ_H8739-640" TargetMode="External"/><Relationship Id="rId57" Type="http://schemas.openxmlformats.org/officeDocument/2006/relationships/hyperlink" Target="https://sasuke-fl.backlog.com/view/SASUKE_PROJ_H8739-781" TargetMode="External"/><Relationship Id="rId106" Type="http://schemas.openxmlformats.org/officeDocument/2006/relationships/hyperlink" Target="https://sasuke-fl.backlog.com/view/SASUKE_PROJ_H8739-616" TargetMode="External"/><Relationship Id="rId127" Type="http://schemas.openxmlformats.org/officeDocument/2006/relationships/hyperlink" Target="https://sasuke-fl.backlog.com/view/SASUKE_PROJ_H8739-572" TargetMode="External"/><Relationship Id="rId10" Type="http://schemas.openxmlformats.org/officeDocument/2006/relationships/hyperlink" Target="https://sasuke-fl.backlog.com/view/SASUKE_PROJ_H8739-787" TargetMode="External"/><Relationship Id="rId31" Type="http://schemas.openxmlformats.org/officeDocument/2006/relationships/hyperlink" Target="https://sasuke-fl.backlog.com/view/SASUKE_PROJ_H8739-658" TargetMode="External"/><Relationship Id="rId52" Type="http://schemas.openxmlformats.org/officeDocument/2006/relationships/hyperlink" Target="https://sasuke-fl.backlog.com/view/SASUKE_PROJ_H8739-817" TargetMode="External"/><Relationship Id="rId73" Type="http://schemas.openxmlformats.org/officeDocument/2006/relationships/hyperlink" Target="https://sasuke-fl.backlog.com/view/SASUKE_PROJ_H8739-705" TargetMode="External"/><Relationship Id="rId78" Type="http://schemas.openxmlformats.org/officeDocument/2006/relationships/hyperlink" Target="https://sasuke-fl.backlog.com/view/SASUKE_PROJ_H8739-687" TargetMode="External"/><Relationship Id="rId94" Type="http://schemas.openxmlformats.org/officeDocument/2006/relationships/hyperlink" Target="https://sasuke-fl.backlog.com/view/SASUKE_PROJ_H8739-653" TargetMode="External"/><Relationship Id="rId99" Type="http://schemas.openxmlformats.org/officeDocument/2006/relationships/hyperlink" Target="https://sasuke-fl.backlog.com/view/SASUKE_PROJ_H8739-647" TargetMode="External"/><Relationship Id="rId101" Type="http://schemas.openxmlformats.org/officeDocument/2006/relationships/hyperlink" Target="https://sasuke-fl.backlog.com/view/SASUKE_PROJ_H8739-633" TargetMode="External"/><Relationship Id="rId122" Type="http://schemas.openxmlformats.org/officeDocument/2006/relationships/hyperlink" Target="https://sasuke-fl.backlog.com/view/SASUKE_PROJ_H8739-580" TargetMode="External"/><Relationship Id="rId143" Type="http://schemas.openxmlformats.org/officeDocument/2006/relationships/hyperlink" Target="https://sasuke-fl.backlog.com/view/SASUKE_PROJ_H8739-528" TargetMode="External"/><Relationship Id="rId148" Type="http://schemas.openxmlformats.org/officeDocument/2006/relationships/hyperlink" Target="https://sasuke-fl.backlog.com/view/SASUKE_PROJ_H8739-522" TargetMode="External"/><Relationship Id="rId4" Type="http://schemas.openxmlformats.org/officeDocument/2006/relationships/hyperlink" Target="https://sasuke-fl.backlog.com/view/SASUKE_PROJ_H8739-853" TargetMode="External"/><Relationship Id="rId9" Type="http://schemas.openxmlformats.org/officeDocument/2006/relationships/hyperlink" Target="https://sasuke-fl.backlog.com/view/SASUKE_PROJ_H8739-822" TargetMode="External"/><Relationship Id="rId26" Type="http://schemas.openxmlformats.org/officeDocument/2006/relationships/hyperlink" Target="https://sasuke-fl.backlog.com/view/SASUKE_PROJ_H8739-692" TargetMode="External"/><Relationship Id="rId47" Type="http://schemas.openxmlformats.org/officeDocument/2006/relationships/hyperlink" Target="https://sasuke-fl.backlog.com/view/SASUKE_PROJ_H8739-552" TargetMode="External"/><Relationship Id="rId68" Type="http://schemas.openxmlformats.org/officeDocument/2006/relationships/hyperlink" Target="https://sasuke-fl.backlog.com/view/SASUKE_PROJ_H8739-713" TargetMode="External"/><Relationship Id="rId89" Type="http://schemas.openxmlformats.org/officeDocument/2006/relationships/hyperlink" Target="https://sasuke-fl.backlog.com/view/SASUKE_PROJ_H8739-665" TargetMode="External"/><Relationship Id="rId112" Type="http://schemas.openxmlformats.org/officeDocument/2006/relationships/hyperlink" Target="https://sasuke-fl.backlog.com/view/SASUKE_PROJ_H8739-605" TargetMode="External"/><Relationship Id="rId133" Type="http://schemas.openxmlformats.org/officeDocument/2006/relationships/hyperlink" Target="https://sasuke-fl.backlog.com/view/SASUKE_PROJ_H8739-565" TargetMode="External"/><Relationship Id="rId16" Type="http://schemas.openxmlformats.org/officeDocument/2006/relationships/hyperlink" Target="https://sasuke-fl.backlog.com/view/SASUKE_PROJ_H8739-729" TargetMode="External"/><Relationship Id="rId37" Type="http://schemas.openxmlformats.org/officeDocument/2006/relationships/hyperlink" Target="https://sasuke-fl.backlog.com/view/SASUKE_PROJ_H8739-639" TargetMode="External"/><Relationship Id="rId58" Type="http://schemas.openxmlformats.org/officeDocument/2006/relationships/hyperlink" Target="https://sasuke-fl.backlog.com/view/SASUKE_PROJ_H8739-765" TargetMode="External"/><Relationship Id="rId79" Type="http://schemas.openxmlformats.org/officeDocument/2006/relationships/hyperlink" Target="https://sasuke-fl.backlog.com/view/SASUKE_PROJ_H8739-682" TargetMode="External"/><Relationship Id="rId102" Type="http://schemas.openxmlformats.org/officeDocument/2006/relationships/hyperlink" Target="https://sasuke-fl.backlog.com/view/SASUKE_PROJ_H8739-632" TargetMode="External"/><Relationship Id="rId123" Type="http://schemas.openxmlformats.org/officeDocument/2006/relationships/hyperlink" Target="https://sasuke-fl.backlog.com/view/SASUKE_PROJ_H8739-578" TargetMode="External"/><Relationship Id="rId144" Type="http://schemas.openxmlformats.org/officeDocument/2006/relationships/hyperlink" Target="https://sasuke-fl.backlog.com/view/SASUKE_PROJ_H8739-527" TargetMode="External"/><Relationship Id="rId90" Type="http://schemas.openxmlformats.org/officeDocument/2006/relationships/hyperlink" Target="https://sasuke-fl.backlog.com/view/SASUKE_PROJ_H8739-664"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sasuke-fl.backlog.com/view/SASUKE_PROJ_H8739-738" TargetMode="External"/><Relationship Id="rId13" Type="http://schemas.openxmlformats.org/officeDocument/2006/relationships/ctrlProp" Target="../ctrlProps/ctrlProp2.xml"/><Relationship Id="rId3" Type="http://schemas.openxmlformats.org/officeDocument/2006/relationships/hyperlink" Target="https://sasuke-fl.backlog.com/view/SASUKE_PROJ_H8739-770" TargetMode="External"/><Relationship Id="rId7" Type="http://schemas.openxmlformats.org/officeDocument/2006/relationships/hyperlink" Target="https://sasuke-fl.backlog.com/view/SASUKE_PROJ_H8739-739" TargetMode="External"/><Relationship Id="rId12" Type="http://schemas.openxmlformats.org/officeDocument/2006/relationships/vmlDrawing" Target="../drawings/vmlDrawing3.vml"/><Relationship Id="rId2" Type="http://schemas.openxmlformats.org/officeDocument/2006/relationships/hyperlink" Target="https://sasuke-fl.backlog.com/view/SASUKE_PROJ_H8739-776" TargetMode="External"/><Relationship Id="rId1" Type="http://schemas.openxmlformats.org/officeDocument/2006/relationships/hyperlink" Target="https://sasuke-fl.backlog.com/view/SASUKE_PROJ_H8739-843" TargetMode="External"/><Relationship Id="rId6" Type="http://schemas.openxmlformats.org/officeDocument/2006/relationships/hyperlink" Target="https://sasuke-fl.backlog.com/view/SASUKE_PROJ_H8739-766" TargetMode="External"/><Relationship Id="rId11" Type="http://schemas.openxmlformats.org/officeDocument/2006/relationships/drawing" Target="../drawings/drawing4.xml"/><Relationship Id="rId5" Type="http://schemas.openxmlformats.org/officeDocument/2006/relationships/hyperlink" Target="https://sasuke-fl.backlog.com/view/SASUKE_PROJ_H8739-768" TargetMode="External"/><Relationship Id="rId10" Type="http://schemas.openxmlformats.org/officeDocument/2006/relationships/printerSettings" Target="../printerSettings/printerSettings6.bin"/><Relationship Id="rId4" Type="http://schemas.openxmlformats.org/officeDocument/2006/relationships/hyperlink" Target="https://sasuke-fl.backlog.com/view/SASUKE_PROJ_H8739-769" TargetMode="External"/><Relationship Id="rId9" Type="http://schemas.openxmlformats.org/officeDocument/2006/relationships/hyperlink" Target="https://sasuke-fl.backlog.com/view/SASUKE_PROJ_H8739-737"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sasuke-fl.backlog.com/view/SASUKE_PROJ_H8739-598" TargetMode="External"/><Relationship Id="rId13" Type="http://schemas.openxmlformats.org/officeDocument/2006/relationships/hyperlink" Target="https://sasuke-fl.backlog.com/view/SASUKE_PROJ_H8739-585" TargetMode="External"/><Relationship Id="rId18" Type="http://schemas.openxmlformats.org/officeDocument/2006/relationships/hyperlink" Target="https://sasuke-fl.backlog.com/view/SASUKE_PROJ_H8739-577" TargetMode="External"/><Relationship Id="rId3" Type="http://schemas.openxmlformats.org/officeDocument/2006/relationships/hyperlink" Target="https://sasuke-fl.backlog.com/view/SASUKE_PROJ_H8739-775" TargetMode="External"/><Relationship Id="rId21" Type="http://schemas.openxmlformats.org/officeDocument/2006/relationships/hyperlink" Target="https://sasuke-fl.backlog.com/view/SASUKE_PROJ_H8739-548" TargetMode="External"/><Relationship Id="rId7" Type="http://schemas.openxmlformats.org/officeDocument/2006/relationships/hyperlink" Target="https://sasuke-fl.backlog.com/view/SASUKE_PROJ_H8739-606" TargetMode="External"/><Relationship Id="rId12" Type="http://schemas.openxmlformats.org/officeDocument/2006/relationships/hyperlink" Target="https://sasuke-fl.backlog.com/view/SASUKE_PROJ_H8739-586" TargetMode="External"/><Relationship Id="rId17" Type="http://schemas.openxmlformats.org/officeDocument/2006/relationships/hyperlink" Target="https://sasuke-fl.backlog.com/view/SASUKE_PROJ_H8739-579" TargetMode="External"/><Relationship Id="rId25" Type="http://schemas.openxmlformats.org/officeDocument/2006/relationships/ctrlProp" Target="../ctrlProps/ctrlProp3.xml"/><Relationship Id="rId2" Type="http://schemas.openxmlformats.org/officeDocument/2006/relationships/hyperlink" Target="https://sasuke-fl.backlog.com/view/SASUKE_PROJ_H8739-778" TargetMode="External"/><Relationship Id="rId16" Type="http://schemas.openxmlformats.org/officeDocument/2006/relationships/hyperlink" Target="https://sasuke-fl.backlog.com/view/SASUKE_PROJ_H8739-581" TargetMode="External"/><Relationship Id="rId20" Type="http://schemas.openxmlformats.org/officeDocument/2006/relationships/hyperlink" Target="https://sasuke-fl.backlog.com/view/SASUKE_PROJ_H8739-570" TargetMode="External"/><Relationship Id="rId1" Type="http://schemas.openxmlformats.org/officeDocument/2006/relationships/hyperlink" Target="https://sasuke-fl.backlog.com/view/SASUKE_PROJ_H8739-821" TargetMode="External"/><Relationship Id="rId6" Type="http://schemas.openxmlformats.org/officeDocument/2006/relationships/hyperlink" Target="https://sasuke-fl.backlog.com/view/SASUKE_PROJ_H8739-693" TargetMode="External"/><Relationship Id="rId11" Type="http://schemas.openxmlformats.org/officeDocument/2006/relationships/hyperlink" Target="https://sasuke-fl.backlog.com/view/SASUKE_PROJ_H8739-590" TargetMode="External"/><Relationship Id="rId24" Type="http://schemas.openxmlformats.org/officeDocument/2006/relationships/vmlDrawing" Target="../drawings/vmlDrawing4.vml"/><Relationship Id="rId5" Type="http://schemas.openxmlformats.org/officeDocument/2006/relationships/hyperlink" Target="https://sasuke-fl.backlog.com/view/SASUKE_PROJ_H8739-706" TargetMode="External"/><Relationship Id="rId15" Type="http://schemas.openxmlformats.org/officeDocument/2006/relationships/hyperlink" Target="https://sasuke-fl.backlog.com/view/SASUKE_PROJ_H8739-583" TargetMode="External"/><Relationship Id="rId23" Type="http://schemas.openxmlformats.org/officeDocument/2006/relationships/drawing" Target="../drawings/drawing5.xml"/><Relationship Id="rId10" Type="http://schemas.openxmlformats.org/officeDocument/2006/relationships/hyperlink" Target="https://sasuke-fl.backlog.com/view/SASUKE_PROJ_H8739-594" TargetMode="External"/><Relationship Id="rId19" Type="http://schemas.openxmlformats.org/officeDocument/2006/relationships/hyperlink" Target="https://sasuke-fl.backlog.com/view/SASUKE_PROJ_H8739-576" TargetMode="External"/><Relationship Id="rId4" Type="http://schemas.openxmlformats.org/officeDocument/2006/relationships/hyperlink" Target="https://sasuke-fl.backlog.com/view/SASUKE_PROJ_H8739-719" TargetMode="External"/><Relationship Id="rId9" Type="http://schemas.openxmlformats.org/officeDocument/2006/relationships/hyperlink" Target="https://sasuke-fl.backlog.com/view/SASUKE_PROJ_H8739-597" TargetMode="External"/><Relationship Id="rId14" Type="http://schemas.openxmlformats.org/officeDocument/2006/relationships/hyperlink" Target="https://sasuke-fl.backlog.com/view/SASUKE_PROJ_H8739-584" TargetMode="External"/><Relationship Id="rId22"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hyperlink" Target="https://sasuke-fl.backlog.com/view/SASUKE_PROJ_H8739-756" TargetMode="External"/><Relationship Id="rId7" Type="http://schemas.openxmlformats.org/officeDocument/2006/relationships/ctrlProp" Target="../ctrlProps/ctrlProp4.xml"/><Relationship Id="rId2" Type="http://schemas.openxmlformats.org/officeDocument/2006/relationships/hyperlink" Target="https://sasuke-fl.backlog.com/view/SASUKE_PROJ_H8739-711" TargetMode="External"/><Relationship Id="rId1" Type="http://schemas.openxmlformats.org/officeDocument/2006/relationships/hyperlink" Target="https://sasuke-fl.backlog.com/view/SASUKE_PROJ_H8739-511" TargetMode="External"/><Relationship Id="rId6" Type="http://schemas.openxmlformats.org/officeDocument/2006/relationships/vmlDrawing" Target="../drawings/vmlDrawing5.vml"/><Relationship Id="rId5" Type="http://schemas.openxmlformats.org/officeDocument/2006/relationships/drawing" Target="../drawings/drawing6.xml"/><Relationship Id="rId4"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DA595-97DE-4D52-ADB7-12B2BE765B64}">
  <sheetPr codeName="Sheet9">
    <pageSetUpPr autoPageBreaks="0"/>
  </sheetPr>
  <dimension ref="A1:BY58"/>
  <sheetViews>
    <sheetView showGridLines="0" tabSelected="1" zoomScale="85" zoomScaleNormal="85" zoomScaleSheetLayoutView="100" workbookViewId="0">
      <selection activeCell="BG11" sqref="BG11"/>
    </sheetView>
  </sheetViews>
  <sheetFormatPr baseColWidth="10" defaultColWidth="3.1640625" defaultRowHeight="18"/>
  <cols>
    <col min="1" max="1" width="1.5" style="69" customWidth="1"/>
    <col min="2" max="43" width="3.1640625" style="69"/>
    <col min="44" max="44" width="6.6640625" style="69" customWidth="1"/>
    <col min="45" max="53" width="3.1640625" style="69"/>
    <col min="54" max="54" width="3.1640625" style="69" customWidth="1"/>
    <col min="55" max="72" width="3.1640625" style="69"/>
    <col min="73" max="77" width="3.1640625" style="67"/>
    <col min="78" max="16384" width="3.1640625" style="68"/>
  </cols>
  <sheetData>
    <row r="1" spans="52:71" ht="9" customHeight="1"/>
    <row r="2" spans="52:71" ht="24" customHeight="1">
      <c r="BK2" s="83" t="s">
        <v>517</v>
      </c>
      <c r="BL2" s="84"/>
      <c r="BM2" s="84"/>
      <c r="BN2" s="84"/>
      <c r="BO2" s="85">
        <v>44223</v>
      </c>
      <c r="BP2" s="85"/>
      <c r="BQ2" s="85"/>
      <c r="BR2" s="85"/>
      <c r="BS2" s="85"/>
    </row>
    <row r="3" spans="52:71" ht="6" customHeight="1" thickBot="1"/>
    <row r="4" spans="52:71">
      <c r="AZ4" s="70" t="s">
        <v>417</v>
      </c>
      <c r="BA4" s="71"/>
      <c r="BB4" s="71"/>
      <c r="BC4" s="71"/>
      <c r="BD4" s="71"/>
      <c r="BE4" s="71"/>
      <c r="BF4" s="71"/>
      <c r="BG4" s="71"/>
      <c r="BH4" s="71"/>
      <c r="BI4" s="71"/>
      <c r="BJ4" s="71"/>
      <c r="BK4" s="71"/>
      <c r="BL4" s="72"/>
      <c r="BM4" s="72"/>
      <c r="BN4" s="72"/>
      <c r="BO4" s="72"/>
      <c r="BP4" s="72"/>
      <c r="BQ4" s="72"/>
      <c r="BR4" s="72"/>
      <c r="BS4" s="73"/>
    </row>
    <row r="5" spans="52:71">
      <c r="AZ5" s="74"/>
      <c r="BA5" s="82" t="s">
        <v>957</v>
      </c>
      <c r="BB5" s="75"/>
      <c r="BC5" s="75"/>
      <c r="BD5" s="75"/>
      <c r="BE5" s="76"/>
      <c r="BF5" s="75"/>
      <c r="BG5" s="75"/>
      <c r="BH5" s="75"/>
      <c r="BI5" s="75"/>
      <c r="BJ5" s="75"/>
      <c r="BK5" s="75"/>
      <c r="BL5" s="66"/>
      <c r="BM5" s="66"/>
      <c r="BN5" s="66"/>
      <c r="BO5" s="66"/>
      <c r="BP5" s="66"/>
      <c r="BQ5" s="66"/>
      <c r="BR5" s="66"/>
      <c r="BS5" s="77"/>
    </row>
    <row r="6" spans="52:71">
      <c r="AZ6" s="74"/>
      <c r="BA6" s="82" t="s">
        <v>958</v>
      </c>
      <c r="BB6" s="75"/>
      <c r="BC6" s="75"/>
      <c r="BD6" s="75"/>
      <c r="BE6" s="75"/>
      <c r="BF6" s="75"/>
      <c r="BG6" s="75"/>
      <c r="BH6" s="75"/>
      <c r="BI6" s="75"/>
      <c r="BJ6" s="75"/>
      <c r="BK6" s="75"/>
      <c r="BL6" s="66"/>
      <c r="BM6" s="66"/>
      <c r="BN6" s="66"/>
      <c r="BO6" s="66"/>
      <c r="BP6" s="66"/>
      <c r="BQ6" s="66"/>
      <c r="BR6" s="66"/>
      <c r="BS6" s="77"/>
    </row>
    <row r="7" spans="52:71">
      <c r="AZ7" s="74"/>
      <c r="BA7" s="82" t="s">
        <v>959</v>
      </c>
      <c r="BB7" s="75"/>
      <c r="BC7" s="75"/>
      <c r="BD7" s="75"/>
      <c r="BE7" s="75"/>
      <c r="BF7" s="75"/>
      <c r="BG7" s="75"/>
      <c r="BH7" s="75"/>
      <c r="BI7" s="75"/>
      <c r="BJ7" s="75"/>
      <c r="BK7" s="75"/>
      <c r="BL7" s="66"/>
      <c r="BM7" s="66"/>
      <c r="BN7" s="66"/>
      <c r="BO7" s="66"/>
      <c r="BP7" s="66"/>
      <c r="BQ7" s="66"/>
      <c r="BR7" s="66"/>
      <c r="BS7" s="77"/>
    </row>
    <row r="8" spans="52:71">
      <c r="AZ8" s="74"/>
      <c r="BA8" s="75"/>
      <c r="BB8" s="75"/>
      <c r="BC8" s="75"/>
      <c r="BD8" s="75"/>
      <c r="BE8" s="75"/>
      <c r="BF8" s="75"/>
      <c r="BG8" s="75"/>
      <c r="BH8" s="75"/>
      <c r="BI8" s="75"/>
      <c r="BJ8" s="75"/>
      <c r="BK8" s="75"/>
      <c r="BL8" s="66"/>
      <c r="BM8" s="66"/>
      <c r="BN8" s="66"/>
      <c r="BO8" s="66"/>
      <c r="BP8" s="66"/>
      <c r="BQ8" s="66"/>
      <c r="BR8" s="66"/>
      <c r="BS8" s="77"/>
    </row>
    <row r="9" spans="52:71">
      <c r="AZ9" s="74"/>
      <c r="BA9" s="75"/>
      <c r="BB9" s="75"/>
      <c r="BC9" s="75"/>
      <c r="BD9" s="75"/>
      <c r="BE9" s="75"/>
      <c r="BF9" s="75"/>
      <c r="BG9" s="75"/>
      <c r="BH9" s="75"/>
      <c r="BI9" s="75"/>
      <c r="BJ9" s="75"/>
      <c r="BK9" s="75"/>
      <c r="BL9" s="66"/>
      <c r="BM9" s="66"/>
      <c r="BN9" s="66"/>
      <c r="BO9" s="66"/>
      <c r="BP9" s="66"/>
      <c r="BQ9" s="66"/>
      <c r="BR9" s="66"/>
      <c r="BS9" s="77"/>
    </row>
    <row r="10" spans="52:71">
      <c r="AZ10" s="74"/>
      <c r="BA10" s="75"/>
      <c r="BB10" s="75"/>
      <c r="BC10" s="75"/>
      <c r="BD10" s="75"/>
      <c r="BE10" s="75"/>
      <c r="BF10" s="75"/>
      <c r="BG10" s="75"/>
      <c r="BH10" s="75"/>
      <c r="BI10" s="75"/>
      <c r="BJ10" s="75"/>
      <c r="BK10" s="75"/>
      <c r="BL10" s="66"/>
      <c r="BM10" s="66"/>
      <c r="BN10" s="66"/>
      <c r="BO10" s="66"/>
      <c r="BP10" s="66"/>
      <c r="BQ10" s="66"/>
      <c r="BR10" s="66"/>
      <c r="BS10" s="77"/>
    </row>
    <row r="11" spans="52:71">
      <c r="AZ11" s="74"/>
      <c r="BA11" s="75"/>
      <c r="BB11" s="75"/>
      <c r="BC11" s="75"/>
      <c r="BD11" s="75"/>
      <c r="BE11" s="75"/>
      <c r="BF11" s="75"/>
      <c r="BG11" s="75"/>
      <c r="BH11" s="75"/>
      <c r="BI11" s="75"/>
      <c r="BJ11" s="75"/>
      <c r="BK11" s="75"/>
      <c r="BL11" s="66"/>
      <c r="BM11" s="66"/>
      <c r="BN11" s="66"/>
      <c r="BO11" s="66"/>
      <c r="BP11" s="66"/>
      <c r="BQ11" s="66"/>
      <c r="BR11" s="66"/>
      <c r="BS11" s="77"/>
    </row>
    <row r="12" spans="52:71">
      <c r="AZ12" s="74"/>
      <c r="BA12" s="75"/>
      <c r="BB12" s="75"/>
      <c r="BC12" s="75"/>
      <c r="BD12" s="75"/>
      <c r="BE12" s="75"/>
      <c r="BF12" s="75"/>
      <c r="BG12" s="75"/>
      <c r="BH12" s="75"/>
      <c r="BI12" s="75"/>
      <c r="BJ12" s="75"/>
      <c r="BK12" s="75"/>
      <c r="BL12" s="66"/>
      <c r="BM12" s="66"/>
      <c r="BN12" s="66"/>
      <c r="BO12" s="66"/>
      <c r="BP12" s="66"/>
      <c r="BQ12" s="66"/>
      <c r="BR12" s="66"/>
      <c r="BS12" s="77"/>
    </row>
    <row r="13" spans="52:71">
      <c r="AZ13" s="74"/>
      <c r="BA13" s="75"/>
      <c r="BB13" s="75"/>
      <c r="BC13" s="75"/>
      <c r="BD13" s="75"/>
      <c r="BE13" s="75"/>
      <c r="BF13" s="75"/>
      <c r="BG13" s="75"/>
      <c r="BH13" s="75"/>
      <c r="BI13" s="75"/>
      <c r="BJ13" s="75"/>
      <c r="BK13" s="75"/>
      <c r="BL13" s="66"/>
      <c r="BM13" s="66"/>
      <c r="BN13" s="66"/>
      <c r="BO13" s="66"/>
      <c r="BP13" s="66"/>
      <c r="BQ13" s="66"/>
      <c r="BR13" s="66"/>
      <c r="BS13" s="77"/>
    </row>
    <row r="14" spans="52:71">
      <c r="AZ14" s="74"/>
      <c r="BA14" s="75"/>
      <c r="BB14" s="75"/>
      <c r="BC14" s="75"/>
      <c r="BD14" s="75"/>
      <c r="BE14" s="75"/>
      <c r="BF14" s="75"/>
      <c r="BG14" s="75"/>
      <c r="BH14" s="75"/>
      <c r="BI14" s="75"/>
      <c r="BJ14" s="75"/>
      <c r="BK14" s="75"/>
      <c r="BL14" s="66"/>
      <c r="BM14" s="66"/>
      <c r="BN14" s="66"/>
      <c r="BO14" s="66"/>
      <c r="BP14" s="66"/>
      <c r="BQ14" s="66"/>
      <c r="BR14" s="66"/>
      <c r="BS14" s="77"/>
    </row>
    <row r="15" spans="52:71">
      <c r="AZ15" s="74"/>
      <c r="BA15" s="75"/>
      <c r="BB15" s="75"/>
      <c r="BC15" s="75"/>
      <c r="BD15" s="75"/>
      <c r="BE15" s="75"/>
      <c r="BF15" s="75"/>
      <c r="BG15" s="75"/>
      <c r="BH15" s="75"/>
      <c r="BI15" s="75"/>
      <c r="BJ15" s="75"/>
      <c r="BK15" s="75"/>
      <c r="BL15" s="66"/>
      <c r="BM15" s="66"/>
      <c r="BN15" s="66"/>
      <c r="BO15" s="66"/>
      <c r="BP15" s="66"/>
      <c r="BQ15" s="66"/>
      <c r="BR15" s="66"/>
      <c r="BS15" s="77"/>
    </row>
    <row r="16" spans="52:71">
      <c r="AZ16" s="78"/>
      <c r="BA16" s="66"/>
      <c r="BB16" s="66"/>
      <c r="BC16" s="66"/>
      <c r="BD16" s="66"/>
      <c r="BE16" s="66"/>
      <c r="BF16" s="66"/>
      <c r="BG16" s="66"/>
      <c r="BH16" s="66"/>
      <c r="BI16" s="66"/>
      <c r="BJ16" s="66"/>
      <c r="BK16" s="66"/>
      <c r="BL16" s="66"/>
      <c r="BM16" s="66"/>
      <c r="BN16" s="66"/>
      <c r="BO16" s="66"/>
      <c r="BP16" s="66"/>
      <c r="BQ16" s="66"/>
      <c r="BR16" s="66"/>
      <c r="BS16" s="77"/>
    </row>
    <row r="17" spans="52:72">
      <c r="AZ17" s="78"/>
      <c r="BA17" s="66"/>
      <c r="BB17" s="66"/>
      <c r="BC17" s="66"/>
      <c r="BD17" s="66"/>
      <c r="BE17" s="66"/>
      <c r="BF17" s="66"/>
      <c r="BG17" s="66"/>
      <c r="BH17" s="66"/>
      <c r="BI17" s="66"/>
      <c r="BJ17" s="66"/>
      <c r="BK17" s="66"/>
      <c r="BL17" s="66"/>
      <c r="BM17" s="66"/>
      <c r="BN17" s="66"/>
      <c r="BO17" s="66"/>
      <c r="BP17" s="66"/>
      <c r="BQ17" s="66"/>
      <c r="BR17" s="66"/>
      <c r="BS17" s="77"/>
      <c r="BT17" s="66"/>
    </row>
    <row r="18" spans="52:72">
      <c r="AZ18" s="78"/>
      <c r="BA18" s="66"/>
      <c r="BB18" s="66"/>
      <c r="BC18" s="66"/>
      <c r="BD18" s="66"/>
      <c r="BE18" s="66"/>
      <c r="BF18" s="66"/>
      <c r="BG18" s="66"/>
      <c r="BH18" s="66"/>
      <c r="BI18" s="66"/>
      <c r="BJ18" s="66"/>
      <c r="BK18" s="66"/>
      <c r="BL18" s="66"/>
      <c r="BM18" s="66"/>
      <c r="BN18" s="66"/>
      <c r="BO18" s="66"/>
      <c r="BP18" s="66"/>
      <c r="BQ18" s="66"/>
      <c r="BS18" s="77"/>
    </row>
    <row r="19" spans="52:72">
      <c r="AZ19" s="78"/>
      <c r="BA19" s="66"/>
      <c r="BB19" s="66"/>
      <c r="BC19" s="66"/>
      <c r="BD19" s="66"/>
      <c r="BE19" s="66"/>
      <c r="BF19" s="66"/>
      <c r="BG19" s="66"/>
      <c r="BH19" s="66"/>
      <c r="BI19" s="66"/>
      <c r="BJ19" s="66"/>
      <c r="BK19" s="66"/>
      <c r="BL19" s="66"/>
      <c r="BM19" s="66"/>
      <c r="BN19" s="66"/>
      <c r="BO19" s="66"/>
      <c r="BP19" s="66"/>
      <c r="BQ19" s="66"/>
      <c r="BR19" s="66"/>
      <c r="BS19" s="77"/>
    </row>
    <row r="20" spans="52:72">
      <c r="AZ20" s="78"/>
      <c r="BA20" s="66"/>
      <c r="BB20" s="66"/>
      <c r="BC20" s="66"/>
      <c r="BD20" s="66"/>
      <c r="BE20" s="66"/>
      <c r="BF20" s="66"/>
      <c r="BG20" s="66"/>
      <c r="BH20" s="66"/>
      <c r="BI20" s="66"/>
      <c r="BJ20" s="66"/>
      <c r="BK20" s="66"/>
      <c r="BL20" s="66"/>
      <c r="BM20" s="66"/>
      <c r="BN20" s="66"/>
      <c r="BO20" s="66"/>
      <c r="BP20" s="66"/>
      <c r="BQ20" s="66"/>
      <c r="BR20" s="66"/>
      <c r="BS20" s="77"/>
    </row>
    <row r="21" spans="52:72">
      <c r="AZ21" s="78"/>
      <c r="BA21" s="66"/>
      <c r="BB21" s="66"/>
      <c r="BC21" s="66"/>
      <c r="BD21" s="66"/>
      <c r="BE21" s="66"/>
      <c r="BF21" s="66"/>
      <c r="BG21" s="66"/>
      <c r="BH21" s="66"/>
      <c r="BI21" s="66"/>
      <c r="BJ21" s="66"/>
      <c r="BK21" s="66"/>
      <c r="BL21" s="66"/>
      <c r="BM21" s="66"/>
      <c r="BN21" s="66"/>
      <c r="BO21" s="66"/>
      <c r="BP21" s="66"/>
      <c r="BQ21" s="66"/>
      <c r="BR21" s="66"/>
      <c r="BS21" s="77"/>
    </row>
    <row r="22" spans="52:72">
      <c r="AZ22" s="78"/>
      <c r="BA22" s="66"/>
      <c r="BB22" s="66"/>
      <c r="BC22" s="66"/>
      <c r="BD22" s="66"/>
      <c r="BE22" s="66"/>
      <c r="BF22" s="66"/>
      <c r="BG22" s="66"/>
      <c r="BH22" s="66"/>
      <c r="BI22" s="66"/>
      <c r="BJ22" s="66"/>
      <c r="BK22" s="66"/>
      <c r="BL22" s="66"/>
      <c r="BM22" s="66"/>
      <c r="BN22" s="66"/>
      <c r="BO22" s="66"/>
      <c r="BP22" s="66"/>
      <c r="BQ22" s="66"/>
      <c r="BR22" s="66"/>
      <c r="BS22" s="77"/>
    </row>
    <row r="23" spans="52:72">
      <c r="AZ23" s="78"/>
      <c r="BA23" s="66"/>
      <c r="BB23" s="66"/>
      <c r="BC23" s="66"/>
      <c r="BD23" s="66"/>
      <c r="BE23" s="66"/>
      <c r="BF23" s="66"/>
      <c r="BG23" s="66"/>
      <c r="BH23" s="66"/>
      <c r="BI23" s="66"/>
      <c r="BJ23" s="66"/>
      <c r="BK23" s="66"/>
      <c r="BL23" s="66"/>
      <c r="BM23" s="66"/>
      <c r="BN23" s="66"/>
      <c r="BO23" s="66"/>
      <c r="BP23" s="66"/>
      <c r="BQ23" s="66"/>
      <c r="BR23" s="66"/>
      <c r="BS23" s="77"/>
    </row>
    <row r="24" spans="52:72">
      <c r="AZ24" s="78"/>
      <c r="BA24" s="66"/>
      <c r="BB24" s="66"/>
      <c r="BC24" s="66"/>
      <c r="BD24" s="66"/>
      <c r="BE24" s="66"/>
      <c r="BF24" s="66"/>
      <c r="BG24" s="66"/>
      <c r="BH24" s="66"/>
      <c r="BI24" s="66"/>
      <c r="BJ24" s="66"/>
      <c r="BK24" s="66"/>
      <c r="BL24" s="66"/>
      <c r="BM24" s="66"/>
      <c r="BN24" s="66"/>
      <c r="BO24" s="66"/>
      <c r="BP24" s="66"/>
      <c r="BQ24" s="66"/>
      <c r="BR24" s="66"/>
      <c r="BS24" s="77"/>
    </row>
    <row r="25" spans="52:72">
      <c r="AZ25" s="78"/>
      <c r="BA25" s="66"/>
      <c r="BB25" s="66"/>
      <c r="BC25" s="66"/>
      <c r="BD25" s="66"/>
      <c r="BE25" s="66"/>
      <c r="BF25" s="66"/>
      <c r="BG25" s="66"/>
      <c r="BH25" s="66"/>
      <c r="BI25" s="66"/>
      <c r="BJ25" s="66"/>
      <c r="BK25" s="66"/>
      <c r="BL25" s="66"/>
      <c r="BM25" s="66"/>
      <c r="BN25" s="66"/>
      <c r="BO25" s="66"/>
      <c r="BP25" s="66"/>
      <c r="BQ25" s="66"/>
      <c r="BR25" s="66"/>
      <c r="BS25" s="77"/>
    </row>
    <row r="26" spans="52:72">
      <c r="AZ26" s="78"/>
      <c r="BA26" s="66"/>
      <c r="BB26" s="66"/>
      <c r="BC26" s="66"/>
      <c r="BD26" s="66"/>
      <c r="BE26" s="66"/>
      <c r="BF26" s="66"/>
      <c r="BG26" s="66"/>
      <c r="BH26" s="66"/>
      <c r="BI26" s="66"/>
      <c r="BJ26" s="66"/>
      <c r="BK26" s="66"/>
      <c r="BL26" s="66"/>
      <c r="BM26" s="66"/>
      <c r="BN26" s="66"/>
      <c r="BO26" s="66"/>
      <c r="BP26" s="66"/>
      <c r="BQ26" s="66"/>
      <c r="BR26" s="66"/>
      <c r="BS26" s="77"/>
    </row>
    <row r="27" spans="52:72">
      <c r="AZ27" s="78"/>
      <c r="BA27" s="66"/>
      <c r="BB27" s="66"/>
      <c r="BC27" s="66"/>
      <c r="BD27" s="66"/>
      <c r="BE27" s="66"/>
      <c r="BF27" s="66"/>
      <c r="BG27" s="66"/>
      <c r="BH27" s="66"/>
      <c r="BI27" s="66"/>
      <c r="BJ27" s="66"/>
      <c r="BK27" s="66"/>
      <c r="BL27" s="66"/>
      <c r="BM27" s="66"/>
      <c r="BN27" s="66"/>
      <c r="BO27" s="66"/>
      <c r="BP27" s="66"/>
      <c r="BQ27" s="66"/>
      <c r="BR27" s="66"/>
      <c r="BS27" s="77"/>
    </row>
    <row r="28" spans="52:72">
      <c r="AZ28" s="78"/>
      <c r="BA28" s="66"/>
      <c r="BB28" s="66"/>
      <c r="BC28" s="66"/>
      <c r="BD28" s="66"/>
      <c r="BE28" s="66"/>
      <c r="BF28" s="66"/>
      <c r="BG28" s="66"/>
      <c r="BH28" s="66"/>
      <c r="BI28" s="66"/>
      <c r="BJ28" s="66"/>
      <c r="BK28" s="66"/>
      <c r="BL28" s="66"/>
      <c r="BM28" s="66"/>
      <c r="BN28" s="66"/>
      <c r="BO28" s="66"/>
      <c r="BP28" s="66"/>
      <c r="BQ28" s="66"/>
      <c r="BR28" s="66"/>
      <c r="BS28" s="77"/>
    </row>
    <row r="29" spans="52:72">
      <c r="AZ29" s="78"/>
      <c r="BA29" s="66"/>
      <c r="BB29" s="66"/>
      <c r="BC29" s="66"/>
      <c r="BD29" s="66"/>
      <c r="BE29" s="66"/>
      <c r="BF29" s="66"/>
      <c r="BG29" s="66"/>
      <c r="BH29" s="66"/>
      <c r="BI29" s="66"/>
      <c r="BJ29" s="66"/>
      <c r="BK29" s="66"/>
      <c r="BL29" s="66"/>
      <c r="BM29" s="66"/>
      <c r="BN29" s="66"/>
      <c r="BO29" s="66"/>
      <c r="BP29" s="66"/>
      <c r="BQ29" s="66"/>
      <c r="BR29" s="66"/>
      <c r="BS29" s="77"/>
    </row>
    <row r="30" spans="52:72">
      <c r="AZ30" s="78"/>
      <c r="BA30" s="66"/>
      <c r="BB30" s="66"/>
      <c r="BC30" s="66"/>
      <c r="BD30" s="66"/>
      <c r="BE30" s="66"/>
      <c r="BF30" s="66"/>
      <c r="BG30" s="66"/>
      <c r="BH30" s="66"/>
      <c r="BI30" s="66"/>
      <c r="BJ30" s="66"/>
      <c r="BK30" s="66"/>
      <c r="BL30" s="66"/>
      <c r="BM30" s="66"/>
      <c r="BN30" s="66"/>
      <c r="BO30" s="66"/>
      <c r="BP30" s="66"/>
      <c r="BQ30" s="66"/>
      <c r="BR30" s="66"/>
      <c r="BS30" s="77"/>
    </row>
    <row r="31" spans="52:72">
      <c r="AZ31" s="78"/>
      <c r="BA31" s="66"/>
      <c r="BB31" s="66"/>
      <c r="BC31" s="66"/>
      <c r="BD31" s="66"/>
      <c r="BE31" s="66"/>
      <c r="BF31" s="66"/>
      <c r="BG31" s="66"/>
      <c r="BH31" s="66"/>
      <c r="BI31" s="66"/>
      <c r="BJ31" s="66"/>
      <c r="BK31" s="66"/>
      <c r="BL31" s="66"/>
      <c r="BM31" s="66"/>
      <c r="BN31" s="66"/>
      <c r="BO31" s="66"/>
      <c r="BP31" s="66"/>
      <c r="BQ31" s="66"/>
      <c r="BR31" s="66"/>
      <c r="BS31" s="77"/>
    </row>
    <row r="32" spans="52:72">
      <c r="AZ32" s="78"/>
      <c r="BA32" s="66"/>
      <c r="BB32" s="66"/>
      <c r="BC32" s="66"/>
      <c r="BD32" s="66"/>
      <c r="BE32" s="66"/>
      <c r="BF32" s="66"/>
      <c r="BG32" s="66"/>
      <c r="BH32" s="66"/>
      <c r="BI32" s="66"/>
      <c r="BJ32" s="66"/>
      <c r="BK32" s="66"/>
      <c r="BL32" s="66"/>
      <c r="BM32" s="66"/>
      <c r="BN32" s="66"/>
      <c r="BO32" s="66"/>
      <c r="BP32" s="66"/>
      <c r="BQ32" s="66"/>
      <c r="BR32" s="66"/>
      <c r="BS32" s="77"/>
    </row>
    <row r="33" spans="52:71" ht="19" thickBot="1">
      <c r="AZ33" s="79"/>
      <c r="BA33" s="80"/>
      <c r="BB33" s="80"/>
      <c r="BC33" s="80"/>
      <c r="BD33" s="80"/>
      <c r="BE33" s="80"/>
      <c r="BF33" s="80"/>
      <c r="BG33" s="80"/>
      <c r="BH33" s="80"/>
      <c r="BI33" s="80"/>
      <c r="BJ33" s="80"/>
      <c r="BK33" s="80"/>
      <c r="BL33" s="80"/>
      <c r="BM33" s="80"/>
      <c r="BN33" s="80"/>
      <c r="BO33" s="80"/>
      <c r="BP33" s="80"/>
      <c r="BQ33" s="80"/>
      <c r="BR33" s="80"/>
      <c r="BS33" s="81"/>
    </row>
    <row r="50" spans="2:16">
      <c r="B50" s="75"/>
      <c r="C50" s="75"/>
      <c r="D50" s="75"/>
      <c r="E50" s="75"/>
      <c r="F50" s="75"/>
      <c r="G50" s="75"/>
      <c r="H50" s="75"/>
      <c r="I50" s="75"/>
      <c r="J50" s="75"/>
      <c r="K50" s="75"/>
      <c r="L50" s="75"/>
      <c r="M50" s="75"/>
      <c r="N50" s="75"/>
      <c r="O50" s="75"/>
      <c r="P50" s="75"/>
    </row>
    <row r="51" spans="2:16">
      <c r="B51" s="75"/>
      <c r="C51" s="75"/>
      <c r="D51" s="75"/>
      <c r="E51" s="75"/>
      <c r="F51" s="75"/>
      <c r="G51" s="75"/>
      <c r="H51" s="75"/>
      <c r="I51" s="75"/>
      <c r="J51" s="75"/>
      <c r="K51" s="75"/>
      <c r="L51" s="75"/>
      <c r="M51" s="75"/>
      <c r="N51" s="75"/>
      <c r="O51" s="75"/>
      <c r="P51" s="75"/>
    </row>
    <row r="52" spans="2:16">
      <c r="B52" s="75"/>
      <c r="C52" s="75"/>
      <c r="D52" s="75"/>
      <c r="E52" s="75"/>
      <c r="F52" s="75"/>
      <c r="G52" s="75"/>
      <c r="H52" s="75"/>
      <c r="I52" s="75"/>
      <c r="J52" s="75"/>
      <c r="K52" s="75"/>
      <c r="L52" s="75"/>
      <c r="M52" s="75"/>
      <c r="N52" s="75"/>
      <c r="O52" s="75"/>
      <c r="P52" s="75"/>
    </row>
    <row r="53" spans="2:16">
      <c r="B53" s="75"/>
      <c r="C53" s="75"/>
      <c r="D53" s="75"/>
      <c r="E53" s="75"/>
      <c r="F53" s="75"/>
      <c r="G53" s="75"/>
      <c r="H53" s="75"/>
      <c r="I53" s="75"/>
      <c r="J53" s="75"/>
      <c r="K53" s="75"/>
      <c r="L53" s="75"/>
      <c r="M53" s="75"/>
      <c r="N53" s="75"/>
      <c r="O53" s="75"/>
      <c r="P53" s="75"/>
    </row>
    <row r="54" spans="2:16">
      <c r="B54" s="75"/>
      <c r="C54" s="75"/>
      <c r="D54" s="75"/>
      <c r="E54" s="75"/>
      <c r="F54" s="75"/>
      <c r="G54" s="75"/>
      <c r="H54" s="75"/>
      <c r="I54" s="75"/>
      <c r="J54" s="75"/>
      <c r="K54" s="75"/>
      <c r="L54" s="75"/>
      <c r="M54" s="75"/>
      <c r="N54" s="75"/>
      <c r="O54" s="75"/>
      <c r="P54" s="75"/>
    </row>
    <row r="55" spans="2:16">
      <c r="B55" s="75"/>
      <c r="C55" s="75"/>
      <c r="D55" s="75"/>
      <c r="E55" s="75"/>
      <c r="F55" s="75"/>
      <c r="G55" s="75"/>
      <c r="H55" s="75"/>
      <c r="I55" s="75"/>
      <c r="J55" s="75"/>
      <c r="K55" s="75"/>
      <c r="L55" s="75"/>
      <c r="M55" s="75"/>
      <c r="N55" s="75"/>
      <c r="O55" s="75"/>
      <c r="P55" s="75"/>
    </row>
    <row r="56" spans="2:16">
      <c r="B56" s="75"/>
      <c r="C56" s="75"/>
      <c r="D56" s="75"/>
      <c r="E56" s="75"/>
      <c r="F56" s="75"/>
      <c r="G56" s="75"/>
      <c r="H56" s="75"/>
      <c r="I56" s="75"/>
      <c r="J56" s="75"/>
      <c r="K56" s="75"/>
      <c r="L56" s="75"/>
      <c r="M56" s="75"/>
      <c r="N56" s="75"/>
      <c r="O56" s="75"/>
      <c r="P56" s="75"/>
    </row>
    <row r="57" spans="2:16">
      <c r="B57" s="75"/>
      <c r="C57" s="75"/>
      <c r="D57" s="75"/>
      <c r="E57" s="75"/>
      <c r="F57" s="75"/>
      <c r="G57" s="75"/>
      <c r="H57" s="75"/>
      <c r="I57" s="75"/>
      <c r="J57" s="75"/>
      <c r="K57" s="75"/>
      <c r="L57" s="75"/>
      <c r="M57" s="75"/>
      <c r="N57" s="75"/>
      <c r="O57" s="75"/>
      <c r="P57" s="75"/>
    </row>
    <row r="58" spans="2:16">
      <c r="B58" s="75"/>
      <c r="C58" s="75"/>
      <c r="D58" s="75"/>
      <c r="E58" s="75"/>
      <c r="F58" s="75"/>
      <c r="G58" s="75"/>
      <c r="H58" s="75"/>
      <c r="I58" s="75"/>
      <c r="J58" s="75"/>
      <c r="K58" s="75"/>
      <c r="L58" s="75"/>
      <c r="M58" s="75"/>
      <c r="N58" s="75"/>
      <c r="O58" s="75"/>
      <c r="P58" s="75"/>
    </row>
  </sheetData>
  <mergeCells count="2">
    <mergeCell ref="BK2:BN2"/>
    <mergeCell ref="BO2:BS2"/>
  </mergeCells>
  <phoneticPr fontId="3"/>
  <pageMargins left="0.7" right="0.7" top="0.75" bottom="0.75" header="0.3" footer="0.3"/>
  <pageSetup paperSize="9" scale="33"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CF12F-E651-4262-A131-890466A76E24}">
  <sheetPr codeName="Sheet10"/>
  <dimension ref="A1:AB29"/>
  <sheetViews>
    <sheetView workbookViewId="0">
      <selection activeCell="B5" sqref="B5"/>
    </sheetView>
  </sheetViews>
  <sheetFormatPr baseColWidth="10" defaultColWidth="8.83203125" defaultRowHeight="18"/>
  <cols>
    <col min="1" max="1" width="11.1640625" customWidth="1"/>
    <col min="2" max="2" width="6.6640625" customWidth="1"/>
    <col min="3" max="3" width="7.6640625" customWidth="1"/>
    <col min="4" max="28" width="6.1640625" customWidth="1"/>
  </cols>
  <sheetData>
    <row r="1" spans="1:28">
      <c r="A1" t="s">
        <v>460</v>
      </c>
    </row>
    <row r="2" spans="1:28">
      <c r="A2" s="86">
        <f>報告用!BO2</f>
        <v>44223</v>
      </c>
      <c r="B2" s="87"/>
    </row>
    <row r="3" spans="1:28">
      <c r="A3" s="53" t="s">
        <v>455</v>
      </c>
      <c r="B3" s="53">
        <f>HLOOKUP(発生・消化曲線!A2,発生・消化曲線!$D$14:$AB$19,6)</f>
        <v>7</v>
      </c>
    </row>
    <row r="4" spans="1:28">
      <c r="A4" s="53" t="s">
        <v>434</v>
      </c>
      <c r="B4" s="53">
        <f>HLOOKUP(A2,発生・消化曲線!$D$23:$AB$28,6)</f>
        <v>11</v>
      </c>
    </row>
    <row r="5" spans="1:28">
      <c r="A5" s="55" t="s">
        <v>463</v>
      </c>
      <c r="B5" s="53">
        <f>(B3-B4)</f>
        <v>-4</v>
      </c>
    </row>
    <row r="7" spans="1:28">
      <c r="A7" t="s">
        <v>464</v>
      </c>
    </row>
    <row r="8" spans="1:28">
      <c r="A8" s="90" t="s">
        <v>465</v>
      </c>
      <c r="B8" s="90"/>
    </row>
    <row r="9" spans="1:28">
      <c r="A9" s="53" t="s">
        <v>455</v>
      </c>
      <c r="B9" s="56">
        <f>SUM(K19:AB19)</f>
        <v>58</v>
      </c>
    </row>
    <row r="10" spans="1:28">
      <c r="A10" s="53" t="s">
        <v>434</v>
      </c>
      <c r="B10" s="56">
        <f>SUM(K28:AB28)</f>
        <v>86</v>
      </c>
    </row>
    <row r="13" spans="1:28">
      <c r="A13" t="s">
        <v>453</v>
      </c>
    </row>
    <row r="14" spans="1:28">
      <c r="A14" s="88" t="s">
        <v>461</v>
      </c>
      <c r="B14" s="54" t="s">
        <v>452</v>
      </c>
      <c r="C14" s="54" t="s">
        <v>454</v>
      </c>
      <c r="D14" s="57">
        <v>44207</v>
      </c>
      <c r="E14" s="57">
        <v>44208</v>
      </c>
      <c r="F14" s="57">
        <v>44209</v>
      </c>
      <c r="G14" s="57">
        <v>44210</v>
      </c>
      <c r="H14" s="57">
        <v>44211</v>
      </c>
      <c r="I14" s="57">
        <v>44212</v>
      </c>
      <c r="J14" s="57">
        <v>44213</v>
      </c>
      <c r="K14" s="57">
        <v>44214</v>
      </c>
      <c r="L14" s="57">
        <v>44215</v>
      </c>
      <c r="M14" s="57">
        <v>44216</v>
      </c>
      <c r="N14" s="57">
        <v>44217</v>
      </c>
      <c r="O14" s="57">
        <v>44218</v>
      </c>
      <c r="P14" s="57">
        <v>44219</v>
      </c>
      <c r="Q14" s="57">
        <v>44220</v>
      </c>
      <c r="R14" s="57">
        <v>44221</v>
      </c>
      <c r="S14" s="57">
        <v>44222</v>
      </c>
      <c r="T14" s="57">
        <v>44223</v>
      </c>
      <c r="U14" s="57">
        <v>44224</v>
      </c>
      <c r="V14" s="57">
        <v>44225</v>
      </c>
      <c r="W14" s="57">
        <v>44226</v>
      </c>
      <c r="X14" s="57">
        <v>44227</v>
      </c>
      <c r="Y14" s="57">
        <v>44228</v>
      </c>
      <c r="Z14" s="57">
        <v>44229</v>
      </c>
      <c r="AA14" s="57">
        <v>44230</v>
      </c>
      <c r="AB14" s="57">
        <v>44231</v>
      </c>
    </row>
    <row r="15" spans="1:28">
      <c r="A15" s="89"/>
      <c r="B15" s="54"/>
      <c r="C15" s="54"/>
      <c r="D15" s="58">
        <f t="shared" ref="D15:AB15" si="0">D14</f>
        <v>44207</v>
      </c>
      <c r="E15" s="58">
        <f t="shared" si="0"/>
        <v>44208</v>
      </c>
      <c r="F15" s="58">
        <f t="shared" si="0"/>
        <v>44209</v>
      </c>
      <c r="G15" s="58">
        <f t="shared" si="0"/>
        <v>44210</v>
      </c>
      <c r="H15" s="58">
        <f t="shared" si="0"/>
        <v>44211</v>
      </c>
      <c r="I15" s="58">
        <f t="shared" si="0"/>
        <v>44212</v>
      </c>
      <c r="J15" s="58">
        <f t="shared" si="0"/>
        <v>44213</v>
      </c>
      <c r="K15" s="58">
        <f t="shared" si="0"/>
        <v>44214</v>
      </c>
      <c r="L15" s="58">
        <f t="shared" si="0"/>
        <v>44215</v>
      </c>
      <c r="M15" s="58">
        <f t="shared" si="0"/>
        <v>44216</v>
      </c>
      <c r="N15" s="58">
        <f t="shared" si="0"/>
        <v>44217</v>
      </c>
      <c r="O15" s="58">
        <f t="shared" si="0"/>
        <v>44218</v>
      </c>
      <c r="P15" s="58">
        <f t="shared" si="0"/>
        <v>44219</v>
      </c>
      <c r="Q15" s="58">
        <f t="shared" si="0"/>
        <v>44220</v>
      </c>
      <c r="R15" s="58">
        <f t="shared" si="0"/>
        <v>44221</v>
      </c>
      <c r="S15" s="58">
        <f t="shared" si="0"/>
        <v>44222</v>
      </c>
      <c r="T15" s="58">
        <f t="shared" si="0"/>
        <v>44223</v>
      </c>
      <c r="U15" s="58">
        <f t="shared" si="0"/>
        <v>44224</v>
      </c>
      <c r="V15" s="58">
        <f t="shared" si="0"/>
        <v>44225</v>
      </c>
      <c r="W15" s="58">
        <f t="shared" si="0"/>
        <v>44226</v>
      </c>
      <c r="X15" s="58">
        <f t="shared" si="0"/>
        <v>44227</v>
      </c>
      <c r="Y15" s="58">
        <f t="shared" si="0"/>
        <v>44228</v>
      </c>
      <c r="Z15" s="58">
        <f t="shared" si="0"/>
        <v>44229</v>
      </c>
      <c r="AA15" s="58">
        <f t="shared" si="0"/>
        <v>44230</v>
      </c>
      <c r="AB15" s="58">
        <f t="shared" si="0"/>
        <v>44231</v>
      </c>
    </row>
    <row r="16" spans="1:28">
      <c r="A16" s="64" t="s">
        <v>86</v>
      </c>
      <c r="B16" s="56">
        <f>COUNTIFS('SP1～SP5'!A9:A1048576,"&lt;&gt;",'SP1～SP5'!F9:F1048576,"")</f>
        <v>3</v>
      </c>
      <c r="C16" s="56">
        <f>COUNTIF('SP1～SP5'!$F:$F,"&lt;2021/01/11")</f>
        <v>28</v>
      </c>
      <c r="D16" s="56">
        <f>COUNTIFS('SP1～SP5'!$F:$F,発生・消化曲線!D$23)</f>
        <v>9</v>
      </c>
      <c r="E16" s="56">
        <f>COUNTIFS('SP1～SP5'!$F:$F,発生・消化曲線!E$23)</f>
        <v>18</v>
      </c>
      <c r="F16" s="56">
        <f>COUNTIFS('SP1～SP5'!$F:$F,発生・消化曲線!F$23)</f>
        <v>19</v>
      </c>
      <c r="G16" s="56">
        <f>COUNTIFS('SP1～SP5'!$F:$F,発生・消化曲線!G$23)</f>
        <v>14</v>
      </c>
      <c r="H16" s="56">
        <f>COUNTIFS('SP1～SP5'!$F:$F,発生・消化曲線!H$23)</f>
        <v>13</v>
      </c>
      <c r="I16" s="56">
        <f>COUNTIFS('SP1～SP5'!$F:$F,発生・消化曲線!I$23)</f>
        <v>0</v>
      </c>
      <c r="J16" s="56">
        <f>COUNTIFS('SP1～SP5'!$F:$F,発生・消化曲線!J$23)</f>
        <v>0</v>
      </c>
      <c r="K16" s="56">
        <f>COUNTIFS('SP1～SP5'!$F:$F,発生・消化曲線!K$23)</f>
        <v>18</v>
      </c>
      <c r="L16" s="56">
        <f>COUNTIFS('SP1～SP5'!$F:$F,発生・消化曲線!L$23)</f>
        <v>4</v>
      </c>
      <c r="M16" s="56">
        <f>COUNTIFS('SP1～SP5'!$F:$F,発生・消化曲線!M$23)</f>
        <v>3</v>
      </c>
      <c r="N16" s="56">
        <f>COUNTIFS('SP1～SP5'!$F:$F,発生・消化曲線!N$23)</f>
        <v>6</v>
      </c>
      <c r="O16" s="56">
        <f>COUNTIFS('SP1～SP5'!$F:$F,発生・消化曲線!O$23)</f>
        <v>3</v>
      </c>
      <c r="P16" s="56">
        <f>COUNTIFS('SP1～SP5'!$F:$F,発生・消化曲線!P$23)</f>
        <v>0</v>
      </c>
      <c r="Q16" s="56">
        <f>COUNTIFS('SP1～SP5'!$F:$F,発生・消化曲線!Q$23)</f>
        <v>0</v>
      </c>
      <c r="R16" s="56">
        <f>COUNTIFS('SP1～SP5'!$F:$F,発生・消化曲線!R$23)</f>
        <v>2</v>
      </c>
      <c r="S16" s="56">
        <f>COUNTIFS('SP1～SP5'!$F:$F,発生・消化曲線!S$23)</f>
        <v>2</v>
      </c>
      <c r="T16" s="56">
        <f>COUNTIFS('SP1～SP5'!$F:$F,発生・消化曲線!T$23)</f>
        <v>7</v>
      </c>
      <c r="U16" s="56">
        <f>COUNTIFS('SP1～SP5'!$F:$F,発生・消化曲線!U$23)</f>
        <v>0</v>
      </c>
      <c r="V16" s="56">
        <f>COUNTIFS('SP1～SP5'!$F:$F,発生・消化曲線!V$23)</f>
        <v>0</v>
      </c>
      <c r="W16" s="56">
        <f>COUNTIFS('SP1～SP5'!$F:$F,発生・消化曲線!W$23)</f>
        <v>0</v>
      </c>
      <c r="X16" s="56">
        <f>COUNTIFS('SP1～SP5'!$F:$F,発生・消化曲線!X$23)</f>
        <v>0</v>
      </c>
      <c r="Y16" s="56">
        <f>COUNTIFS('SP1～SP5'!$F:$F,発生・消化曲線!Y$23)</f>
        <v>0</v>
      </c>
      <c r="Z16" s="56">
        <f>COUNTIFS('SP1～SP5'!$F:$F,発生・消化曲線!Z$23)</f>
        <v>0</v>
      </c>
      <c r="AA16" s="56">
        <f>COUNTIFS('SP1～SP5'!$F:$F,発生・消化曲線!AA$23)</f>
        <v>0</v>
      </c>
      <c r="AB16" s="56">
        <f>COUNTIFS('SP1～SP5'!$F:$F,発生・消化曲線!AB$23)</f>
        <v>0</v>
      </c>
    </row>
    <row r="17" spans="1:28">
      <c r="A17" s="64" t="s">
        <v>444</v>
      </c>
      <c r="B17" s="56">
        <f>COUNTIFS('SP6'!A9:A1048576,"&lt;&gt;",'SP6'!F9:F1048576,"")</f>
        <v>0</v>
      </c>
      <c r="C17" s="56">
        <f>COUNTIF('SP6'!$F:$F,"&lt;2021/01/11")</f>
        <v>0</v>
      </c>
      <c r="D17" s="56">
        <f>COUNTIFS('SP6'!$F:$F,発生・消化曲線!D$23)</f>
        <v>0</v>
      </c>
      <c r="E17" s="56">
        <f>COUNTIFS('SP6'!$F:$F,発生・消化曲線!E$23)</f>
        <v>0</v>
      </c>
      <c r="F17" s="56">
        <f>COUNTIFS('SP6'!$F:$F,発生・消化曲線!F$23)</f>
        <v>0</v>
      </c>
      <c r="G17" s="56">
        <f>COUNTIFS('SP6'!$F:$F,発生・消化曲線!G$23)</f>
        <v>0</v>
      </c>
      <c r="H17" s="56">
        <f>COUNTIFS('SP6'!$F:$F,発生・消化曲線!H$23)</f>
        <v>0</v>
      </c>
      <c r="I17" s="56">
        <f>COUNTIFS('SP6'!$F:$F,発生・消化曲線!I$23)</f>
        <v>0</v>
      </c>
      <c r="J17" s="56">
        <f>COUNTIFS('SP6'!$F:$F,発生・消化曲線!J$23)</f>
        <v>0</v>
      </c>
      <c r="K17" s="56">
        <f>COUNTIFS('SP6'!$F:$F,発生・消化曲線!K$23)</f>
        <v>0</v>
      </c>
      <c r="L17" s="56">
        <f>COUNTIFS('SP6'!$F:$F,発生・消化曲線!L$23)</f>
        <v>5</v>
      </c>
      <c r="M17" s="56">
        <f>COUNTIFS('SP6'!$F:$F,発生・消化曲線!M$23)</f>
        <v>3</v>
      </c>
      <c r="N17" s="56">
        <f>COUNTIFS('SP6'!$F:$F,発生・消化曲線!N$23)</f>
        <v>0</v>
      </c>
      <c r="O17" s="56">
        <f>COUNTIFS('SP6'!$F:$F,発生・消化曲線!O$23)</f>
        <v>0</v>
      </c>
      <c r="P17" s="56">
        <f>COUNTIFS('SP6'!$F:$F,発生・消化曲線!P$23)</f>
        <v>0</v>
      </c>
      <c r="Q17" s="56">
        <f>COUNTIFS('SP6'!$F:$F,発生・消化曲線!Q$23)</f>
        <v>0</v>
      </c>
      <c r="R17" s="56">
        <f>COUNTIFS('SP6'!$F:$F,発生・消化曲線!R$23)</f>
        <v>0</v>
      </c>
      <c r="S17" s="56">
        <f>COUNTIFS('SP6'!$F:$F,発生・消化曲線!S$23)</f>
        <v>1</v>
      </c>
      <c r="T17" s="56">
        <f>COUNTIFS('SP6'!$F:$F,発生・消化曲線!T$23)</f>
        <v>0</v>
      </c>
      <c r="U17" s="56">
        <f>COUNTIFS('SP6'!$F:$F,発生・消化曲線!U$23)</f>
        <v>0</v>
      </c>
      <c r="V17" s="56">
        <f>COUNTIFS('SP6'!$F:$F,発生・消化曲線!V$23)</f>
        <v>0</v>
      </c>
      <c r="W17" s="56">
        <f>COUNTIFS('SP6'!$F:$F,発生・消化曲線!W$23)</f>
        <v>0</v>
      </c>
      <c r="X17" s="56">
        <f>COUNTIFS('SP6'!$F:$F,発生・消化曲線!X$23)</f>
        <v>0</v>
      </c>
      <c r="Y17" s="56">
        <f>COUNTIFS('SP6'!$F:$F,発生・消化曲線!Y$23)</f>
        <v>0</v>
      </c>
      <c r="Z17" s="56">
        <f>COUNTIFS('SP6'!$F:$F,発生・消化曲線!Z$23)</f>
        <v>0</v>
      </c>
      <c r="AA17" s="56">
        <f>COUNTIFS('SP6'!$F:$F,発生・消化曲線!AA$23)</f>
        <v>0</v>
      </c>
      <c r="AB17" s="56">
        <f>COUNTIFS('SP6'!$F:$F,発生・消化曲線!AB$23)</f>
        <v>0</v>
      </c>
    </row>
    <row r="18" spans="1:28" ht="19" thickBot="1">
      <c r="A18" s="65" t="s">
        <v>445</v>
      </c>
      <c r="B18" s="56">
        <f>COUNTIFS(優先度低!A9:A1048576,"&lt;&gt;",優先度低!F9:F1048576,"")</f>
        <v>0</v>
      </c>
      <c r="C18" s="56">
        <f>COUNTIF(優先度低!$F:$F,"&lt;2021/01/11")</f>
        <v>10</v>
      </c>
      <c r="D18" s="56">
        <f>COUNTIFS(優先度低!$F:$F,発生・消化曲線!D$23)</f>
        <v>4</v>
      </c>
      <c r="E18" s="56">
        <f>COUNTIFS(優先度低!$F:$F,発生・消化曲線!E$23)</f>
        <v>1</v>
      </c>
      <c r="F18" s="56">
        <f>COUNTIFS(優先度低!$F:$F,発生・消化曲線!F$23)</f>
        <v>0</v>
      </c>
      <c r="G18" s="56">
        <f>COUNTIFS(優先度低!$F:$F,発生・消化曲線!G$23)</f>
        <v>0</v>
      </c>
      <c r="H18" s="56">
        <f>COUNTIFS(優先度低!$F:$F,発生・消化曲線!H$23)</f>
        <v>2</v>
      </c>
      <c r="I18" s="56">
        <f>COUNTIFS(優先度低!$F:$F,発生・消化曲線!I$23)</f>
        <v>0</v>
      </c>
      <c r="J18" s="56">
        <f>COUNTIFS(優先度低!$F:$F,発生・消化曲線!J$23)</f>
        <v>0</v>
      </c>
      <c r="K18" s="56">
        <f>COUNTIFS(優先度低!$F:$F,発生・消化曲線!K$23)</f>
        <v>2</v>
      </c>
      <c r="L18" s="56">
        <f>COUNTIFS(優先度低!$F:$F,発生・消化曲線!L$23)</f>
        <v>0</v>
      </c>
      <c r="M18" s="56">
        <f>COUNTIFS(優先度低!$F:$F,発生・消化曲線!M$23)</f>
        <v>1</v>
      </c>
      <c r="N18" s="56">
        <f>COUNTIFS(優先度低!$F:$F,発生・消化曲線!N$23)</f>
        <v>0</v>
      </c>
      <c r="O18" s="56">
        <f>COUNTIFS(優先度低!$F:$F,発生・消化曲線!O$23)</f>
        <v>0</v>
      </c>
      <c r="P18" s="56">
        <f>COUNTIFS(優先度低!$F:$F,発生・消化曲線!P$23)</f>
        <v>0</v>
      </c>
      <c r="Q18" s="56">
        <f>COUNTIFS(優先度低!$F:$F,発生・消化曲線!Q$23)</f>
        <v>0</v>
      </c>
      <c r="R18" s="56">
        <f>COUNTIFS(優先度低!$F:$F,発生・消化曲線!R$23)</f>
        <v>0</v>
      </c>
      <c r="S18" s="56">
        <f>COUNTIFS(優先度低!$F:$F,発生・消化曲線!S$23)</f>
        <v>0</v>
      </c>
      <c r="T18" s="56">
        <f>COUNTIFS(優先度低!$F:$F,発生・消化曲線!T$23)</f>
        <v>0</v>
      </c>
      <c r="U18" s="56">
        <f>COUNTIFS(優先度低!$F:$F,発生・消化曲線!U$23)</f>
        <v>0</v>
      </c>
      <c r="V18" s="56">
        <f>COUNTIFS(優先度低!$F:$F,発生・消化曲線!V$23)</f>
        <v>0</v>
      </c>
      <c r="W18" s="56">
        <f>COUNTIFS(優先度低!$F:$F,発生・消化曲線!W$23)</f>
        <v>0</v>
      </c>
      <c r="X18" s="56">
        <f>COUNTIFS(優先度低!$F:$F,発生・消化曲線!X$23)</f>
        <v>0</v>
      </c>
      <c r="Y18" s="56">
        <f>COUNTIFS(優先度低!$F:$F,発生・消化曲線!Y$23)</f>
        <v>1</v>
      </c>
      <c r="Z18" s="56">
        <f>COUNTIFS(優先度低!$F:$F,発生・消化曲線!Z$23)</f>
        <v>0</v>
      </c>
      <c r="AA18" s="56">
        <f>COUNTIFS(優先度低!$F:$F,発生・消化曲線!AA$23)</f>
        <v>0</v>
      </c>
      <c r="AB18" s="56">
        <f>COUNTIFS(優先度低!$F:$F,発生・消化曲線!AB$23)</f>
        <v>0</v>
      </c>
    </row>
    <row r="19" spans="1:28" ht="19" thickTop="1">
      <c r="A19" s="61" t="s">
        <v>455</v>
      </c>
      <c r="B19" s="62">
        <f t="shared" ref="B19:AB19" si="1">SUM(B16:B18)</f>
        <v>3</v>
      </c>
      <c r="C19" s="62">
        <f t="shared" si="1"/>
        <v>38</v>
      </c>
      <c r="D19" s="62">
        <f t="shared" si="1"/>
        <v>13</v>
      </c>
      <c r="E19" s="62">
        <f t="shared" si="1"/>
        <v>19</v>
      </c>
      <c r="F19" s="62">
        <f t="shared" si="1"/>
        <v>19</v>
      </c>
      <c r="G19" s="62">
        <f t="shared" si="1"/>
        <v>14</v>
      </c>
      <c r="H19" s="62">
        <f t="shared" si="1"/>
        <v>15</v>
      </c>
      <c r="I19" s="62">
        <f t="shared" si="1"/>
        <v>0</v>
      </c>
      <c r="J19" s="62">
        <f t="shared" si="1"/>
        <v>0</v>
      </c>
      <c r="K19" s="62">
        <f t="shared" si="1"/>
        <v>20</v>
      </c>
      <c r="L19" s="62">
        <f t="shared" si="1"/>
        <v>9</v>
      </c>
      <c r="M19" s="62">
        <f t="shared" si="1"/>
        <v>7</v>
      </c>
      <c r="N19" s="62">
        <f t="shared" si="1"/>
        <v>6</v>
      </c>
      <c r="O19" s="62">
        <f t="shared" si="1"/>
        <v>3</v>
      </c>
      <c r="P19" s="62">
        <f t="shared" si="1"/>
        <v>0</v>
      </c>
      <c r="Q19" s="62">
        <f t="shared" si="1"/>
        <v>0</v>
      </c>
      <c r="R19" s="62">
        <f t="shared" si="1"/>
        <v>2</v>
      </c>
      <c r="S19" s="62">
        <f t="shared" si="1"/>
        <v>3</v>
      </c>
      <c r="T19" s="62">
        <f t="shared" si="1"/>
        <v>7</v>
      </c>
      <c r="U19" s="62">
        <f t="shared" si="1"/>
        <v>0</v>
      </c>
      <c r="V19" s="62">
        <f t="shared" si="1"/>
        <v>0</v>
      </c>
      <c r="W19" s="62">
        <f t="shared" si="1"/>
        <v>0</v>
      </c>
      <c r="X19" s="62">
        <f t="shared" si="1"/>
        <v>0</v>
      </c>
      <c r="Y19" s="62">
        <f t="shared" si="1"/>
        <v>1</v>
      </c>
      <c r="Z19" s="62">
        <f t="shared" si="1"/>
        <v>0</v>
      </c>
      <c r="AA19" s="62">
        <f t="shared" si="1"/>
        <v>0</v>
      </c>
      <c r="AB19" s="62">
        <f t="shared" si="1"/>
        <v>0</v>
      </c>
    </row>
    <row r="20" spans="1:28">
      <c r="A20" s="59" t="s">
        <v>432</v>
      </c>
      <c r="B20" s="56">
        <f>B19</f>
        <v>3</v>
      </c>
      <c r="C20" s="56">
        <f t="shared" ref="C20:AB20" si="2">B20+C19</f>
        <v>41</v>
      </c>
      <c r="D20" s="56">
        <f t="shared" si="2"/>
        <v>54</v>
      </c>
      <c r="E20" s="56">
        <f t="shared" si="2"/>
        <v>73</v>
      </c>
      <c r="F20" s="56">
        <f t="shared" si="2"/>
        <v>92</v>
      </c>
      <c r="G20" s="56">
        <f t="shared" si="2"/>
        <v>106</v>
      </c>
      <c r="H20" s="56">
        <f t="shared" si="2"/>
        <v>121</v>
      </c>
      <c r="I20" s="56">
        <f t="shared" si="2"/>
        <v>121</v>
      </c>
      <c r="J20" s="56">
        <f t="shared" si="2"/>
        <v>121</v>
      </c>
      <c r="K20" s="56">
        <f t="shared" si="2"/>
        <v>141</v>
      </c>
      <c r="L20" s="56">
        <f t="shared" si="2"/>
        <v>150</v>
      </c>
      <c r="M20" s="56">
        <f t="shared" si="2"/>
        <v>157</v>
      </c>
      <c r="N20" s="56">
        <f t="shared" si="2"/>
        <v>163</v>
      </c>
      <c r="O20" s="56">
        <f t="shared" si="2"/>
        <v>166</v>
      </c>
      <c r="P20" s="56">
        <f t="shared" si="2"/>
        <v>166</v>
      </c>
      <c r="Q20" s="56">
        <f t="shared" si="2"/>
        <v>166</v>
      </c>
      <c r="R20" s="56">
        <f t="shared" si="2"/>
        <v>168</v>
      </c>
      <c r="S20" s="56">
        <f t="shared" si="2"/>
        <v>171</v>
      </c>
      <c r="T20" s="56">
        <f t="shared" si="2"/>
        <v>178</v>
      </c>
      <c r="U20" s="56">
        <f t="shared" si="2"/>
        <v>178</v>
      </c>
      <c r="V20" s="56">
        <f t="shared" si="2"/>
        <v>178</v>
      </c>
      <c r="W20" s="56">
        <f t="shared" si="2"/>
        <v>178</v>
      </c>
      <c r="X20" s="56">
        <f t="shared" si="2"/>
        <v>178</v>
      </c>
      <c r="Y20" s="56">
        <f t="shared" si="2"/>
        <v>179</v>
      </c>
      <c r="Z20" s="56">
        <f t="shared" si="2"/>
        <v>179</v>
      </c>
      <c r="AA20" s="56">
        <f t="shared" si="2"/>
        <v>179</v>
      </c>
      <c r="AB20" s="56">
        <f t="shared" si="2"/>
        <v>179</v>
      </c>
    </row>
    <row r="22" spans="1:28">
      <c r="A22" t="s">
        <v>462</v>
      </c>
    </row>
    <row r="23" spans="1:28">
      <c r="A23" s="88" t="s">
        <v>461</v>
      </c>
      <c r="B23" s="54" t="s">
        <v>452</v>
      </c>
      <c r="C23" s="54" t="s">
        <v>454</v>
      </c>
      <c r="D23" s="57">
        <v>44207</v>
      </c>
      <c r="E23" s="57">
        <v>44208</v>
      </c>
      <c r="F23" s="57">
        <v>44209</v>
      </c>
      <c r="G23" s="57">
        <v>44210</v>
      </c>
      <c r="H23" s="57">
        <v>44211</v>
      </c>
      <c r="I23" s="57">
        <v>44212</v>
      </c>
      <c r="J23" s="57">
        <v>44213</v>
      </c>
      <c r="K23" s="57">
        <v>44214</v>
      </c>
      <c r="L23" s="57">
        <v>44215</v>
      </c>
      <c r="M23" s="57">
        <v>44216</v>
      </c>
      <c r="N23" s="57">
        <v>44217</v>
      </c>
      <c r="O23" s="57">
        <v>44218</v>
      </c>
      <c r="P23" s="57">
        <v>44219</v>
      </c>
      <c r="Q23" s="57">
        <v>44220</v>
      </c>
      <c r="R23" s="57">
        <v>44221</v>
      </c>
      <c r="S23" s="57">
        <v>44222</v>
      </c>
      <c r="T23" s="57">
        <v>44223</v>
      </c>
      <c r="U23" s="57">
        <v>44224</v>
      </c>
      <c r="V23" s="57">
        <v>44225</v>
      </c>
      <c r="W23" s="57">
        <v>44226</v>
      </c>
      <c r="X23" s="57">
        <v>44227</v>
      </c>
      <c r="Y23" s="57">
        <v>44228</v>
      </c>
      <c r="Z23" s="57">
        <v>44229</v>
      </c>
      <c r="AA23" s="57">
        <v>44230</v>
      </c>
      <c r="AB23" s="57">
        <v>44231</v>
      </c>
    </row>
    <row r="24" spans="1:28">
      <c r="A24" s="89"/>
      <c r="B24" s="54"/>
      <c r="C24" s="54"/>
      <c r="D24" s="58">
        <f t="shared" ref="D24:AB24" si="3">D23</f>
        <v>44207</v>
      </c>
      <c r="E24" s="58">
        <f t="shared" si="3"/>
        <v>44208</v>
      </c>
      <c r="F24" s="58">
        <f t="shared" si="3"/>
        <v>44209</v>
      </c>
      <c r="G24" s="58">
        <f t="shared" si="3"/>
        <v>44210</v>
      </c>
      <c r="H24" s="58">
        <f t="shared" si="3"/>
        <v>44211</v>
      </c>
      <c r="I24" s="58">
        <f t="shared" si="3"/>
        <v>44212</v>
      </c>
      <c r="J24" s="58">
        <f t="shared" si="3"/>
        <v>44213</v>
      </c>
      <c r="K24" s="58">
        <f t="shared" si="3"/>
        <v>44214</v>
      </c>
      <c r="L24" s="58">
        <f t="shared" si="3"/>
        <v>44215</v>
      </c>
      <c r="M24" s="58">
        <f t="shared" si="3"/>
        <v>44216</v>
      </c>
      <c r="N24" s="58">
        <f t="shared" si="3"/>
        <v>44217</v>
      </c>
      <c r="O24" s="58">
        <f t="shared" si="3"/>
        <v>44218</v>
      </c>
      <c r="P24" s="58">
        <f t="shared" si="3"/>
        <v>44219</v>
      </c>
      <c r="Q24" s="58">
        <f t="shared" si="3"/>
        <v>44220</v>
      </c>
      <c r="R24" s="58">
        <f t="shared" si="3"/>
        <v>44221</v>
      </c>
      <c r="S24" s="58">
        <f t="shared" si="3"/>
        <v>44222</v>
      </c>
      <c r="T24" s="58">
        <f t="shared" si="3"/>
        <v>44223</v>
      </c>
      <c r="U24" s="58">
        <f t="shared" si="3"/>
        <v>44224</v>
      </c>
      <c r="V24" s="58">
        <f t="shared" si="3"/>
        <v>44225</v>
      </c>
      <c r="W24" s="58">
        <f t="shared" si="3"/>
        <v>44226</v>
      </c>
      <c r="X24" s="58">
        <f t="shared" si="3"/>
        <v>44227</v>
      </c>
      <c r="Y24" s="58">
        <f t="shared" si="3"/>
        <v>44228</v>
      </c>
      <c r="Z24" s="58">
        <f t="shared" si="3"/>
        <v>44229</v>
      </c>
      <c r="AA24" s="58">
        <f t="shared" si="3"/>
        <v>44230</v>
      </c>
      <c r="AB24" s="58">
        <f t="shared" si="3"/>
        <v>44231</v>
      </c>
    </row>
    <row r="25" spans="1:28">
      <c r="A25" s="64" t="s">
        <v>86</v>
      </c>
      <c r="B25" s="56">
        <f>COUNTIFS('SP1～SP5'!$E:$E,"完了",'SP1～SP5'!$G:$G,"")</f>
        <v>5</v>
      </c>
      <c r="C25" s="56">
        <f>COUNTIFS('SP1～SP5'!$E:$E,"完了",'SP1～SP5'!$G:$G,"&lt;2021/01/11")</f>
        <v>7</v>
      </c>
      <c r="D25" s="56">
        <f>COUNTIFS('SP1～SP5'!$E:$E,"完了",'SP1～SP5'!$G:$G,発生・消化曲線!D$23)</f>
        <v>8</v>
      </c>
      <c r="E25" s="56">
        <f>COUNTIFS('SP1～SP5'!$E:$E,"完了",'SP1～SP5'!$G:$G,発生・消化曲線!E$23)</f>
        <v>4</v>
      </c>
      <c r="F25" s="56">
        <f>COUNTIFS('SP1～SP5'!$E:$E,"完了",'SP1～SP5'!$G:$G,発生・消化曲線!F$23)</f>
        <v>8</v>
      </c>
      <c r="G25" s="56">
        <f>COUNTIFS('SP1～SP5'!$E:$E,"完了",'SP1～SP5'!$G:$G,発生・消化曲線!G$23)</f>
        <v>1</v>
      </c>
      <c r="H25" s="56">
        <f>COUNTIFS('SP1～SP5'!$E:$E,"完了",'SP1～SP5'!$G:$G,発生・消化曲線!H$23)</f>
        <v>3</v>
      </c>
      <c r="I25" s="56">
        <f>COUNTIFS('SP1～SP5'!$E:$E,"完了",'SP1～SP5'!$G:$G,発生・消化曲線!I$23)</f>
        <v>0</v>
      </c>
      <c r="J25" s="56">
        <f>COUNTIFS('SP1～SP5'!$E:$E,"完了",'SP1～SP5'!$G:$G,発生・消化曲線!J$23)</f>
        <v>0</v>
      </c>
      <c r="K25" s="56">
        <f>COUNTIFS('SP1～SP5'!$E:$E,"完了",'SP1～SP5'!$G:$G,発生・消化曲線!K$23)</f>
        <v>13</v>
      </c>
      <c r="L25" s="56">
        <f>COUNTIFS('SP1～SP5'!$E:$E,"完了",'SP1～SP5'!$G:$G,発生・消化曲線!L$23)</f>
        <v>6</v>
      </c>
      <c r="M25" s="56">
        <f>COUNTIFS('SP1～SP5'!$E:$E,"完了",'SP1～SP5'!$G:$G,発生・消化曲線!M$23)</f>
        <v>18</v>
      </c>
      <c r="N25" s="56">
        <f>COUNTIFS('SP1～SP5'!$E:$E,"完了",'SP1～SP5'!$G:$G,発生・消化曲線!N$23)</f>
        <v>12</v>
      </c>
      <c r="O25" s="56">
        <f>COUNTIFS('SP1～SP5'!$E:$E,"完了",'SP1～SP5'!$G:$G,発生・消化曲線!O$23)</f>
        <v>7</v>
      </c>
      <c r="P25" s="56">
        <f>COUNTIFS('SP1～SP5'!$E:$E,"完了",'SP1～SP5'!$G:$G,発生・消化曲線!P$23)</f>
        <v>0</v>
      </c>
      <c r="Q25" s="56">
        <f>COUNTIFS('SP1～SP5'!$E:$E,"完了",'SP1～SP5'!$G:$G,発生・消化曲線!Q$23)</f>
        <v>0</v>
      </c>
      <c r="R25" s="56">
        <f>COUNTIFS('SP1～SP5'!$E:$E,"完了",'SP1～SP5'!$G:$G,発生・消化曲線!R$23)</f>
        <v>3</v>
      </c>
      <c r="S25" s="56">
        <f>COUNTIFS('SP1～SP5'!$E:$E,"完了",'SP1～SP5'!$G:$G,発生・消化曲線!S$23)</f>
        <v>13</v>
      </c>
      <c r="T25" s="56">
        <f>COUNTIFS('SP1～SP5'!$E:$E,"完了",'SP1～SP5'!$G:$G,発生・消化曲線!T$23)</f>
        <v>10</v>
      </c>
      <c r="U25" s="56">
        <f>COUNTIFS('SP1～SP5'!$E:$E,"完了",'SP1～SP5'!$G:$G,発生・消化曲線!U$23)</f>
        <v>0</v>
      </c>
      <c r="V25" s="56">
        <f>COUNTIFS('SP1～SP5'!$E:$E,"完了",'SP1～SP5'!$G:$G,発生・消化曲線!V$23)</f>
        <v>0</v>
      </c>
      <c r="W25" s="56">
        <f>COUNTIFS('SP1～SP5'!$E:$E,"完了",'SP1～SP5'!$G:$G,発生・消化曲線!W$23)</f>
        <v>0</v>
      </c>
      <c r="X25" s="56">
        <f>COUNTIFS('SP1～SP5'!$E:$E,"完了",'SP1～SP5'!$G:$G,発生・消化曲線!X$23)</f>
        <v>0</v>
      </c>
      <c r="Y25" s="56">
        <f>COUNTIFS('SP1～SP5'!$E:$E,"完了",'SP1～SP5'!$G:$G,発生・消化曲線!Y$23)</f>
        <v>0</v>
      </c>
      <c r="Z25" s="56">
        <f>COUNTIFS('SP1～SP5'!$E:$E,"完了",'SP1～SP5'!$G:$G,発生・消化曲線!Z$23)</f>
        <v>0</v>
      </c>
      <c r="AA25" s="56">
        <f>COUNTIFS('SP1～SP5'!$E:$E,"完了",'SP1～SP5'!$G:$G,発生・消化曲線!AA$23)</f>
        <v>0</v>
      </c>
      <c r="AB25" s="56">
        <f>COUNTIFS('SP1～SP5'!$E:$E,"完了",'SP1～SP5'!$G:$G,発生・消化曲線!AB$23)</f>
        <v>0</v>
      </c>
    </row>
    <row r="26" spans="1:28">
      <c r="A26" s="64" t="s">
        <v>444</v>
      </c>
      <c r="B26" s="56">
        <f>COUNTIFS('SP6'!$E:$E,"完了",'SP6'!$G:$G,"")</f>
        <v>1</v>
      </c>
      <c r="C26" s="56">
        <f>COUNTIFS('SP6'!$E:$E,"完了",'SP6'!$G:$G,"&lt;2021/01/11")</f>
        <v>0</v>
      </c>
      <c r="D26" s="56">
        <f>COUNTIFS('SP6'!$E:$E,"完了",'SP6'!$G:$G,発生・消化曲線!D$23)</f>
        <v>0</v>
      </c>
      <c r="E26" s="56">
        <f>COUNTIFS('SP6'!$E:$E,"完了",'SP6'!$G:$G,発生・消化曲線!E$23)</f>
        <v>0</v>
      </c>
      <c r="F26" s="56">
        <f>COUNTIFS('SP6'!$E:$E,"完了",'SP6'!$G:$G,発生・消化曲線!F$23)</f>
        <v>0</v>
      </c>
      <c r="G26" s="56">
        <f>COUNTIFS('SP6'!$E:$E,"完了",'SP6'!$G:$G,発生・消化曲線!G$23)</f>
        <v>0</v>
      </c>
      <c r="H26" s="56">
        <f>COUNTIFS('SP6'!$E:$E,"完了",'SP6'!$G:$G,発生・消化曲線!H$23)</f>
        <v>0</v>
      </c>
      <c r="I26" s="56">
        <f>COUNTIFS('SP6'!$E:$E,"完了",'SP6'!$G:$G,発生・消化曲線!I$23)</f>
        <v>0</v>
      </c>
      <c r="J26" s="56">
        <f>COUNTIFS('SP6'!$E:$E,"完了",'SP6'!$G:$G,発生・消化曲線!J$23)</f>
        <v>0</v>
      </c>
      <c r="K26" s="56">
        <f>COUNTIFS('SP6'!$E:$E,"完了",'SP6'!$G:$G,発生・消化曲線!K$23)</f>
        <v>0</v>
      </c>
      <c r="L26" s="56">
        <f>COUNTIFS('SP6'!$E:$E,"完了",'SP6'!$G:$G,発生・消化曲線!L$23)</f>
        <v>0</v>
      </c>
      <c r="M26" s="56">
        <f>COUNTIFS('SP6'!$E:$E,"完了",'SP6'!$G:$G,発生・消化曲線!M$23)</f>
        <v>1</v>
      </c>
      <c r="N26" s="56">
        <f>COUNTIFS('SP6'!$E:$E,"完了",'SP6'!$G:$G,発生・消化曲線!N$23)</f>
        <v>2</v>
      </c>
      <c r="O26" s="56">
        <f>COUNTIFS('SP6'!$E:$E,"完了",'SP6'!$G:$G,発生・消化曲線!O$23)</f>
        <v>0</v>
      </c>
      <c r="P26" s="56">
        <f>COUNTIFS('SP6'!$E:$E,"完了",'SP6'!$G:$G,発生・消化曲線!P$23)</f>
        <v>0</v>
      </c>
      <c r="Q26" s="56">
        <f>COUNTIFS('SP6'!$E:$E,"完了",'SP6'!$G:$G,発生・消化曲線!Q$23)</f>
        <v>0</v>
      </c>
      <c r="R26" s="56">
        <f>COUNTIFS('SP6'!$E:$E,"完了",'SP6'!$G:$G,発生・消化曲線!R$23)</f>
        <v>0</v>
      </c>
      <c r="S26" s="56">
        <f>COUNTIFS('SP6'!$E:$E,"完了",'SP6'!$G:$G,発生・消化曲線!S$23)</f>
        <v>0</v>
      </c>
      <c r="T26" s="56">
        <f>COUNTIFS('SP6'!$E:$E,"完了",'SP6'!$G:$G,発生・消化曲線!T$23)</f>
        <v>0</v>
      </c>
      <c r="U26" s="56">
        <f>COUNTIFS('SP6'!$E:$E,"完了",'SP6'!$G:$G,発生・消化曲線!U$23)</f>
        <v>0</v>
      </c>
      <c r="V26" s="56">
        <f>COUNTIFS('SP6'!$E:$E,"完了",'SP6'!$G:$G,発生・消化曲線!V$23)</f>
        <v>0</v>
      </c>
      <c r="W26" s="56">
        <f>COUNTIFS('SP6'!$E:$E,"完了",'SP6'!$G:$G,発生・消化曲線!W$23)</f>
        <v>0</v>
      </c>
      <c r="X26" s="56">
        <f>COUNTIFS('SP6'!$E:$E,"完了",'SP6'!$G:$G,発生・消化曲線!X$23)</f>
        <v>0</v>
      </c>
      <c r="Y26" s="56">
        <f>COUNTIFS('SP6'!$E:$E,"完了",'SP6'!$G:$G,発生・消化曲線!Y$23)</f>
        <v>0</v>
      </c>
      <c r="Z26" s="56">
        <f>COUNTIFS('SP6'!$E:$E,"完了",'SP6'!$G:$G,発生・消化曲線!Z$23)</f>
        <v>0</v>
      </c>
      <c r="AA26" s="56">
        <f>COUNTIFS('SP6'!$E:$E,"完了",'SP6'!$G:$G,発生・消化曲線!AA$23)</f>
        <v>0</v>
      </c>
      <c r="AB26" s="56">
        <f>COUNTIFS('SP6'!$E:$E,"完了",'SP6'!$G:$G,発生・消化曲線!AB$23)</f>
        <v>0</v>
      </c>
    </row>
    <row r="27" spans="1:28" ht="19" thickBot="1">
      <c r="A27" s="65" t="s">
        <v>445</v>
      </c>
      <c r="B27" s="60">
        <f>COUNTIFS(優先度低!$E:$E,"完了",優先度低!$G:$G,"")</f>
        <v>0</v>
      </c>
      <c r="C27" s="60">
        <f>COUNTIFS(優先度低!$E:$E,"完了",優先度低!$G:$G,"&lt;2021/01/11")</f>
        <v>0</v>
      </c>
      <c r="D27" s="60">
        <f>COUNTIFS(優先度低!$E:$E,"完了",優先度低!$G:$G,発生・消化曲線!D$23)</f>
        <v>0</v>
      </c>
      <c r="E27" s="60">
        <f>COUNTIFS(優先度低!$E:$E,"完了",優先度低!$G:$G,発生・消化曲線!E$23)</f>
        <v>0</v>
      </c>
      <c r="F27" s="60">
        <f>COUNTIFS(優先度低!$E:$E,"完了",優先度低!$G:$G,発生・消化曲線!F$23)</f>
        <v>0</v>
      </c>
      <c r="G27" s="60">
        <f>COUNTIFS(優先度低!$E:$E,"完了",優先度低!$G:$G,発生・消化曲線!G$23)</f>
        <v>0</v>
      </c>
      <c r="H27" s="60">
        <f>COUNTIFS(優先度低!$E:$E,"完了",優先度低!$G:$G,発生・消化曲線!H$23)</f>
        <v>0</v>
      </c>
      <c r="I27" s="60">
        <f>COUNTIFS(優先度低!$E:$E,"完了",優先度低!$G:$G,発生・消化曲線!I$23)</f>
        <v>0</v>
      </c>
      <c r="J27" s="60">
        <f>COUNTIFS(優先度低!$E:$E,"完了",優先度低!$G:$G,発生・消化曲線!J$23)</f>
        <v>0</v>
      </c>
      <c r="K27" s="60">
        <f>COUNTIFS(優先度低!$E:$E,"完了",優先度低!$G:$G,発生・消化曲線!K$23)</f>
        <v>0</v>
      </c>
      <c r="L27" s="60">
        <f>COUNTIFS(優先度低!$E:$E,"完了",優先度低!$G:$G,発生・消化曲線!L$23)</f>
        <v>0</v>
      </c>
      <c r="M27" s="60">
        <f>COUNTIFS(優先度低!$E:$E,"完了",優先度低!$G:$G,発生・消化曲線!M$23)</f>
        <v>0</v>
      </c>
      <c r="N27" s="60">
        <f>COUNTIFS(優先度低!$E:$E,"完了",優先度低!$G:$G,発生・消化曲線!N$23)</f>
        <v>0</v>
      </c>
      <c r="O27" s="60">
        <f>COUNTIFS(優先度低!$E:$E,"完了",優先度低!$G:$G,発生・消化曲線!O$23)</f>
        <v>0</v>
      </c>
      <c r="P27" s="60">
        <f>COUNTIFS(優先度低!$E:$E,"完了",優先度低!$G:$G,発生・消化曲線!P$23)</f>
        <v>0</v>
      </c>
      <c r="Q27" s="60">
        <f>COUNTIFS(優先度低!$E:$E,"完了",優先度低!$G:$G,発生・消化曲線!Q$23)</f>
        <v>0</v>
      </c>
      <c r="R27" s="60">
        <f>COUNTIFS(優先度低!$E:$E,"完了",優先度低!$G:$G,発生・消化曲線!R$23)</f>
        <v>0</v>
      </c>
      <c r="S27" s="60">
        <f>COUNTIFS(優先度低!$E:$E,"完了",優先度低!$G:$G,発生・消化曲線!S$23)</f>
        <v>0</v>
      </c>
      <c r="T27" s="60">
        <f>COUNTIFS(優先度低!$E:$E,"完了",優先度低!$G:$G,発生・消化曲線!T$23)</f>
        <v>1</v>
      </c>
      <c r="U27" s="60">
        <f>COUNTIFS(優先度低!$E:$E,"完了",優先度低!$G:$G,発生・消化曲線!U$23)</f>
        <v>0</v>
      </c>
      <c r="V27" s="60">
        <f>COUNTIFS(優先度低!$E:$E,"完了",優先度低!$G:$G,発生・消化曲線!V$23)</f>
        <v>0</v>
      </c>
      <c r="W27" s="60">
        <f>COUNTIFS(優先度低!$E:$E,"完了",優先度低!$G:$G,発生・消化曲線!W$23)</f>
        <v>0</v>
      </c>
      <c r="X27" s="60">
        <f>COUNTIFS(優先度低!$E:$E,"完了",優先度低!$G:$G,発生・消化曲線!X$23)</f>
        <v>0</v>
      </c>
      <c r="Y27" s="60">
        <f>COUNTIFS(優先度低!$E:$E,"完了",優先度低!$G:$G,発生・消化曲線!Y$23)</f>
        <v>0</v>
      </c>
      <c r="Z27" s="60">
        <f>COUNTIFS(優先度低!$E:$E,"完了",優先度低!$G:$G,発生・消化曲線!Z$23)</f>
        <v>0</v>
      </c>
      <c r="AA27" s="60">
        <f>COUNTIFS(優先度低!$E:$E,"完了",優先度低!$G:$G,発生・消化曲線!AA$23)</f>
        <v>0</v>
      </c>
      <c r="AB27" s="60">
        <f>COUNTIFS(優先度低!$E:$E,"完了",優先度低!$G:$G,発生・消化曲線!AB$23)</f>
        <v>0</v>
      </c>
    </row>
    <row r="28" spans="1:28" ht="19" thickTop="1">
      <c r="A28" s="61" t="s">
        <v>451</v>
      </c>
      <c r="B28" s="62">
        <f t="shared" ref="B28:AB28" si="4">SUM(B25:B27)</f>
        <v>6</v>
      </c>
      <c r="C28" s="62">
        <f t="shared" si="4"/>
        <v>7</v>
      </c>
      <c r="D28" s="62">
        <f t="shared" si="4"/>
        <v>8</v>
      </c>
      <c r="E28" s="62">
        <f t="shared" si="4"/>
        <v>4</v>
      </c>
      <c r="F28" s="62">
        <f t="shared" si="4"/>
        <v>8</v>
      </c>
      <c r="G28" s="62">
        <f t="shared" si="4"/>
        <v>1</v>
      </c>
      <c r="H28" s="62">
        <f t="shared" si="4"/>
        <v>3</v>
      </c>
      <c r="I28" s="62">
        <f t="shared" si="4"/>
        <v>0</v>
      </c>
      <c r="J28" s="62">
        <f t="shared" si="4"/>
        <v>0</v>
      </c>
      <c r="K28" s="62">
        <f t="shared" si="4"/>
        <v>13</v>
      </c>
      <c r="L28" s="62">
        <f t="shared" si="4"/>
        <v>6</v>
      </c>
      <c r="M28" s="62">
        <f t="shared" si="4"/>
        <v>19</v>
      </c>
      <c r="N28" s="62">
        <f t="shared" si="4"/>
        <v>14</v>
      </c>
      <c r="O28" s="62">
        <f t="shared" si="4"/>
        <v>7</v>
      </c>
      <c r="P28" s="62">
        <f t="shared" si="4"/>
        <v>0</v>
      </c>
      <c r="Q28" s="62">
        <f t="shared" si="4"/>
        <v>0</v>
      </c>
      <c r="R28" s="62">
        <f t="shared" si="4"/>
        <v>3</v>
      </c>
      <c r="S28" s="62">
        <f t="shared" si="4"/>
        <v>13</v>
      </c>
      <c r="T28" s="62">
        <f t="shared" si="4"/>
        <v>11</v>
      </c>
      <c r="U28" s="62">
        <f t="shared" si="4"/>
        <v>0</v>
      </c>
      <c r="V28" s="62">
        <f t="shared" si="4"/>
        <v>0</v>
      </c>
      <c r="W28" s="62">
        <f t="shared" si="4"/>
        <v>0</v>
      </c>
      <c r="X28" s="62">
        <f t="shared" si="4"/>
        <v>0</v>
      </c>
      <c r="Y28" s="62">
        <f t="shared" si="4"/>
        <v>0</v>
      </c>
      <c r="Z28" s="62">
        <f t="shared" si="4"/>
        <v>0</v>
      </c>
      <c r="AA28" s="62">
        <f t="shared" si="4"/>
        <v>0</v>
      </c>
      <c r="AB28" s="62">
        <f t="shared" si="4"/>
        <v>0</v>
      </c>
    </row>
    <row r="29" spans="1:28">
      <c r="A29" s="59" t="s">
        <v>432</v>
      </c>
      <c r="B29" s="56">
        <f>B28</f>
        <v>6</v>
      </c>
      <c r="C29" s="56">
        <f t="shared" ref="C29:AB29" si="5">B29+C28</f>
        <v>13</v>
      </c>
      <c r="D29" s="56">
        <f t="shared" si="5"/>
        <v>21</v>
      </c>
      <c r="E29" s="56">
        <f t="shared" si="5"/>
        <v>25</v>
      </c>
      <c r="F29" s="56">
        <f t="shared" si="5"/>
        <v>33</v>
      </c>
      <c r="G29" s="56">
        <f t="shared" si="5"/>
        <v>34</v>
      </c>
      <c r="H29" s="56">
        <f t="shared" si="5"/>
        <v>37</v>
      </c>
      <c r="I29" s="56">
        <f t="shared" si="5"/>
        <v>37</v>
      </c>
      <c r="J29" s="56">
        <f t="shared" si="5"/>
        <v>37</v>
      </c>
      <c r="K29" s="56">
        <f t="shared" si="5"/>
        <v>50</v>
      </c>
      <c r="L29" s="56">
        <f t="shared" si="5"/>
        <v>56</v>
      </c>
      <c r="M29" s="56">
        <f t="shared" si="5"/>
        <v>75</v>
      </c>
      <c r="N29" s="56">
        <f t="shared" si="5"/>
        <v>89</v>
      </c>
      <c r="O29" s="56">
        <f t="shared" si="5"/>
        <v>96</v>
      </c>
      <c r="P29" s="56">
        <f t="shared" si="5"/>
        <v>96</v>
      </c>
      <c r="Q29" s="56">
        <f t="shared" si="5"/>
        <v>96</v>
      </c>
      <c r="R29" s="56">
        <f t="shared" si="5"/>
        <v>99</v>
      </c>
      <c r="S29" s="56">
        <f t="shared" si="5"/>
        <v>112</v>
      </c>
      <c r="T29" s="56">
        <f t="shared" si="5"/>
        <v>123</v>
      </c>
      <c r="U29" s="56">
        <f t="shared" si="5"/>
        <v>123</v>
      </c>
      <c r="V29" s="56">
        <f t="shared" si="5"/>
        <v>123</v>
      </c>
      <c r="W29" s="56">
        <f t="shared" si="5"/>
        <v>123</v>
      </c>
      <c r="X29" s="56">
        <f t="shared" si="5"/>
        <v>123</v>
      </c>
      <c r="Y29" s="56">
        <f t="shared" si="5"/>
        <v>123</v>
      </c>
      <c r="Z29" s="56">
        <f t="shared" si="5"/>
        <v>123</v>
      </c>
      <c r="AA29" s="56">
        <f t="shared" si="5"/>
        <v>123</v>
      </c>
      <c r="AB29" s="56">
        <f t="shared" si="5"/>
        <v>123</v>
      </c>
    </row>
  </sheetData>
  <mergeCells count="4">
    <mergeCell ref="A2:B2"/>
    <mergeCell ref="A14:A15"/>
    <mergeCell ref="A23:A24"/>
    <mergeCell ref="A8:B8"/>
  </mergeCells>
  <phoneticPr fontId="3"/>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2B3D6-7243-4DC2-876C-0AD3588217E2}">
  <sheetPr codeName="Sheet3"/>
  <dimension ref="A1:E7"/>
  <sheetViews>
    <sheetView workbookViewId="0">
      <selection activeCell="F30" sqref="F30"/>
    </sheetView>
  </sheetViews>
  <sheetFormatPr baseColWidth="10" defaultColWidth="8.83203125" defaultRowHeight="18"/>
  <cols>
    <col min="1" max="1" width="17.1640625" bestFit="1" customWidth="1"/>
    <col min="2" max="3" width="10.83203125" hidden="1" customWidth="1"/>
    <col min="4" max="4" width="13.83203125" hidden="1" customWidth="1"/>
  </cols>
  <sheetData>
    <row r="1" spans="1:5">
      <c r="A1" s="18" t="s">
        <v>443</v>
      </c>
      <c r="B1" s="18"/>
    </row>
    <row r="2" spans="1:5">
      <c r="A2" s="91" t="s">
        <v>437</v>
      </c>
      <c r="B2" s="92"/>
      <c r="C2" s="92"/>
      <c r="D2" s="92"/>
      <c r="E2" s="93"/>
    </row>
    <row r="3" spans="1:5" ht="18.75" customHeight="1">
      <c r="A3" s="63" t="s">
        <v>436</v>
      </c>
      <c r="B3" s="40">
        <f>COUNTIF('SP1～SP5'!$E:$E,ステータス!$A3)</f>
        <v>13</v>
      </c>
      <c r="C3" s="40">
        <f>COUNTIF('SP6'!$E:$E,ステータス!$A3)</f>
        <v>5</v>
      </c>
      <c r="D3" s="40">
        <f>COUNTIF(優先度低!$E:$E,ステータス!$A3)</f>
        <v>20</v>
      </c>
      <c r="E3" s="40">
        <f>SUM(B3:D3)</f>
        <v>38</v>
      </c>
    </row>
    <row r="4" spans="1:5">
      <c r="A4" s="63" t="s">
        <v>435</v>
      </c>
      <c r="B4" s="40">
        <f>COUNTIF('SP1～SP5'!E:E,ステータス!A4)</f>
        <v>11</v>
      </c>
      <c r="C4" s="40">
        <f>COUNTIF('SP6'!$E:$E,ステータス!$A4)</f>
        <v>0</v>
      </c>
      <c r="D4" s="40">
        <f>COUNTIF(優先度低!$E:$E,ステータス!$A4)</f>
        <v>0</v>
      </c>
      <c r="E4" s="40">
        <f t="shared" ref="E4:E6" si="0">SUM(B4:D4)</f>
        <v>11</v>
      </c>
    </row>
    <row r="5" spans="1:5">
      <c r="A5" s="63" t="s">
        <v>151</v>
      </c>
      <c r="B5" s="40">
        <f>COUNTIF('SP1～SP5'!E:E,ステータス!A5)</f>
        <v>7</v>
      </c>
      <c r="C5" s="40">
        <f>COUNTIF('SP6'!$E:$E,ステータス!$A5)</f>
        <v>0</v>
      </c>
      <c r="D5" s="40">
        <f>COUNTIF(優先度低!$E:$E,ステータス!$A5)</f>
        <v>0</v>
      </c>
      <c r="E5" s="40">
        <f t="shared" si="0"/>
        <v>7</v>
      </c>
    </row>
    <row r="6" spans="1:5">
      <c r="A6" s="63" t="s">
        <v>434</v>
      </c>
      <c r="B6" s="40">
        <f>COUNTIF('SP1～SP5'!E:E,ステータス!A6)</f>
        <v>118</v>
      </c>
      <c r="C6" s="40">
        <f>COUNTIF('SP6'!$E:$E,ステータス!$A6)</f>
        <v>4</v>
      </c>
      <c r="D6" s="40">
        <f>COUNTIF(優先度低!$E:$E,ステータス!$A6)</f>
        <v>1</v>
      </c>
      <c r="E6" s="40">
        <f t="shared" si="0"/>
        <v>123</v>
      </c>
    </row>
    <row r="7" spans="1:5">
      <c r="A7" s="51" t="s">
        <v>432</v>
      </c>
      <c r="B7" s="40">
        <f>SUM(B3:B6)</f>
        <v>149</v>
      </c>
      <c r="C7" s="40">
        <f>SUM(C3:C6)</f>
        <v>9</v>
      </c>
      <c r="D7" s="40">
        <f>SUM(D3:D6)</f>
        <v>21</v>
      </c>
      <c r="E7" s="40">
        <f>SUM(E3:E6)</f>
        <v>179</v>
      </c>
    </row>
  </sheetData>
  <mergeCells count="1">
    <mergeCell ref="A2:E2"/>
  </mergeCells>
  <phoneticPr fontId="3"/>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F56484-A4EF-456D-865F-F7363D946DF3}">
  <sheetPr codeName="Sheet11"/>
  <dimension ref="A1:E10"/>
  <sheetViews>
    <sheetView workbookViewId="0">
      <selection sqref="A1:E1"/>
    </sheetView>
  </sheetViews>
  <sheetFormatPr baseColWidth="10" defaultColWidth="8.83203125" defaultRowHeight="18"/>
  <cols>
    <col min="1" max="1" width="17.1640625" bestFit="1" customWidth="1"/>
    <col min="2" max="4" width="11.1640625" hidden="1" customWidth="1"/>
  </cols>
  <sheetData>
    <row r="1" spans="1:5">
      <c r="A1" s="94" t="s">
        <v>459</v>
      </c>
      <c r="B1" s="95"/>
      <c r="C1" s="95"/>
      <c r="D1" s="95"/>
      <c r="E1" s="96"/>
    </row>
    <row r="2" spans="1:5">
      <c r="A2" s="6" t="s">
        <v>456</v>
      </c>
      <c r="B2" s="53">
        <f>COUNTIFS('SP1～SP5'!$E:$E,"完了",'SP1～SP5'!$H:$H,A2)</f>
        <v>0</v>
      </c>
      <c r="C2" s="53">
        <f>COUNTIFS('SP1～SP5'!$E:$E,"完了",'SP1～SP5'!$H:$H,B2)</f>
        <v>0</v>
      </c>
      <c r="D2" s="53">
        <f>COUNTIFS(優先度低!$E:$E,"完了",優先度低!$H:$H,C2)</f>
        <v>0</v>
      </c>
      <c r="E2" s="56">
        <f>SUM(B2:D2)</f>
        <v>0</v>
      </c>
    </row>
    <row r="3" spans="1:5">
      <c r="A3" s="6" t="s">
        <v>111</v>
      </c>
      <c r="B3" s="53">
        <f>COUNTIFS('SP1～SP5'!$E:$E,"完了",'SP1～SP5'!$H:$H,A3)</f>
        <v>4</v>
      </c>
      <c r="C3" s="53">
        <f>COUNTIFS('SP1～SP5'!$E:$E,"完了",'SP1～SP5'!$H:$H,B3)</f>
        <v>0</v>
      </c>
      <c r="D3" s="53">
        <f>COUNTIFS(優先度低!$E:$E,"完了",優先度低!$H:$H,C3)</f>
        <v>0</v>
      </c>
      <c r="E3" s="56">
        <f t="shared" ref="E3:E8" si="0">SUM(B3:D3)</f>
        <v>4</v>
      </c>
    </row>
    <row r="4" spans="1:5">
      <c r="A4" s="6" t="s">
        <v>52</v>
      </c>
      <c r="B4" s="53">
        <f>COUNTIFS('SP1～SP5'!$E:$E,"完了",'SP1～SP5'!$H:$H,A4)</f>
        <v>24</v>
      </c>
      <c r="C4" s="53">
        <f>COUNTIFS('SP1～SP5'!$E:$E,"完了",'SP1～SP5'!$H:$H,B4)</f>
        <v>0</v>
      </c>
      <c r="D4" s="53">
        <f>COUNTIFS(優先度低!$E:$E,"完了",優先度低!$H:$H,C4)</f>
        <v>0</v>
      </c>
      <c r="E4" s="56">
        <f t="shared" si="0"/>
        <v>24</v>
      </c>
    </row>
    <row r="5" spans="1:5">
      <c r="A5" s="6" t="s">
        <v>22</v>
      </c>
      <c r="B5" s="53">
        <f>COUNTIFS('SP1～SP5'!$E:$E,"完了",'SP1～SP5'!$H:$H,A5)</f>
        <v>86</v>
      </c>
      <c r="C5" s="53">
        <f>COUNTIFS('SP1～SP5'!$E:$E,"完了",'SP1～SP5'!$H:$H,B5)</f>
        <v>0</v>
      </c>
      <c r="D5" s="53">
        <f>COUNTIFS(優先度低!$E:$E,"完了",優先度低!$H:$H,C5)</f>
        <v>0</v>
      </c>
      <c r="E5" s="56">
        <f t="shared" si="0"/>
        <v>86</v>
      </c>
    </row>
    <row r="6" spans="1:5">
      <c r="A6" s="6" t="s">
        <v>457</v>
      </c>
      <c r="B6" s="53">
        <f>COUNTIFS('SP1～SP5'!$E:$E,"完了",'SP1～SP5'!$H:$H,A6)</f>
        <v>0</v>
      </c>
      <c r="C6" s="53">
        <f>COUNTIFS('SP1～SP5'!$E:$E,"完了",'SP1～SP5'!$H:$H,B6)</f>
        <v>0</v>
      </c>
      <c r="D6" s="53">
        <f>COUNTIFS(優先度低!$E:$E,"完了",優先度低!$H:$H,C6)</f>
        <v>0</v>
      </c>
      <c r="E6" s="56">
        <f t="shared" si="0"/>
        <v>0</v>
      </c>
    </row>
    <row r="7" spans="1:5">
      <c r="A7" s="6" t="s">
        <v>458</v>
      </c>
      <c r="B7" s="53">
        <f>COUNTIFS('SP1～SP5'!$E:$E,"完了",'SP1～SP5'!$H:$H,A7)</f>
        <v>0</v>
      </c>
      <c r="C7" s="53">
        <f>COUNTIFS('SP1～SP5'!$E:$E,"完了",'SP1～SP5'!$H:$H,B7)</f>
        <v>0</v>
      </c>
      <c r="D7" s="53">
        <f>COUNTIFS(優先度低!$E:$E,"完了",優先度低!$H:$H,C7)</f>
        <v>0</v>
      </c>
      <c r="E7" s="56">
        <f t="shared" si="0"/>
        <v>0</v>
      </c>
    </row>
    <row r="8" spans="1:5">
      <c r="A8" s="6" t="s">
        <v>241</v>
      </c>
      <c r="B8" s="53">
        <f>COUNTIFS('SP1～SP5'!$E:$E,"完了",'SP1～SP5'!$H:$H,A8)</f>
        <v>1</v>
      </c>
      <c r="C8" s="53">
        <f>COUNTIFS('SP1～SP5'!$E:$E,"完了",'SP1～SP5'!$H:$H,B8)</f>
        <v>0</v>
      </c>
      <c r="D8" s="53">
        <f>COUNTIFS(優先度低!$E:$E,"完了",優先度低!$H:$H,C8)</f>
        <v>0</v>
      </c>
      <c r="E8" s="56">
        <f t="shared" si="0"/>
        <v>1</v>
      </c>
    </row>
    <row r="9" spans="1:5">
      <c r="A9" s="6" t="s">
        <v>23</v>
      </c>
      <c r="B9" s="53">
        <f>COUNTIFS('SP1～SP5'!$E:$E,"完了",'SP1～SP5'!$H:$H,A9)</f>
        <v>2</v>
      </c>
      <c r="C9" s="53">
        <f>COUNTIFS('SP1～SP5'!$E:$E,"完了",'SP1～SP5'!$H:$H,B9)</f>
        <v>0</v>
      </c>
      <c r="D9" s="53">
        <f>COUNTIFS(優先度低!$E:$E,"完了",優先度低!$H:$H,C9)</f>
        <v>0</v>
      </c>
      <c r="E9" s="56">
        <f>SUM(B9:D9)</f>
        <v>2</v>
      </c>
    </row>
    <row r="10" spans="1:5">
      <c r="A10" s="51" t="s">
        <v>432</v>
      </c>
      <c r="B10" s="53">
        <f>SUM(B2:B9)</f>
        <v>117</v>
      </c>
      <c r="C10" s="53">
        <f>SUM(C2:C9)</f>
        <v>0</v>
      </c>
      <c r="D10" s="53">
        <f>SUM(D2:D9)</f>
        <v>0</v>
      </c>
      <c r="E10" s="56">
        <f>SUM(E2:E9)</f>
        <v>117</v>
      </c>
    </row>
  </sheetData>
  <mergeCells count="1">
    <mergeCell ref="A1:E1"/>
  </mergeCells>
  <phoneticPr fontId="3"/>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66BD8-154F-4CAA-8389-8839DF870DAB}">
  <sheetPr codeName="Sheet8"/>
  <dimension ref="A1:E18"/>
  <sheetViews>
    <sheetView workbookViewId="0">
      <selection activeCell="P11" sqref="P11"/>
    </sheetView>
  </sheetViews>
  <sheetFormatPr baseColWidth="10" defaultColWidth="8.83203125" defaultRowHeight="18"/>
  <cols>
    <col min="2" max="2" width="9.5" hidden="1" customWidth="1"/>
    <col min="3" max="4" width="0" hidden="1" customWidth="1"/>
  </cols>
  <sheetData>
    <row r="1" spans="1:5">
      <c r="A1" s="54" t="s">
        <v>448</v>
      </c>
      <c r="B1" s="50" t="s">
        <v>86</v>
      </c>
      <c r="C1" s="50" t="s">
        <v>444</v>
      </c>
      <c r="D1" s="50" t="s">
        <v>445</v>
      </c>
      <c r="E1" s="51" t="s">
        <v>432</v>
      </c>
    </row>
    <row r="2" spans="1:5">
      <c r="A2" s="53" t="s">
        <v>449</v>
      </c>
      <c r="B2" s="53">
        <f>COUNTIFS('SP1～SP5'!$D:$D,$A2,'SP1～SP5'!$E:$E,"完了")</f>
        <v>14</v>
      </c>
      <c r="C2" s="53">
        <f>COUNTIFS('SP6'!$E:$E,$A2,'SP1～SP5'!$E:$E,"完了")</f>
        <v>0</v>
      </c>
      <c r="D2" s="53">
        <f>COUNTIFS(優先度低!$D:$D,$A2,'SP1～SP5'!$E:$E,"完了")</f>
        <v>0</v>
      </c>
      <c r="E2" s="53">
        <f>SUM(B2:D2)</f>
        <v>14</v>
      </c>
    </row>
    <row r="3" spans="1:5">
      <c r="A3" s="53" t="s">
        <v>450</v>
      </c>
      <c r="B3" s="53">
        <f>COUNTIFS('SP1～SP5'!$D:$D,$A3,'SP1～SP5'!$E:$E,"完了")</f>
        <v>4</v>
      </c>
      <c r="C3" s="53">
        <f>COUNTIFS('SP6'!$E:$E,$A3,'SP1～SP5'!$E:$E,"完了")</f>
        <v>0</v>
      </c>
      <c r="D3" s="53">
        <f>COUNTIFS(優先度低!$D:$D,$A3,'SP1～SP5'!$E:$E,"完了")</f>
        <v>0</v>
      </c>
      <c r="E3" s="53">
        <f t="shared" ref="E3:E17" si="0">SUM(B3:D3)</f>
        <v>4</v>
      </c>
    </row>
    <row r="4" spans="1:5">
      <c r="A4" s="53" t="s">
        <v>703</v>
      </c>
      <c r="B4" s="53">
        <f>COUNTIFS('SP1～SP5'!$D:$D,$A4,'SP1～SP5'!$E:$E,"完了")</f>
        <v>2</v>
      </c>
      <c r="C4" s="53">
        <f>COUNTIFS('SP6'!$E:$E,$A4,'SP1～SP5'!$E:$E,"完了")</f>
        <v>0</v>
      </c>
      <c r="D4" s="53">
        <f>COUNTIFS(優先度低!$D:$D,$A4,'SP1～SP5'!$E:$E,"完了")</f>
        <v>0</v>
      </c>
      <c r="E4" s="53">
        <f t="shared" si="0"/>
        <v>2</v>
      </c>
    </row>
    <row r="5" spans="1:5">
      <c r="A5" s="53" t="s">
        <v>704</v>
      </c>
      <c r="B5" s="53">
        <f>COUNTIFS('SP1～SP5'!$D:$D,$A5,'SP1～SP5'!$E:$E,"完了")</f>
        <v>23</v>
      </c>
      <c r="C5" s="53">
        <f>COUNTIFS('SP6'!$E:$E,$A5,'SP1～SP5'!$E:$E,"完了")</f>
        <v>0</v>
      </c>
      <c r="D5" s="53">
        <f>COUNTIFS(優先度低!$D:$D,$A5,'SP1～SP5'!$E:$E,"完了")</f>
        <v>0</v>
      </c>
      <c r="E5" s="53">
        <f t="shared" si="0"/>
        <v>23</v>
      </c>
    </row>
    <row r="6" spans="1:5">
      <c r="A6" s="53" t="s">
        <v>705</v>
      </c>
      <c r="B6" s="53">
        <f>COUNTIFS('SP1～SP5'!$D:$D,$A6,'SP1～SP5'!$E:$E,"完了")</f>
        <v>12</v>
      </c>
      <c r="C6" s="53">
        <f>COUNTIFS('SP6'!$E:$E,$A6,'SP1～SP5'!$E:$E,"完了")</f>
        <v>0</v>
      </c>
      <c r="D6" s="53">
        <f>COUNTIFS(優先度低!$D:$D,$A6,'SP1～SP5'!$E:$E,"完了")</f>
        <v>0</v>
      </c>
      <c r="E6" s="53">
        <f t="shared" si="0"/>
        <v>12</v>
      </c>
    </row>
    <row r="7" spans="1:5">
      <c r="A7" s="53" t="s">
        <v>706</v>
      </c>
      <c r="B7" s="53">
        <f>COUNTIFS('SP1～SP5'!$D:$D,$A7,'SP1～SP5'!$E:$E,"完了")</f>
        <v>1</v>
      </c>
      <c r="C7" s="53">
        <f>COUNTIFS('SP6'!$E:$E,$A7,'SP1～SP5'!$E:$E,"完了")</f>
        <v>0</v>
      </c>
      <c r="D7" s="53">
        <f>COUNTIFS(優先度低!$D:$D,$A7,'SP1～SP5'!$E:$E,"完了")</f>
        <v>0</v>
      </c>
      <c r="E7" s="53">
        <f t="shared" si="0"/>
        <v>1</v>
      </c>
    </row>
    <row r="8" spans="1:5">
      <c r="A8" s="53"/>
      <c r="B8" s="53">
        <f>COUNTIFS('SP1～SP5'!$D:$D,$A8,'SP1～SP5'!$E:$E,"完了")</f>
        <v>0</v>
      </c>
      <c r="C8" s="53">
        <f>COUNTIFS('SP6'!$E:$E,$A8,'SP1～SP5'!$E:$E,"完了")</f>
        <v>0</v>
      </c>
      <c r="D8" s="53">
        <f>COUNTIFS(優先度低!$D:$D,$A8,'SP1～SP5'!$E:$E,"完了")</f>
        <v>0</v>
      </c>
      <c r="E8" s="53">
        <f t="shared" si="0"/>
        <v>0</v>
      </c>
    </row>
    <row r="9" spans="1:5">
      <c r="A9" s="53"/>
      <c r="B9" s="53">
        <f>COUNTIFS('SP1～SP5'!$D:$D,$A9,'SP1～SP5'!$E:$E,"完了")</f>
        <v>0</v>
      </c>
      <c r="C9" s="53">
        <f>COUNTIFS('SP6'!$E:$E,$A9,'SP1～SP5'!$E:$E,"完了")</f>
        <v>0</v>
      </c>
      <c r="D9" s="53">
        <f>COUNTIFS(優先度低!$D:$D,$A9,'SP1～SP5'!$E:$E,"完了")</f>
        <v>0</v>
      </c>
      <c r="E9" s="53">
        <f t="shared" si="0"/>
        <v>0</v>
      </c>
    </row>
    <row r="10" spans="1:5">
      <c r="A10" s="53"/>
      <c r="B10" s="53">
        <f>COUNTIFS('SP1～SP5'!$D:$D,$A10,'SP1～SP5'!$E:$E,"完了")</f>
        <v>0</v>
      </c>
      <c r="C10" s="53">
        <f>COUNTIFS('SP6'!$E:$E,$A10,'SP1～SP5'!$E:$E,"完了")</f>
        <v>0</v>
      </c>
      <c r="D10" s="53">
        <f>COUNTIFS(優先度低!$D:$D,$A10,'SP1～SP5'!$E:$E,"完了")</f>
        <v>0</v>
      </c>
      <c r="E10" s="53">
        <f t="shared" si="0"/>
        <v>0</v>
      </c>
    </row>
    <row r="11" spans="1:5">
      <c r="A11" s="53"/>
      <c r="B11" s="53">
        <f>COUNTIFS('SP1～SP5'!$D:$D,$A11,'SP1～SP5'!$E:$E,"完了")</f>
        <v>0</v>
      </c>
      <c r="C11" s="53">
        <f>COUNTIFS('SP6'!$E:$E,$A11,'SP1～SP5'!$E:$E,"完了")</f>
        <v>0</v>
      </c>
      <c r="D11" s="53">
        <f>COUNTIFS(優先度低!$D:$D,$A11,'SP1～SP5'!$E:$E,"完了")</f>
        <v>0</v>
      </c>
      <c r="E11" s="53">
        <f t="shared" si="0"/>
        <v>0</v>
      </c>
    </row>
    <row r="12" spans="1:5">
      <c r="A12" s="53"/>
      <c r="B12" s="53">
        <f>COUNTIFS('SP1～SP5'!$D:$D,$A12,'SP1～SP5'!$E:$E,"完了")</f>
        <v>0</v>
      </c>
      <c r="C12" s="53">
        <f>COUNTIFS('SP6'!$E:$E,$A12,'SP1～SP5'!$E:$E,"完了")</f>
        <v>0</v>
      </c>
      <c r="D12" s="53">
        <f>COUNTIFS(優先度低!$D:$D,$A12,'SP1～SP5'!$E:$E,"完了")</f>
        <v>0</v>
      </c>
      <c r="E12" s="53">
        <f t="shared" si="0"/>
        <v>0</v>
      </c>
    </row>
    <row r="13" spans="1:5">
      <c r="A13" s="53"/>
      <c r="B13" s="53">
        <f>COUNTIFS('SP1～SP5'!$D:$D,$A13,'SP1～SP5'!$E:$E,"完了")</f>
        <v>0</v>
      </c>
      <c r="C13" s="53">
        <f>COUNTIFS('SP6'!$E:$E,$A13,'SP1～SP5'!$E:$E,"完了")</f>
        <v>0</v>
      </c>
      <c r="D13" s="53">
        <f>COUNTIFS(優先度低!$D:$D,$A13,'SP1～SP5'!$E:$E,"完了")</f>
        <v>0</v>
      </c>
      <c r="E13" s="53">
        <f t="shared" si="0"/>
        <v>0</v>
      </c>
    </row>
    <row r="14" spans="1:5">
      <c r="A14" s="53"/>
      <c r="B14" s="53">
        <f>COUNTIFS('SP1～SP5'!$D:$D,$A14,'SP1～SP5'!$E:$E,"完了")</f>
        <v>0</v>
      </c>
      <c r="C14" s="53">
        <f>COUNTIFS('SP6'!$E:$E,$A14,'SP1～SP5'!$E:$E,"完了")</f>
        <v>0</v>
      </c>
      <c r="D14" s="53">
        <f>COUNTIFS(優先度低!$D:$D,$A14,'SP1～SP5'!$E:$E,"完了")</f>
        <v>0</v>
      </c>
      <c r="E14" s="53">
        <f t="shared" si="0"/>
        <v>0</v>
      </c>
    </row>
    <row r="15" spans="1:5">
      <c r="A15" s="53"/>
      <c r="B15" s="53">
        <f>COUNTIFS('SP1～SP5'!$D:$D,$A15,'SP1～SP5'!$E:$E,"完了")</f>
        <v>0</v>
      </c>
      <c r="C15" s="53">
        <f>COUNTIFS('SP6'!$E:$E,$A15,'SP1～SP5'!$E:$E,"完了")</f>
        <v>0</v>
      </c>
      <c r="D15" s="53">
        <f>COUNTIFS(優先度低!$D:$D,$A15,'SP1～SP5'!$E:$E,"完了")</f>
        <v>0</v>
      </c>
      <c r="E15" s="53">
        <f t="shared" si="0"/>
        <v>0</v>
      </c>
    </row>
    <row r="16" spans="1:5">
      <c r="A16" s="53"/>
      <c r="B16" s="53">
        <f>COUNTIFS('SP1～SP5'!$D:$D,$A16,'SP1～SP5'!$E:$E,"完了")</f>
        <v>0</v>
      </c>
      <c r="C16" s="53">
        <f>COUNTIFS('SP6'!$E:$E,$A16,'SP1～SP5'!$E:$E,"完了")</f>
        <v>0</v>
      </c>
      <c r="D16" s="53">
        <f>COUNTIFS(優先度低!$D:$D,$A16,'SP1～SP5'!$E:$E,"完了")</f>
        <v>0</v>
      </c>
      <c r="E16" s="53">
        <f t="shared" si="0"/>
        <v>0</v>
      </c>
    </row>
    <row r="17" spans="1:5">
      <c r="A17" s="53"/>
      <c r="B17" s="53">
        <f>COUNTIFS('SP1～SP5'!$D:$D,$A17,'SP1～SP5'!$E:$E,"完了")</f>
        <v>0</v>
      </c>
      <c r="C17" s="53">
        <f>COUNTIFS('SP6'!$E:$E,$A17,'SP1～SP5'!$E:$E,"完了")</f>
        <v>0</v>
      </c>
      <c r="D17" s="53">
        <f>COUNTIFS(優先度低!$D:$D,$A17,'SP1～SP5'!$E:$E,"完了")</f>
        <v>0</v>
      </c>
      <c r="E17" s="53">
        <f t="shared" si="0"/>
        <v>0</v>
      </c>
    </row>
    <row r="18" spans="1:5">
      <c r="A18" s="51" t="s">
        <v>432</v>
      </c>
      <c r="B18" s="53">
        <f>SUM(B2:B17)</f>
        <v>56</v>
      </c>
      <c r="C18" s="53">
        <f>SUM(C2:C17)</f>
        <v>0</v>
      </c>
      <c r="D18" s="53">
        <f>SUM(D2:D17)</f>
        <v>0</v>
      </c>
      <c r="E18" s="53">
        <f>SUM(E2:E17)</f>
        <v>56</v>
      </c>
    </row>
  </sheetData>
  <phoneticPr fontId="3"/>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B58AFD-76D2-452D-9230-15A823F1D09D}">
  <sheetPr codeName="Sheet2"/>
  <dimension ref="A1:O34"/>
  <sheetViews>
    <sheetView showGridLines="0" zoomScale="40" zoomScaleNormal="40" workbookViewId="0">
      <selection activeCell="T67" sqref="T67"/>
    </sheetView>
  </sheetViews>
  <sheetFormatPr baseColWidth="10" defaultColWidth="8.83203125" defaultRowHeight="18"/>
  <cols>
    <col min="1" max="1" width="4.5" style="18" customWidth="1"/>
    <col min="2" max="2" width="23.1640625" style="18" customWidth="1"/>
    <col min="3" max="15" width="7.6640625" style="18" customWidth="1"/>
    <col min="16" max="16384" width="8.83203125" style="18"/>
  </cols>
  <sheetData>
    <row r="1" spans="1:15" ht="27">
      <c r="A1" s="47" t="s">
        <v>442</v>
      </c>
    </row>
    <row r="2" spans="1:15">
      <c r="A2" s="101" t="s">
        <v>441</v>
      </c>
      <c r="B2" s="102"/>
      <c r="C2" s="49">
        <v>44214</v>
      </c>
      <c r="D2" s="49">
        <v>44215</v>
      </c>
      <c r="E2" s="49">
        <v>44216</v>
      </c>
      <c r="F2" s="49">
        <v>44217</v>
      </c>
      <c r="G2" s="49">
        <v>44218</v>
      </c>
      <c r="H2" s="49">
        <v>44221</v>
      </c>
      <c r="I2" s="49">
        <v>44222</v>
      </c>
      <c r="J2" s="49">
        <v>44223</v>
      </c>
      <c r="K2" s="49">
        <v>44224</v>
      </c>
      <c r="L2" s="49">
        <v>44225</v>
      </c>
      <c r="M2" s="49">
        <v>44228</v>
      </c>
      <c r="N2" s="49"/>
      <c r="O2" s="49"/>
    </row>
    <row r="3" spans="1:15">
      <c r="B3" s="24" t="s">
        <v>440</v>
      </c>
      <c r="N3" s="31"/>
      <c r="O3" s="31"/>
    </row>
    <row r="4" spans="1:15">
      <c r="B4" s="31" t="s">
        <v>439</v>
      </c>
      <c r="C4" s="31">
        <v>10</v>
      </c>
      <c r="D4" s="31">
        <v>10</v>
      </c>
      <c r="E4" s="31">
        <v>10</v>
      </c>
      <c r="F4" s="31">
        <v>10</v>
      </c>
      <c r="G4" s="31">
        <v>10</v>
      </c>
      <c r="H4" s="31">
        <v>10</v>
      </c>
      <c r="I4" s="31">
        <v>10</v>
      </c>
      <c r="J4" s="31">
        <v>10</v>
      </c>
      <c r="K4" s="31">
        <v>10</v>
      </c>
      <c r="L4" s="31">
        <v>10</v>
      </c>
      <c r="M4" s="31">
        <v>10</v>
      </c>
      <c r="N4" s="31"/>
      <c r="O4" s="31"/>
    </row>
    <row r="5" spans="1:15" ht="38">
      <c r="B5" s="46" t="s">
        <v>438</v>
      </c>
      <c r="C5" s="31">
        <v>100</v>
      </c>
      <c r="D5" s="31">
        <f t="shared" ref="D5:M5" si="0">C5-C4</f>
        <v>90</v>
      </c>
      <c r="E5" s="31">
        <f t="shared" si="0"/>
        <v>80</v>
      </c>
      <c r="F5" s="31">
        <f t="shared" si="0"/>
        <v>70</v>
      </c>
      <c r="G5" s="31">
        <f t="shared" si="0"/>
        <v>60</v>
      </c>
      <c r="H5" s="31">
        <f t="shared" si="0"/>
        <v>50</v>
      </c>
      <c r="I5" s="31">
        <f t="shared" si="0"/>
        <v>40</v>
      </c>
      <c r="J5" s="31">
        <f t="shared" si="0"/>
        <v>30</v>
      </c>
      <c r="K5" s="31">
        <f t="shared" si="0"/>
        <v>20</v>
      </c>
      <c r="L5" s="31">
        <f t="shared" si="0"/>
        <v>10</v>
      </c>
      <c r="M5" s="31">
        <f t="shared" si="0"/>
        <v>0</v>
      </c>
      <c r="N5" s="31"/>
      <c r="O5" s="31"/>
    </row>
    <row r="7" spans="1:15">
      <c r="A7" s="97" t="s">
        <v>437</v>
      </c>
      <c r="B7" s="45" t="s">
        <v>436</v>
      </c>
      <c r="C7" s="40">
        <v>72</v>
      </c>
      <c r="D7" s="40">
        <v>65</v>
      </c>
      <c r="E7" s="40">
        <f>17+48</f>
        <v>65</v>
      </c>
      <c r="F7" s="40">
        <v>54</v>
      </c>
      <c r="G7" s="40"/>
      <c r="H7" s="40"/>
      <c r="I7" s="40"/>
      <c r="J7" s="40"/>
      <c r="K7" s="40"/>
      <c r="L7" s="40"/>
      <c r="M7" s="40"/>
      <c r="N7" s="40"/>
      <c r="O7" s="40"/>
    </row>
    <row r="8" spans="1:15">
      <c r="A8" s="97"/>
      <c r="B8" s="45" t="s">
        <v>435</v>
      </c>
      <c r="C8" s="40">
        <v>9</v>
      </c>
      <c r="D8" s="40">
        <v>11</v>
      </c>
      <c r="E8" s="40">
        <v>5</v>
      </c>
      <c r="F8" s="40">
        <v>4</v>
      </c>
      <c r="G8" s="40"/>
      <c r="H8" s="40"/>
      <c r="I8" s="40"/>
      <c r="J8" s="40"/>
      <c r="K8" s="40"/>
      <c r="L8" s="40"/>
      <c r="M8" s="40"/>
      <c r="N8" s="40"/>
      <c r="O8" s="40"/>
    </row>
    <row r="9" spans="1:15">
      <c r="A9" s="97"/>
      <c r="B9" s="45" t="s">
        <v>151</v>
      </c>
      <c r="C9" s="40">
        <v>10</v>
      </c>
      <c r="D9" s="40">
        <v>11</v>
      </c>
      <c r="E9" s="40">
        <v>11</v>
      </c>
      <c r="F9" s="40">
        <v>16</v>
      </c>
      <c r="G9" s="40"/>
      <c r="H9" s="40"/>
      <c r="I9" s="40"/>
      <c r="J9" s="40"/>
      <c r="K9" s="40"/>
      <c r="L9" s="40"/>
      <c r="M9" s="40"/>
      <c r="N9" s="40"/>
      <c r="O9" s="40"/>
    </row>
    <row r="10" spans="1:15">
      <c r="A10" s="97"/>
      <c r="B10" s="45" t="s">
        <v>434</v>
      </c>
      <c r="C10" s="40">
        <v>37</v>
      </c>
      <c r="D10" s="40">
        <v>46</v>
      </c>
      <c r="E10" s="40">
        <v>64</v>
      </c>
      <c r="F10" s="40">
        <v>79</v>
      </c>
      <c r="G10" s="40"/>
      <c r="H10" s="40"/>
      <c r="I10" s="40"/>
      <c r="J10" s="40"/>
      <c r="K10" s="40"/>
      <c r="L10" s="40"/>
      <c r="M10" s="40"/>
      <c r="N10" s="40"/>
      <c r="O10" s="40"/>
    </row>
    <row r="11" spans="1:15">
      <c r="A11" s="98" t="s">
        <v>433</v>
      </c>
      <c r="B11" s="44" t="s">
        <v>431</v>
      </c>
      <c r="C11" s="40">
        <f>SUM(C7:C9)</f>
        <v>91</v>
      </c>
      <c r="D11" s="40">
        <f>SUM(D7:D9)</f>
        <v>87</v>
      </c>
      <c r="E11" s="40">
        <f>SUM(E7:E9)</f>
        <v>81</v>
      </c>
      <c r="F11" s="40">
        <f>SUM(F7:F9)</f>
        <v>74</v>
      </c>
      <c r="G11" s="40"/>
      <c r="H11" s="40"/>
      <c r="I11" s="40"/>
      <c r="J11" s="40"/>
      <c r="K11" s="40"/>
      <c r="L11" s="40"/>
      <c r="M11" s="40"/>
      <c r="N11" s="40"/>
      <c r="O11" s="40"/>
    </row>
    <row r="12" spans="1:15">
      <c r="A12" s="99"/>
      <c r="B12" s="44" t="s">
        <v>430</v>
      </c>
      <c r="C12" s="40">
        <f>SUM(C7:C10)</f>
        <v>128</v>
      </c>
      <c r="D12" s="40">
        <f>SUM(D7:D10)</f>
        <v>133</v>
      </c>
      <c r="E12" s="40">
        <f>SUM(E7:E10)</f>
        <v>145</v>
      </c>
      <c r="F12" s="40">
        <f>SUM(F7:F10)</f>
        <v>153</v>
      </c>
      <c r="G12" s="40"/>
      <c r="H12" s="40"/>
      <c r="I12" s="40"/>
      <c r="J12" s="40"/>
      <c r="K12" s="40"/>
      <c r="L12" s="40"/>
      <c r="M12" s="40"/>
      <c r="N12" s="40"/>
      <c r="O12" s="40"/>
    </row>
    <row r="13" spans="1:15">
      <c r="A13" s="100" t="s">
        <v>429</v>
      </c>
      <c r="B13" s="42" t="s">
        <v>428</v>
      </c>
      <c r="C13" s="40" t="s">
        <v>425</v>
      </c>
      <c r="D13" s="43">
        <f>D12-C12</f>
        <v>5</v>
      </c>
      <c r="E13" s="43">
        <f>E12-D12</f>
        <v>12</v>
      </c>
      <c r="F13" s="43">
        <f>F12-E12</f>
        <v>8</v>
      </c>
      <c r="G13" s="40"/>
      <c r="H13" s="40"/>
      <c r="I13" s="40"/>
      <c r="J13" s="40"/>
      <c r="K13" s="40"/>
      <c r="L13" s="40"/>
      <c r="M13" s="40"/>
      <c r="N13" s="40"/>
      <c r="O13" s="40"/>
    </row>
    <row r="14" spans="1:15">
      <c r="A14" s="100"/>
      <c r="B14" s="42" t="s">
        <v>427</v>
      </c>
      <c r="C14" s="40" t="s">
        <v>425</v>
      </c>
      <c r="D14" s="41">
        <f>D10-C10</f>
        <v>9</v>
      </c>
      <c r="E14" s="41">
        <f>E10-D10</f>
        <v>18</v>
      </c>
      <c r="F14" s="41">
        <f>F10-E10</f>
        <v>15</v>
      </c>
      <c r="G14" s="40"/>
      <c r="H14" s="40"/>
      <c r="I14" s="40"/>
      <c r="J14" s="40"/>
      <c r="K14" s="40"/>
      <c r="L14" s="40"/>
      <c r="M14" s="40"/>
      <c r="N14" s="40"/>
      <c r="O14" s="40"/>
    </row>
    <row r="15" spans="1:15">
      <c r="A15" s="100"/>
      <c r="B15" s="39" t="s">
        <v>426</v>
      </c>
      <c r="C15" s="31" t="s">
        <v>425</v>
      </c>
      <c r="D15" s="38">
        <f>D13-D14</f>
        <v>-4</v>
      </c>
      <c r="E15" s="38">
        <f>E13-E14</f>
        <v>-6</v>
      </c>
      <c r="F15" s="38">
        <f>F13-F14</f>
        <v>-7</v>
      </c>
      <c r="G15" s="31"/>
      <c r="H15" s="31"/>
      <c r="I15" s="31"/>
      <c r="J15" s="31"/>
      <c r="K15" s="31"/>
      <c r="L15" s="31"/>
      <c r="M15" s="31"/>
      <c r="N15" s="31"/>
      <c r="O15" s="31"/>
    </row>
    <row r="17" spans="1:15" ht="38">
      <c r="B17" s="37" t="s">
        <v>424</v>
      </c>
      <c r="C17" s="31"/>
      <c r="D17" s="36">
        <f>D11/-AVERAGE($D15:D15)</f>
        <v>21.75</v>
      </c>
      <c r="E17" s="36">
        <f>E11/-AVERAGE($D15:E15)</f>
        <v>16.2</v>
      </c>
      <c r="F17" s="36">
        <f>F11/-AVERAGE($D15:F15)</f>
        <v>13.058823529411764</v>
      </c>
      <c r="G17" s="31"/>
      <c r="H17" s="31"/>
      <c r="I17" s="31"/>
      <c r="J17" s="31"/>
      <c r="K17" s="31"/>
      <c r="L17" s="31"/>
      <c r="M17" s="31"/>
      <c r="N17" s="31"/>
      <c r="O17" s="31"/>
    </row>
    <row r="18" spans="1:15">
      <c r="B18" s="35" t="s">
        <v>423</v>
      </c>
      <c r="C18" s="31"/>
      <c r="D18" s="48">
        <f>WORKDAY(D$2, D$17)</f>
        <v>44244</v>
      </c>
      <c r="E18" s="48">
        <f>WORKDAY(E$2, E$17)</f>
        <v>44238</v>
      </c>
      <c r="F18" s="48">
        <f>WORKDAY(F$2, F$17)</f>
        <v>44236</v>
      </c>
      <c r="G18" s="31"/>
      <c r="H18" s="31"/>
      <c r="I18" s="31"/>
      <c r="J18" s="31"/>
      <c r="K18" s="31"/>
      <c r="L18" s="31"/>
      <c r="M18" s="31"/>
      <c r="N18" s="31"/>
      <c r="O18" s="31"/>
    </row>
    <row r="19" spans="1:15" ht="19" thickBot="1">
      <c r="F19" s="24"/>
    </row>
    <row r="20" spans="1:15" ht="19" hidden="1" thickBot="1">
      <c r="B20" s="24" t="s">
        <v>422</v>
      </c>
    </row>
    <row r="21" spans="1:15" ht="19" hidden="1" thickBot="1">
      <c r="B21" s="34" t="s">
        <v>421</v>
      </c>
      <c r="C21" s="31"/>
      <c r="D21" s="31">
        <f>D15-D4</f>
        <v>-14</v>
      </c>
      <c r="E21" s="31">
        <f>E15-E4</f>
        <v>-16</v>
      </c>
      <c r="F21" s="31">
        <f>F15-F4</f>
        <v>-17</v>
      </c>
      <c r="G21" s="31"/>
      <c r="H21" s="31"/>
      <c r="I21" s="31"/>
      <c r="J21" s="31"/>
      <c r="K21" s="31"/>
      <c r="L21" s="31"/>
      <c r="M21" s="31"/>
      <c r="N21" s="31"/>
      <c r="O21" s="31"/>
    </row>
    <row r="22" spans="1:15" ht="39" hidden="1" thickBot="1">
      <c r="B22" s="33" t="s">
        <v>420</v>
      </c>
      <c r="C22" s="31"/>
      <c r="D22" s="31">
        <v>8</v>
      </c>
      <c r="E22" s="31">
        <v>7</v>
      </c>
      <c r="F22" s="31">
        <v>6</v>
      </c>
      <c r="G22" s="31"/>
      <c r="H22" s="31"/>
      <c r="I22" s="31"/>
      <c r="J22" s="31"/>
      <c r="K22" s="31"/>
      <c r="L22" s="31"/>
      <c r="M22" s="31"/>
      <c r="N22" s="31"/>
      <c r="O22" s="31"/>
    </row>
    <row r="23" spans="1:15" ht="19" hidden="1" thickBot="1">
      <c r="B23" s="32" t="s">
        <v>419</v>
      </c>
      <c r="C23" s="31"/>
      <c r="D23" s="31">
        <v>5</v>
      </c>
      <c r="E23" s="31">
        <v>5</v>
      </c>
      <c r="F23" s="31">
        <v>5</v>
      </c>
      <c r="G23" s="31"/>
      <c r="H23" s="31"/>
      <c r="I23" s="31"/>
      <c r="J23" s="31"/>
      <c r="K23" s="31"/>
      <c r="L23" s="31"/>
      <c r="M23" s="31"/>
      <c r="N23" s="31"/>
      <c r="O23" s="31"/>
    </row>
    <row r="24" spans="1:15" ht="19" hidden="1" thickBot="1">
      <c r="B24" s="30" t="s">
        <v>418</v>
      </c>
      <c r="C24" s="29"/>
      <c r="D24" s="28">
        <f t="shared" ref="D24:O24" si="1">D11/D22/D23</f>
        <v>2.1749999999999998</v>
      </c>
      <c r="E24" s="28">
        <f t="shared" si="1"/>
        <v>2.3142857142857141</v>
      </c>
      <c r="F24" s="28">
        <f t="shared" si="1"/>
        <v>2.4666666666666668</v>
      </c>
      <c r="G24" s="28" t="e">
        <f t="shared" si="1"/>
        <v>#DIV/0!</v>
      </c>
      <c r="H24" s="28" t="e">
        <f t="shared" si="1"/>
        <v>#DIV/0!</v>
      </c>
      <c r="I24" s="28" t="e">
        <f t="shared" si="1"/>
        <v>#DIV/0!</v>
      </c>
      <c r="J24" s="28" t="e">
        <f t="shared" si="1"/>
        <v>#DIV/0!</v>
      </c>
      <c r="K24" s="28" t="e">
        <f t="shared" si="1"/>
        <v>#DIV/0!</v>
      </c>
      <c r="L24" s="28" t="e">
        <f t="shared" si="1"/>
        <v>#DIV/0!</v>
      </c>
      <c r="M24" s="28" t="e">
        <f t="shared" si="1"/>
        <v>#DIV/0!</v>
      </c>
      <c r="N24" s="28" t="e">
        <f t="shared" si="1"/>
        <v>#DIV/0!</v>
      </c>
      <c r="O24" s="28" t="e">
        <f t="shared" si="1"/>
        <v>#DIV/0!</v>
      </c>
    </row>
    <row r="25" spans="1:15">
      <c r="B25" s="27" t="s">
        <v>417</v>
      </c>
      <c r="C25" s="26"/>
      <c r="D25" s="26"/>
      <c r="E25" s="26"/>
      <c r="F25" s="26"/>
      <c r="G25" s="26"/>
      <c r="H25" s="26"/>
      <c r="I25" s="26"/>
      <c r="J25" s="26"/>
      <c r="K25" s="26"/>
      <c r="L25" s="26"/>
      <c r="M25" s="26"/>
      <c r="N25" s="26"/>
      <c r="O25" s="25"/>
    </row>
    <row r="26" spans="1:15">
      <c r="B26" s="23"/>
      <c r="O26" s="22"/>
    </row>
    <row r="27" spans="1:15">
      <c r="A27" s="24"/>
      <c r="B27" s="23"/>
      <c r="O27" s="22"/>
    </row>
    <row r="28" spans="1:15">
      <c r="B28" s="23"/>
      <c r="O28" s="22"/>
    </row>
    <row r="29" spans="1:15">
      <c r="B29" s="23"/>
      <c r="O29" s="22"/>
    </row>
    <row r="30" spans="1:15">
      <c r="B30" s="23"/>
      <c r="O30" s="22"/>
    </row>
    <row r="31" spans="1:15">
      <c r="B31" s="23"/>
      <c r="O31" s="22"/>
    </row>
    <row r="32" spans="1:15">
      <c r="B32" s="23"/>
      <c r="O32" s="22"/>
    </row>
    <row r="33" spans="2:15">
      <c r="B33" s="23"/>
      <c r="O33" s="22"/>
    </row>
    <row r="34" spans="2:15" ht="19" thickBot="1">
      <c r="B34" s="21"/>
      <c r="C34" s="20"/>
      <c r="D34" s="20"/>
      <c r="E34" s="20"/>
      <c r="F34" s="20"/>
      <c r="G34" s="20"/>
      <c r="H34" s="20"/>
      <c r="I34" s="20"/>
      <c r="J34" s="20"/>
      <c r="K34" s="20"/>
      <c r="L34" s="20"/>
      <c r="M34" s="20"/>
      <c r="N34" s="20"/>
      <c r="O34" s="19"/>
    </row>
  </sheetData>
  <mergeCells count="4">
    <mergeCell ref="A7:A10"/>
    <mergeCell ref="A11:A12"/>
    <mergeCell ref="A13:A15"/>
    <mergeCell ref="A2:B2"/>
  </mergeCells>
  <phoneticPr fontId="3"/>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016DB-A8A6-409C-9510-D950E1C01189}">
  <sheetPr codeName="Sheet4" filterMode="1">
    <tabColor theme="9" tint="0.79998168889431442"/>
  </sheetPr>
  <dimension ref="A1:V1000"/>
  <sheetViews>
    <sheetView showGridLines="0" zoomScale="72" zoomScaleNormal="55" workbookViewId="0"/>
  </sheetViews>
  <sheetFormatPr baseColWidth="10" defaultColWidth="8.83203125" defaultRowHeight="18"/>
  <cols>
    <col min="1" max="1" width="20.6640625" customWidth="1"/>
    <col min="2" max="2" width="34.6640625" bestFit="1" customWidth="1"/>
    <col min="3" max="4" width="9.1640625" bestFit="1" customWidth="1"/>
    <col min="5" max="5" width="11.1640625" bestFit="1" customWidth="1"/>
    <col min="6" max="6" width="10" bestFit="1" customWidth="1"/>
    <col min="7" max="7" width="10.1640625" bestFit="1" customWidth="1"/>
    <col min="8" max="8" width="10.1640625" customWidth="1"/>
    <col min="9" max="11" width="34.83203125" style="11" customWidth="1"/>
    <col min="12" max="12" width="40.6640625" customWidth="1"/>
  </cols>
  <sheetData>
    <row r="1" spans="1:22">
      <c r="A1" s="10" t="s">
        <v>8</v>
      </c>
      <c r="B1" s="103" t="s">
        <v>80</v>
      </c>
      <c r="C1" s="103"/>
      <c r="D1" s="52"/>
    </row>
    <row r="2" spans="1:22">
      <c r="A2" s="10" t="s">
        <v>2</v>
      </c>
      <c r="B2" s="103">
        <f>VLOOKUP(B1,親課題リスト!D4:E6,2)</f>
        <v>10597942</v>
      </c>
      <c r="C2" s="103"/>
      <c r="D2" s="52"/>
    </row>
    <row r="3" spans="1:22">
      <c r="A3" s="12" t="s">
        <v>707</v>
      </c>
      <c r="B3" s="12"/>
    </row>
    <row r="4" spans="1:22" ht="6.75" customHeight="1"/>
    <row r="5" spans="1:22" ht="40.5" customHeight="1">
      <c r="A5" s="17" t="s">
        <v>11</v>
      </c>
      <c r="B5" s="17" t="s">
        <v>3</v>
      </c>
      <c r="C5" s="17" t="s">
        <v>12</v>
      </c>
      <c r="D5" s="16" t="s">
        <v>446</v>
      </c>
      <c r="E5" s="17" t="s">
        <v>13</v>
      </c>
      <c r="F5" s="17" t="s">
        <v>14</v>
      </c>
      <c r="G5" s="17" t="s">
        <v>15</v>
      </c>
      <c r="H5" s="16" t="s">
        <v>19</v>
      </c>
      <c r="I5" s="17" t="s">
        <v>16</v>
      </c>
      <c r="J5" s="16" t="s">
        <v>17</v>
      </c>
      <c r="K5" s="16" t="s">
        <v>18</v>
      </c>
      <c r="L5" s="16" t="s">
        <v>25</v>
      </c>
    </row>
    <row r="6" spans="1:22" ht="119" hidden="1">
      <c r="A6" s="9" t="s">
        <v>708</v>
      </c>
      <c r="B6" s="3" t="s">
        <v>709</v>
      </c>
      <c r="C6" s="3" t="s">
        <v>527</v>
      </c>
      <c r="D6" s="3"/>
      <c r="E6" s="3" t="s">
        <v>524</v>
      </c>
      <c r="F6" s="14">
        <v>44223</v>
      </c>
      <c r="G6" s="3"/>
      <c r="H6" s="3" t="s">
        <v>525</v>
      </c>
      <c r="I6" s="15" t="s">
        <v>710</v>
      </c>
      <c r="J6" s="15" t="s">
        <v>711</v>
      </c>
      <c r="K6" s="3"/>
      <c r="L6" s="3" t="s">
        <v>712</v>
      </c>
      <c r="M6" s="1"/>
      <c r="N6" s="1"/>
      <c r="O6" s="1"/>
      <c r="P6" s="1"/>
      <c r="Q6" s="1"/>
      <c r="R6" s="1"/>
      <c r="S6" s="1"/>
      <c r="T6" s="1"/>
      <c r="U6" s="1"/>
      <c r="V6" s="1"/>
    </row>
    <row r="7" spans="1:22" ht="85" hidden="1">
      <c r="A7" s="9" t="s">
        <v>713</v>
      </c>
      <c r="B7" s="3" t="s">
        <v>714</v>
      </c>
      <c r="C7" s="3" t="s">
        <v>543</v>
      </c>
      <c r="D7" s="3"/>
      <c r="E7" s="3" t="s">
        <v>524</v>
      </c>
      <c r="F7" s="14">
        <v>44223</v>
      </c>
      <c r="G7" s="14">
        <v>44224</v>
      </c>
      <c r="H7" s="3" t="s">
        <v>525</v>
      </c>
      <c r="I7" s="15" t="s">
        <v>715</v>
      </c>
      <c r="J7" s="15"/>
      <c r="K7" s="15"/>
      <c r="L7" s="15" t="s">
        <v>716</v>
      </c>
      <c r="M7" s="1"/>
      <c r="N7" s="1"/>
      <c r="O7" s="1"/>
      <c r="P7" s="1"/>
      <c r="Q7" s="1"/>
      <c r="R7" s="1"/>
      <c r="S7" s="1"/>
      <c r="T7" s="1"/>
      <c r="U7" s="1"/>
      <c r="V7" s="1"/>
    </row>
    <row r="8" spans="1:22" ht="153" hidden="1">
      <c r="A8" s="9" t="s">
        <v>717</v>
      </c>
      <c r="B8" s="3" t="s">
        <v>718</v>
      </c>
      <c r="C8" s="3" t="s">
        <v>527</v>
      </c>
      <c r="D8" s="3"/>
      <c r="E8" s="3" t="s">
        <v>524</v>
      </c>
      <c r="F8" s="14">
        <v>44223</v>
      </c>
      <c r="G8" s="14"/>
      <c r="H8" s="3" t="s">
        <v>525</v>
      </c>
      <c r="I8" s="15" t="s">
        <v>719</v>
      </c>
      <c r="J8" s="3"/>
      <c r="K8" s="3"/>
      <c r="L8" s="3"/>
      <c r="M8" s="1"/>
      <c r="N8" s="1"/>
      <c r="O8" s="1"/>
      <c r="P8" s="1"/>
      <c r="Q8" s="1"/>
      <c r="R8" s="1"/>
      <c r="S8" s="1"/>
      <c r="T8" s="1"/>
      <c r="U8" s="1"/>
      <c r="V8" s="1"/>
    </row>
    <row r="9" spans="1:22" ht="85" hidden="1">
      <c r="A9" s="9" t="s">
        <v>720</v>
      </c>
      <c r="B9" s="3" t="s">
        <v>721</v>
      </c>
      <c r="C9" s="3" t="s">
        <v>640</v>
      </c>
      <c r="D9" s="3" t="s">
        <v>722</v>
      </c>
      <c r="E9" s="3" t="s">
        <v>533</v>
      </c>
      <c r="F9" s="14">
        <v>44223</v>
      </c>
      <c r="G9" s="14">
        <v>44223</v>
      </c>
      <c r="H9" s="15" t="s">
        <v>525</v>
      </c>
      <c r="I9" s="15" t="s">
        <v>723</v>
      </c>
      <c r="J9" s="15" t="s">
        <v>724</v>
      </c>
      <c r="K9" s="15" t="s">
        <v>725</v>
      </c>
      <c r="L9" s="15" t="s">
        <v>672</v>
      </c>
      <c r="M9" s="1"/>
      <c r="N9" s="1"/>
      <c r="O9" s="1"/>
      <c r="P9" s="1"/>
      <c r="Q9" s="1"/>
      <c r="R9" s="1"/>
      <c r="S9" s="1"/>
      <c r="T9" s="1"/>
      <c r="U9" s="1"/>
      <c r="V9" s="1"/>
    </row>
    <row r="10" spans="1:22" ht="306">
      <c r="A10" s="13" t="s">
        <v>726</v>
      </c>
      <c r="B10" s="3" t="s">
        <v>727</v>
      </c>
      <c r="C10" s="3" t="s">
        <v>70</v>
      </c>
      <c r="D10" s="3" t="s">
        <v>447</v>
      </c>
      <c r="E10" s="3" t="s">
        <v>151</v>
      </c>
      <c r="F10" s="14">
        <v>44223</v>
      </c>
      <c r="G10" s="3"/>
      <c r="H10" s="3" t="s">
        <v>22</v>
      </c>
      <c r="I10" s="15" t="s">
        <v>728</v>
      </c>
      <c r="J10" s="15" t="s">
        <v>729</v>
      </c>
      <c r="K10" s="3" t="s">
        <v>730</v>
      </c>
      <c r="L10" s="3" t="s">
        <v>731</v>
      </c>
      <c r="M10" s="1"/>
      <c r="N10" s="1"/>
      <c r="O10" s="1"/>
      <c r="P10" s="1"/>
      <c r="Q10" s="1"/>
      <c r="R10" s="1"/>
      <c r="S10" s="1"/>
      <c r="T10" s="1"/>
      <c r="U10" s="1"/>
      <c r="V10" s="1"/>
    </row>
    <row r="11" spans="1:22" ht="255">
      <c r="A11" s="13" t="s">
        <v>732</v>
      </c>
      <c r="B11" s="3" t="s">
        <v>733</v>
      </c>
      <c r="C11" s="3" t="s">
        <v>88</v>
      </c>
      <c r="D11" s="3"/>
      <c r="E11" s="3" t="s">
        <v>20</v>
      </c>
      <c r="F11" s="14">
        <v>44223</v>
      </c>
      <c r="G11" s="14">
        <v>44225</v>
      </c>
      <c r="H11" s="3" t="s">
        <v>23</v>
      </c>
      <c r="I11" s="15" t="s">
        <v>734</v>
      </c>
      <c r="J11" s="3"/>
      <c r="K11" s="3"/>
      <c r="L11" s="3" t="s">
        <v>94</v>
      </c>
      <c r="M11" s="1"/>
      <c r="N11" s="1"/>
      <c r="O11" s="1"/>
      <c r="P11" s="1"/>
      <c r="Q11" s="1"/>
      <c r="R11" s="1"/>
      <c r="S11" s="1"/>
      <c r="T11" s="1"/>
      <c r="U11" s="1"/>
      <c r="V11" s="1"/>
    </row>
    <row r="12" spans="1:22" ht="289">
      <c r="A12" s="13" t="s">
        <v>735</v>
      </c>
      <c r="B12" s="3" t="s">
        <v>736</v>
      </c>
      <c r="C12" s="3" t="s">
        <v>62</v>
      </c>
      <c r="D12" s="3" t="s">
        <v>636</v>
      </c>
      <c r="E12" s="3" t="s">
        <v>21</v>
      </c>
      <c r="F12" s="14">
        <v>44223</v>
      </c>
      <c r="G12" s="14">
        <v>44223</v>
      </c>
      <c r="H12" s="3" t="s">
        <v>52</v>
      </c>
      <c r="I12" s="15" t="s">
        <v>737</v>
      </c>
      <c r="J12" s="3" t="s">
        <v>738</v>
      </c>
      <c r="K12" s="3" t="s">
        <v>739</v>
      </c>
      <c r="L12" s="3" t="s">
        <v>740</v>
      </c>
      <c r="M12" s="1"/>
      <c r="N12" s="1"/>
      <c r="O12" s="1"/>
      <c r="P12" s="1"/>
      <c r="Q12" s="1"/>
      <c r="R12" s="1"/>
      <c r="S12" s="1"/>
      <c r="T12" s="1"/>
      <c r="U12" s="1"/>
      <c r="V12" s="1"/>
    </row>
    <row r="13" spans="1:22" ht="409.6" hidden="1">
      <c r="A13" s="9" t="s">
        <v>741</v>
      </c>
      <c r="B13" s="3" t="s">
        <v>742</v>
      </c>
      <c r="C13" s="3" t="s">
        <v>549</v>
      </c>
      <c r="D13" s="3" t="s">
        <v>743</v>
      </c>
      <c r="E13" s="3" t="s">
        <v>546</v>
      </c>
      <c r="F13" s="14"/>
      <c r="G13" s="14"/>
      <c r="H13" s="3" t="s">
        <v>744</v>
      </c>
      <c r="I13" s="15" t="s">
        <v>745</v>
      </c>
      <c r="J13" s="3"/>
      <c r="K13" s="15" t="s">
        <v>746</v>
      </c>
      <c r="L13" s="15" t="s">
        <v>747</v>
      </c>
      <c r="M13" s="1"/>
      <c r="N13" s="1"/>
      <c r="O13" s="1"/>
      <c r="P13" s="1"/>
      <c r="Q13" s="1"/>
      <c r="R13" s="1"/>
      <c r="S13" s="1"/>
      <c r="T13" s="1"/>
      <c r="U13" s="1"/>
      <c r="V13" s="1"/>
    </row>
    <row r="14" spans="1:22" ht="221" hidden="1">
      <c r="A14" s="9" t="s">
        <v>748</v>
      </c>
      <c r="B14" s="3" t="s">
        <v>749</v>
      </c>
      <c r="C14" s="3" t="s">
        <v>532</v>
      </c>
      <c r="D14" s="3" t="s">
        <v>570</v>
      </c>
      <c r="E14" s="3" t="s">
        <v>530</v>
      </c>
      <c r="F14" s="14">
        <v>44222</v>
      </c>
      <c r="G14" s="14"/>
      <c r="H14" s="3" t="s">
        <v>525</v>
      </c>
      <c r="I14" s="15" t="s">
        <v>750</v>
      </c>
      <c r="J14" s="3" t="s">
        <v>751</v>
      </c>
      <c r="K14" s="15" t="s">
        <v>752</v>
      </c>
      <c r="L14" s="3" t="s">
        <v>753</v>
      </c>
      <c r="M14" s="1"/>
      <c r="N14" s="1"/>
      <c r="O14" s="1"/>
      <c r="P14" s="1"/>
      <c r="Q14" s="1"/>
      <c r="R14" s="1"/>
      <c r="S14" s="1"/>
      <c r="T14" s="1"/>
      <c r="U14" s="1"/>
      <c r="V14" s="1"/>
    </row>
    <row r="15" spans="1:22" ht="51" hidden="1">
      <c r="A15" s="9" t="s">
        <v>558</v>
      </c>
      <c r="B15" s="3" t="s">
        <v>559</v>
      </c>
      <c r="C15" s="3" t="s">
        <v>532</v>
      </c>
      <c r="D15" s="3" t="s">
        <v>754</v>
      </c>
      <c r="E15" s="3" t="s">
        <v>533</v>
      </c>
      <c r="F15" s="14">
        <v>44222</v>
      </c>
      <c r="G15" s="14">
        <v>44223</v>
      </c>
      <c r="H15" s="3" t="s">
        <v>755</v>
      </c>
      <c r="I15" s="15" t="s">
        <v>561</v>
      </c>
      <c r="J15" s="3" t="s">
        <v>756</v>
      </c>
      <c r="K15" s="15" t="s">
        <v>757</v>
      </c>
      <c r="L15" s="15" t="s">
        <v>758</v>
      </c>
      <c r="M15" s="1"/>
      <c r="N15" s="1"/>
      <c r="O15" s="1"/>
      <c r="P15" s="1"/>
      <c r="Q15" s="1"/>
      <c r="R15" s="1"/>
      <c r="S15" s="1"/>
      <c r="T15" s="1"/>
      <c r="U15" s="1"/>
      <c r="V15" s="1"/>
    </row>
    <row r="16" spans="1:22" ht="119">
      <c r="A16" s="13" t="s">
        <v>562</v>
      </c>
      <c r="B16" s="3" t="s">
        <v>759</v>
      </c>
      <c r="C16" s="3" t="s">
        <v>29</v>
      </c>
      <c r="D16" s="3" t="s">
        <v>505</v>
      </c>
      <c r="E16" s="3" t="s">
        <v>151</v>
      </c>
      <c r="F16" s="14">
        <v>44218</v>
      </c>
      <c r="G16" s="14">
        <v>44222</v>
      </c>
      <c r="H16" s="3" t="s">
        <v>22</v>
      </c>
      <c r="I16" s="15" t="s">
        <v>760</v>
      </c>
      <c r="J16" s="15" t="s">
        <v>564</v>
      </c>
      <c r="K16" s="15" t="s">
        <v>565</v>
      </c>
      <c r="L16" s="3" t="s">
        <v>566</v>
      </c>
      <c r="M16" s="1"/>
      <c r="N16" s="1"/>
      <c r="O16" s="1"/>
      <c r="P16" s="1"/>
      <c r="Q16" s="1"/>
      <c r="R16" s="1"/>
      <c r="S16" s="1"/>
      <c r="T16" s="1"/>
      <c r="U16" s="1"/>
      <c r="V16" s="1"/>
    </row>
    <row r="17" spans="1:22" ht="119" hidden="1">
      <c r="A17" s="9" t="s">
        <v>521</v>
      </c>
      <c r="B17" s="3" t="s">
        <v>522</v>
      </c>
      <c r="C17" s="3" t="s">
        <v>542</v>
      </c>
      <c r="D17" s="3" t="s">
        <v>609</v>
      </c>
      <c r="E17" s="3" t="s">
        <v>533</v>
      </c>
      <c r="F17" s="14">
        <v>44221</v>
      </c>
      <c r="G17" s="14"/>
      <c r="H17" s="3" t="s">
        <v>761</v>
      </c>
      <c r="I17" s="15" t="s">
        <v>762</v>
      </c>
      <c r="J17" s="3"/>
      <c r="K17" s="15" t="s">
        <v>763</v>
      </c>
      <c r="L17" s="3"/>
      <c r="M17" s="1"/>
      <c r="N17" s="1"/>
      <c r="O17" s="1"/>
      <c r="P17" s="1"/>
      <c r="Q17" s="1"/>
      <c r="R17" s="1"/>
      <c r="S17" s="1"/>
      <c r="T17" s="1"/>
      <c r="U17" s="1"/>
      <c r="V17" s="1"/>
    </row>
    <row r="18" spans="1:22" ht="102" hidden="1">
      <c r="A18" s="9" t="s">
        <v>467</v>
      </c>
      <c r="B18" s="3" t="s">
        <v>526</v>
      </c>
      <c r="C18" s="3" t="s">
        <v>541</v>
      </c>
      <c r="D18" s="3" t="s">
        <v>505</v>
      </c>
      <c r="E18" s="3" t="s">
        <v>530</v>
      </c>
      <c r="F18" s="14">
        <v>44221</v>
      </c>
      <c r="G18" s="3"/>
      <c r="H18" s="15" t="s">
        <v>567</v>
      </c>
      <c r="I18" s="15" t="s">
        <v>529</v>
      </c>
      <c r="J18" s="15" t="s">
        <v>764</v>
      </c>
      <c r="K18" s="15" t="s">
        <v>765</v>
      </c>
      <c r="L18" s="15" t="s">
        <v>568</v>
      </c>
      <c r="M18" s="1"/>
      <c r="N18" s="1"/>
      <c r="O18" s="1"/>
      <c r="P18" s="1"/>
      <c r="Q18" s="1"/>
      <c r="R18" s="1"/>
      <c r="S18" s="1"/>
      <c r="T18" s="1"/>
      <c r="U18" s="1"/>
      <c r="V18" s="1"/>
    </row>
    <row r="19" spans="1:22" ht="51">
      <c r="A19" s="13" t="s">
        <v>87</v>
      </c>
      <c r="B19" s="3" t="s">
        <v>569</v>
      </c>
      <c r="C19" s="3" t="s">
        <v>29</v>
      </c>
      <c r="D19" s="3" t="s">
        <v>570</v>
      </c>
      <c r="E19" s="3" t="s">
        <v>21</v>
      </c>
      <c r="F19" s="14">
        <v>44218</v>
      </c>
      <c r="G19" s="14">
        <v>44222</v>
      </c>
      <c r="H19" s="3" t="s">
        <v>22</v>
      </c>
      <c r="I19" s="15" t="s">
        <v>571</v>
      </c>
      <c r="J19" s="3" t="s">
        <v>572</v>
      </c>
      <c r="K19" s="3" t="s">
        <v>573</v>
      </c>
      <c r="L19" s="3" t="s">
        <v>574</v>
      </c>
      <c r="M19" s="1"/>
      <c r="N19" s="1"/>
      <c r="O19" s="1"/>
      <c r="P19" s="1"/>
      <c r="Q19" s="1"/>
      <c r="R19" s="1"/>
      <c r="S19" s="1"/>
      <c r="T19" s="1"/>
      <c r="U19" s="1"/>
      <c r="V19" s="1"/>
    </row>
    <row r="20" spans="1:22" ht="136">
      <c r="A20" s="13" t="s">
        <v>89</v>
      </c>
      <c r="B20" s="3" t="s">
        <v>575</v>
      </c>
      <c r="C20" s="3" t="s">
        <v>576</v>
      </c>
      <c r="D20" s="3" t="s">
        <v>652</v>
      </c>
      <c r="E20" s="3" t="s">
        <v>21</v>
      </c>
      <c r="F20" s="14">
        <v>44218</v>
      </c>
      <c r="G20" s="3"/>
      <c r="H20" s="3" t="s">
        <v>22</v>
      </c>
      <c r="I20" s="15" t="s">
        <v>577</v>
      </c>
      <c r="J20" s="3" t="s">
        <v>578</v>
      </c>
      <c r="K20" s="3" t="s">
        <v>468</v>
      </c>
      <c r="L20" s="3" t="s">
        <v>293</v>
      </c>
      <c r="M20" s="1"/>
      <c r="N20" s="1"/>
      <c r="O20" s="1"/>
      <c r="P20" s="1"/>
      <c r="Q20" s="1"/>
      <c r="R20" s="1"/>
      <c r="S20" s="1"/>
      <c r="T20" s="1"/>
      <c r="U20" s="1"/>
      <c r="V20" s="1"/>
    </row>
    <row r="21" spans="1:22">
      <c r="A21" s="13" t="s">
        <v>766</v>
      </c>
      <c r="B21" s="3" t="s">
        <v>767</v>
      </c>
      <c r="C21" s="3" t="s">
        <v>51</v>
      </c>
      <c r="D21" s="3" t="s">
        <v>651</v>
      </c>
      <c r="E21" s="3" t="s">
        <v>21</v>
      </c>
      <c r="F21" s="14">
        <v>44217</v>
      </c>
      <c r="G21" s="14">
        <v>44222</v>
      </c>
      <c r="H21" s="3" t="s">
        <v>22</v>
      </c>
      <c r="I21" s="3" t="s">
        <v>768</v>
      </c>
      <c r="J21" s="3" t="s">
        <v>22</v>
      </c>
      <c r="K21" s="3" t="s">
        <v>769</v>
      </c>
      <c r="L21" s="3"/>
      <c r="M21" s="1"/>
      <c r="N21" s="1"/>
      <c r="O21" s="1"/>
      <c r="P21" s="1"/>
      <c r="Q21" s="1"/>
      <c r="R21" s="1"/>
      <c r="S21" s="1"/>
      <c r="T21" s="1"/>
      <c r="U21" s="1"/>
      <c r="V21" s="1"/>
    </row>
    <row r="22" spans="1:22" ht="102">
      <c r="A22" s="13" t="s">
        <v>91</v>
      </c>
      <c r="B22" s="3" t="s">
        <v>469</v>
      </c>
      <c r="C22" s="3" t="s">
        <v>51</v>
      </c>
      <c r="D22" s="3"/>
      <c r="E22" s="3" t="s">
        <v>21</v>
      </c>
      <c r="F22" s="14">
        <v>44217</v>
      </c>
      <c r="G22" s="14">
        <v>44218</v>
      </c>
      <c r="H22" s="3" t="s">
        <v>22</v>
      </c>
      <c r="I22" s="15" t="s">
        <v>471</v>
      </c>
      <c r="J22" s="3" t="s">
        <v>22</v>
      </c>
      <c r="K22" s="3" t="s">
        <v>579</v>
      </c>
      <c r="L22" s="3" t="s">
        <v>580</v>
      </c>
      <c r="M22" s="1"/>
      <c r="N22" s="1"/>
      <c r="O22" s="1"/>
      <c r="P22" s="1"/>
      <c r="Q22" s="1"/>
      <c r="R22" s="1"/>
      <c r="S22" s="1"/>
      <c r="T22" s="1"/>
      <c r="U22" s="1"/>
      <c r="V22" s="1"/>
    </row>
    <row r="23" spans="1:22" ht="340" hidden="1">
      <c r="A23" s="9" t="s">
        <v>92</v>
      </c>
      <c r="B23" s="3" t="s">
        <v>581</v>
      </c>
      <c r="C23" s="3" t="s">
        <v>532</v>
      </c>
      <c r="D23" s="3" t="s">
        <v>770</v>
      </c>
      <c r="E23" s="3" t="s">
        <v>533</v>
      </c>
      <c r="F23" s="14">
        <v>44217</v>
      </c>
      <c r="G23" s="14">
        <v>44217</v>
      </c>
      <c r="H23" s="3" t="s">
        <v>525</v>
      </c>
      <c r="I23" s="15" t="s">
        <v>582</v>
      </c>
      <c r="J23" s="3"/>
      <c r="K23" s="15"/>
      <c r="L23" s="3"/>
      <c r="M23" s="1"/>
      <c r="N23" s="1"/>
      <c r="O23" s="1"/>
      <c r="P23" s="1"/>
      <c r="Q23" s="1"/>
      <c r="R23" s="1"/>
      <c r="S23" s="1"/>
      <c r="T23" s="1"/>
      <c r="U23" s="1"/>
      <c r="V23" s="1"/>
    </row>
    <row r="24" spans="1:22" ht="187">
      <c r="A24" s="13" t="s">
        <v>93</v>
      </c>
      <c r="B24" s="3" t="s">
        <v>771</v>
      </c>
      <c r="C24" s="3" t="s">
        <v>62</v>
      </c>
      <c r="D24" s="3" t="s">
        <v>466</v>
      </c>
      <c r="E24" s="3" t="s">
        <v>21</v>
      </c>
      <c r="F24" s="14">
        <v>44217</v>
      </c>
      <c r="G24" s="14">
        <v>44217</v>
      </c>
      <c r="H24" s="3" t="s">
        <v>22</v>
      </c>
      <c r="I24" s="15" t="s">
        <v>772</v>
      </c>
      <c r="J24" s="3"/>
      <c r="K24" s="3"/>
      <c r="L24" s="3" t="s">
        <v>94</v>
      </c>
      <c r="M24" s="1"/>
      <c r="N24" s="1"/>
      <c r="O24" s="1"/>
      <c r="P24" s="1"/>
      <c r="Q24" s="1"/>
      <c r="R24" s="1"/>
      <c r="S24" s="1"/>
      <c r="T24" s="1"/>
      <c r="U24" s="1"/>
      <c r="V24" s="1"/>
    </row>
    <row r="25" spans="1:22" ht="119" hidden="1">
      <c r="A25" s="9" t="s">
        <v>95</v>
      </c>
      <c r="B25" s="3" t="s">
        <v>531</v>
      </c>
      <c r="C25" s="3" t="s">
        <v>532</v>
      </c>
      <c r="D25" s="3" t="s">
        <v>466</v>
      </c>
      <c r="E25" s="3" t="s">
        <v>533</v>
      </c>
      <c r="F25" s="14">
        <v>44217</v>
      </c>
      <c r="G25" s="14">
        <v>44217</v>
      </c>
      <c r="H25" s="3" t="s">
        <v>525</v>
      </c>
      <c r="I25" s="15" t="s">
        <v>534</v>
      </c>
      <c r="J25" s="3"/>
      <c r="K25" s="3"/>
      <c r="L25" s="3"/>
      <c r="M25" s="1"/>
      <c r="N25" s="1"/>
      <c r="O25" s="1"/>
      <c r="P25" s="1"/>
      <c r="Q25" s="1"/>
      <c r="R25" s="1"/>
      <c r="S25" s="1"/>
      <c r="T25" s="1"/>
      <c r="U25" s="1"/>
      <c r="V25" s="1"/>
    </row>
    <row r="26" spans="1:22" ht="187">
      <c r="A26" s="13" t="s">
        <v>96</v>
      </c>
      <c r="B26" s="3" t="s">
        <v>583</v>
      </c>
      <c r="C26" s="3" t="s">
        <v>576</v>
      </c>
      <c r="D26" s="3"/>
      <c r="E26" s="3" t="s">
        <v>20</v>
      </c>
      <c r="F26" s="14">
        <v>44217</v>
      </c>
      <c r="G26" s="3"/>
      <c r="H26" s="3" t="s">
        <v>22</v>
      </c>
      <c r="I26" s="15" t="s">
        <v>584</v>
      </c>
      <c r="J26" s="3"/>
      <c r="K26" s="3"/>
      <c r="L26" s="3"/>
      <c r="M26" s="1"/>
      <c r="N26" s="1"/>
      <c r="O26" s="1"/>
      <c r="P26" s="1"/>
      <c r="Q26" s="1"/>
      <c r="R26" s="1"/>
      <c r="S26" s="1"/>
      <c r="T26" s="1"/>
      <c r="U26" s="1"/>
      <c r="V26" s="1"/>
    </row>
    <row r="27" spans="1:22" ht="409.6" hidden="1">
      <c r="A27" s="9" t="s">
        <v>97</v>
      </c>
      <c r="B27" s="3" t="s">
        <v>535</v>
      </c>
      <c r="C27" s="3" t="s">
        <v>563</v>
      </c>
      <c r="D27" s="3"/>
      <c r="E27" s="3" t="s">
        <v>546</v>
      </c>
      <c r="F27" s="14">
        <v>44216</v>
      </c>
      <c r="G27" s="14"/>
      <c r="H27" s="3"/>
      <c r="I27" s="15" t="s">
        <v>773</v>
      </c>
      <c r="J27" s="3"/>
      <c r="K27" s="15" t="s">
        <v>774</v>
      </c>
      <c r="L27" s="3"/>
      <c r="M27" s="1"/>
      <c r="N27" s="1"/>
      <c r="O27" s="1"/>
      <c r="P27" s="1"/>
      <c r="Q27" s="1"/>
      <c r="R27" s="1"/>
      <c r="S27" s="1"/>
      <c r="T27" s="1"/>
      <c r="U27" s="1"/>
      <c r="V27" s="1"/>
    </row>
    <row r="28" spans="1:22" ht="136" hidden="1">
      <c r="A28" s="9" t="s">
        <v>100</v>
      </c>
      <c r="B28" s="3" t="s">
        <v>585</v>
      </c>
      <c r="C28" s="3" t="s">
        <v>542</v>
      </c>
      <c r="D28" s="3" t="s">
        <v>775</v>
      </c>
      <c r="E28" s="3" t="s">
        <v>530</v>
      </c>
      <c r="F28" s="14">
        <v>44216</v>
      </c>
      <c r="G28" s="3"/>
      <c r="H28" s="15" t="s">
        <v>776</v>
      </c>
      <c r="I28" s="15" t="s">
        <v>586</v>
      </c>
      <c r="J28" s="15" t="s">
        <v>777</v>
      </c>
      <c r="K28" s="15" t="s">
        <v>472</v>
      </c>
      <c r="L28" s="15" t="s">
        <v>778</v>
      </c>
      <c r="M28" s="1"/>
      <c r="N28" s="1"/>
      <c r="O28" s="1"/>
      <c r="P28" s="1"/>
      <c r="Q28" s="1"/>
      <c r="R28" s="1"/>
      <c r="S28" s="1"/>
      <c r="T28" s="1"/>
      <c r="U28" s="1"/>
      <c r="V28" s="1"/>
    </row>
    <row r="29" spans="1:22" ht="102">
      <c r="A29" s="13" t="s">
        <v>101</v>
      </c>
      <c r="B29" s="3" t="s">
        <v>587</v>
      </c>
      <c r="C29" s="3" t="s">
        <v>62</v>
      </c>
      <c r="D29" s="3" t="s">
        <v>505</v>
      </c>
      <c r="E29" s="3" t="s">
        <v>21</v>
      </c>
      <c r="F29" s="14">
        <v>44216</v>
      </c>
      <c r="G29" s="14">
        <v>44216</v>
      </c>
      <c r="H29" s="3" t="s">
        <v>22</v>
      </c>
      <c r="I29" s="15" t="s">
        <v>588</v>
      </c>
      <c r="J29" s="3" t="s">
        <v>102</v>
      </c>
      <c r="K29" s="15" t="s">
        <v>103</v>
      </c>
      <c r="L29" s="3" t="s">
        <v>104</v>
      </c>
      <c r="M29" s="1"/>
      <c r="N29" s="1"/>
      <c r="O29" s="1"/>
      <c r="P29" s="1"/>
      <c r="Q29" s="1"/>
      <c r="R29" s="1"/>
      <c r="S29" s="1"/>
      <c r="T29" s="1"/>
      <c r="U29" s="1"/>
      <c r="V29" s="1"/>
    </row>
    <row r="30" spans="1:22" ht="153">
      <c r="A30" s="13" t="s">
        <v>105</v>
      </c>
      <c r="B30" s="3" t="s">
        <v>589</v>
      </c>
      <c r="C30" s="3" t="s">
        <v>29</v>
      </c>
      <c r="D30" s="3" t="s">
        <v>505</v>
      </c>
      <c r="E30" s="3" t="s">
        <v>21</v>
      </c>
      <c r="F30" s="14">
        <v>44215</v>
      </c>
      <c r="G30" s="14">
        <v>44222</v>
      </c>
      <c r="H30" s="3" t="s">
        <v>52</v>
      </c>
      <c r="I30" s="15" t="s">
        <v>590</v>
      </c>
      <c r="J30" s="3" t="s">
        <v>591</v>
      </c>
      <c r="K30" s="3" t="s">
        <v>592</v>
      </c>
      <c r="L30" s="3" t="s">
        <v>593</v>
      </c>
      <c r="M30" s="1"/>
      <c r="N30" s="1"/>
      <c r="O30" s="1"/>
      <c r="P30" s="1"/>
      <c r="Q30" s="1"/>
      <c r="R30" s="1"/>
      <c r="S30" s="1"/>
      <c r="T30" s="1"/>
      <c r="U30" s="1"/>
      <c r="V30" s="1"/>
    </row>
    <row r="31" spans="1:22" ht="119" hidden="1">
      <c r="A31" s="9" t="s">
        <v>107</v>
      </c>
      <c r="B31" s="3" t="s">
        <v>779</v>
      </c>
      <c r="C31" s="3" t="s">
        <v>640</v>
      </c>
      <c r="D31" s="3" t="s">
        <v>505</v>
      </c>
      <c r="E31" s="3" t="s">
        <v>533</v>
      </c>
      <c r="F31" s="14">
        <v>44215</v>
      </c>
      <c r="G31" s="14">
        <v>44222</v>
      </c>
      <c r="H31" s="3" t="s">
        <v>544</v>
      </c>
      <c r="I31" s="15" t="s">
        <v>780</v>
      </c>
      <c r="J31" s="15" t="s">
        <v>781</v>
      </c>
      <c r="K31" s="15" t="s">
        <v>594</v>
      </c>
      <c r="L31" s="3" t="s">
        <v>595</v>
      </c>
      <c r="M31" s="1"/>
      <c r="N31" s="1"/>
      <c r="O31" s="1"/>
      <c r="P31" s="1"/>
      <c r="Q31" s="1"/>
      <c r="R31" s="1"/>
      <c r="S31" s="1"/>
      <c r="T31" s="1"/>
      <c r="U31" s="1"/>
      <c r="V31" s="1"/>
    </row>
    <row r="32" spans="1:22" ht="51" hidden="1">
      <c r="A32" s="9" t="s">
        <v>108</v>
      </c>
      <c r="B32" s="3" t="s">
        <v>782</v>
      </c>
      <c r="C32" s="3" t="s">
        <v>783</v>
      </c>
      <c r="D32" s="3" t="s">
        <v>632</v>
      </c>
      <c r="E32" s="3" t="s">
        <v>533</v>
      </c>
      <c r="F32" s="14">
        <v>44215</v>
      </c>
      <c r="G32" s="14">
        <v>44217</v>
      </c>
      <c r="H32" s="3" t="s">
        <v>525</v>
      </c>
      <c r="I32" s="15" t="s">
        <v>784</v>
      </c>
      <c r="J32" s="15" t="s">
        <v>785</v>
      </c>
      <c r="K32" s="3" t="s">
        <v>786</v>
      </c>
      <c r="L32" s="3" t="s">
        <v>109</v>
      </c>
      <c r="M32" s="1"/>
      <c r="N32" s="1"/>
      <c r="O32" s="1"/>
      <c r="P32" s="1"/>
      <c r="Q32" s="1"/>
      <c r="R32" s="1"/>
      <c r="S32" s="1"/>
      <c r="T32" s="1"/>
      <c r="U32" s="1"/>
      <c r="V32" s="1"/>
    </row>
    <row r="33" spans="1:22" ht="34">
      <c r="A33" s="13" t="s">
        <v>110</v>
      </c>
      <c r="B33" s="3" t="s">
        <v>787</v>
      </c>
      <c r="C33" s="3" t="s">
        <v>51</v>
      </c>
      <c r="D33" s="3" t="s">
        <v>596</v>
      </c>
      <c r="E33" s="3" t="s">
        <v>21</v>
      </c>
      <c r="F33" s="14">
        <v>44215</v>
      </c>
      <c r="G33" s="14">
        <v>44215</v>
      </c>
      <c r="H33" s="3" t="s">
        <v>111</v>
      </c>
      <c r="I33" s="3" t="s">
        <v>788</v>
      </c>
      <c r="J33" s="3" t="s">
        <v>112</v>
      </c>
      <c r="K33" s="15" t="s">
        <v>113</v>
      </c>
      <c r="L33" s="3" t="s">
        <v>114</v>
      </c>
      <c r="M33" s="1"/>
      <c r="N33" s="1"/>
      <c r="O33" s="1"/>
      <c r="P33" s="1"/>
      <c r="Q33" s="1"/>
      <c r="R33" s="1"/>
      <c r="S33" s="1"/>
      <c r="T33" s="1"/>
      <c r="U33" s="1"/>
      <c r="V33" s="1"/>
    </row>
    <row r="34" spans="1:22" ht="119" hidden="1">
      <c r="A34" s="9" t="s">
        <v>115</v>
      </c>
      <c r="B34" s="3" t="s">
        <v>789</v>
      </c>
      <c r="C34" s="3" t="s">
        <v>532</v>
      </c>
      <c r="D34" s="3" t="s">
        <v>609</v>
      </c>
      <c r="E34" s="3" t="s">
        <v>533</v>
      </c>
      <c r="F34" s="14">
        <v>44214</v>
      </c>
      <c r="G34" s="14">
        <v>44217</v>
      </c>
      <c r="H34" s="3" t="s">
        <v>525</v>
      </c>
      <c r="I34" s="15" t="s">
        <v>790</v>
      </c>
      <c r="J34" s="3"/>
      <c r="K34" s="3"/>
      <c r="L34" s="3" t="s">
        <v>94</v>
      </c>
      <c r="M34" s="1"/>
      <c r="N34" s="1"/>
      <c r="O34" s="1"/>
      <c r="P34" s="1"/>
      <c r="Q34" s="1"/>
      <c r="R34" s="1"/>
      <c r="S34" s="1"/>
      <c r="T34" s="1"/>
      <c r="U34" s="1"/>
      <c r="V34" s="1"/>
    </row>
    <row r="35" spans="1:22" ht="51" hidden="1">
      <c r="A35" s="9" t="s">
        <v>116</v>
      </c>
      <c r="B35" s="3" t="s">
        <v>536</v>
      </c>
      <c r="C35" s="3" t="s">
        <v>532</v>
      </c>
      <c r="D35" s="3" t="s">
        <v>609</v>
      </c>
      <c r="E35" s="3" t="s">
        <v>533</v>
      </c>
      <c r="F35" s="14">
        <v>44214</v>
      </c>
      <c r="G35" s="14">
        <v>44217</v>
      </c>
      <c r="H35" s="3" t="s">
        <v>525</v>
      </c>
      <c r="I35" s="15" t="s">
        <v>537</v>
      </c>
      <c r="J35" s="3"/>
      <c r="K35" s="3"/>
      <c r="L35" s="3"/>
      <c r="M35" s="1"/>
      <c r="N35" s="1"/>
      <c r="O35" s="1"/>
      <c r="P35" s="1"/>
      <c r="Q35" s="1"/>
      <c r="R35" s="1"/>
      <c r="S35" s="1"/>
      <c r="T35" s="1"/>
      <c r="U35" s="1"/>
      <c r="V35" s="1"/>
    </row>
    <row r="36" spans="1:22" ht="136">
      <c r="A36" s="13" t="s">
        <v>117</v>
      </c>
      <c r="B36" s="3" t="s">
        <v>474</v>
      </c>
      <c r="C36" s="3" t="s">
        <v>576</v>
      </c>
      <c r="D36" s="3"/>
      <c r="E36" s="3" t="s">
        <v>20</v>
      </c>
      <c r="F36" s="14">
        <v>44214</v>
      </c>
      <c r="G36" s="3"/>
      <c r="H36" s="3" t="s">
        <v>22</v>
      </c>
      <c r="I36" s="15" t="s">
        <v>475</v>
      </c>
      <c r="J36" s="3"/>
      <c r="K36" s="3"/>
      <c r="L36" s="3" t="s">
        <v>94</v>
      </c>
      <c r="M36" s="1"/>
      <c r="N36" s="1"/>
      <c r="O36" s="1"/>
      <c r="P36" s="1"/>
      <c r="Q36" s="1"/>
      <c r="R36" s="1"/>
      <c r="S36" s="1"/>
      <c r="T36" s="1"/>
      <c r="U36" s="1"/>
      <c r="V36" s="1"/>
    </row>
    <row r="37" spans="1:22" ht="187" hidden="1">
      <c r="A37" s="9" t="s">
        <v>118</v>
      </c>
      <c r="B37" s="3" t="s">
        <v>538</v>
      </c>
      <c r="C37" s="3" t="s">
        <v>532</v>
      </c>
      <c r="D37" s="3" t="s">
        <v>466</v>
      </c>
      <c r="E37" s="3" t="s">
        <v>533</v>
      </c>
      <c r="F37" s="14">
        <v>44214</v>
      </c>
      <c r="G37" s="14">
        <v>44217</v>
      </c>
      <c r="H37" s="3" t="s">
        <v>525</v>
      </c>
      <c r="I37" s="15" t="s">
        <v>539</v>
      </c>
      <c r="J37" s="3" t="s">
        <v>791</v>
      </c>
      <c r="K37" s="15" t="s">
        <v>119</v>
      </c>
      <c r="L37" s="3"/>
      <c r="M37" s="1"/>
      <c r="N37" s="1"/>
      <c r="O37" s="1"/>
      <c r="P37" s="1"/>
      <c r="Q37" s="1"/>
      <c r="R37" s="1"/>
      <c r="S37" s="1"/>
      <c r="T37" s="1"/>
      <c r="U37" s="1"/>
      <c r="V37" s="1"/>
    </row>
    <row r="38" spans="1:22" ht="102">
      <c r="A38" s="13" t="s">
        <v>120</v>
      </c>
      <c r="B38" s="3" t="s">
        <v>792</v>
      </c>
      <c r="C38" s="3" t="s">
        <v>473</v>
      </c>
      <c r="D38" s="3"/>
      <c r="E38" s="3" t="s">
        <v>20</v>
      </c>
      <c r="F38" s="14">
        <v>44214</v>
      </c>
      <c r="G38" s="3"/>
      <c r="H38" s="3" t="s">
        <v>106</v>
      </c>
      <c r="I38" s="15" t="s">
        <v>793</v>
      </c>
      <c r="J38" s="3"/>
      <c r="K38" s="3"/>
      <c r="L38" s="3" t="s">
        <v>94</v>
      </c>
      <c r="M38" s="1"/>
      <c r="N38" s="1"/>
      <c r="O38" s="1"/>
      <c r="P38" s="1"/>
      <c r="Q38" s="1"/>
      <c r="R38" s="1"/>
      <c r="S38" s="1"/>
      <c r="T38" s="1"/>
      <c r="U38" s="1"/>
      <c r="V38" s="1"/>
    </row>
    <row r="39" spans="1:22" ht="272">
      <c r="A39" s="13" t="s">
        <v>121</v>
      </c>
      <c r="B39" s="3" t="s">
        <v>597</v>
      </c>
      <c r="C39" s="3" t="s">
        <v>62</v>
      </c>
      <c r="D39" s="3" t="s">
        <v>609</v>
      </c>
      <c r="E39" s="3" t="s">
        <v>21</v>
      </c>
      <c r="F39" s="14">
        <v>44214</v>
      </c>
      <c r="G39" s="14">
        <v>44217</v>
      </c>
      <c r="H39" s="3" t="s">
        <v>22</v>
      </c>
      <c r="I39" s="15" t="s">
        <v>598</v>
      </c>
      <c r="J39" s="3"/>
      <c r="K39" s="3"/>
      <c r="L39" s="3"/>
      <c r="M39" s="1"/>
      <c r="N39" s="1"/>
      <c r="O39" s="1"/>
      <c r="P39" s="1"/>
      <c r="Q39" s="1"/>
      <c r="R39" s="1"/>
      <c r="S39" s="1"/>
      <c r="T39" s="1"/>
      <c r="U39" s="1"/>
      <c r="V39" s="1"/>
    </row>
    <row r="40" spans="1:22" ht="102">
      <c r="A40" s="13" t="s">
        <v>122</v>
      </c>
      <c r="B40" s="3" t="s">
        <v>599</v>
      </c>
      <c r="C40" s="3" t="s">
        <v>576</v>
      </c>
      <c r="D40" s="3"/>
      <c r="E40" s="3" t="s">
        <v>20</v>
      </c>
      <c r="F40" s="14">
        <v>44214</v>
      </c>
      <c r="G40" s="3"/>
      <c r="H40" s="3" t="s">
        <v>22</v>
      </c>
      <c r="I40" s="15" t="s">
        <v>600</v>
      </c>
      <c r="J40" s="3"/>
      <c r="K40" s="3"/>
      <c r="L40" s="3"/>
      <c r="M40" s="1"/>
      <c r="N40" s="1"/>
      <c r="O40" s="1"/>
      <c r="P40" s="1"/>
      <c r="Q40" s="1"/>
      <c r="R40" s="1"/>
      <c r="S40" s="1"/>
      <c r="T40" s="1"/>
      <c r="U40" s="1"/>
      <c r="V40" s="1"/>
    </row>
    <row r="41" spans="1:22" ht="187" hidden="1">
      <c r="A41" s="9" t="s">
        <v>123</v>
      </c>
      <c r="B41" s="3" t="s">
        <v>601</v>
      </c>
      <c r="C41" s="3" t="s">
        <v>794</v>
      </c>
      <c r="D41" s="3"/>
      <c r="E41" s="3" t="s">
        <v>524</v>
      </c>
      <c r="F41" s="14">
        <v>44214</v>
      </c>
      <c r="G41" s="14"/>
      <c r="H41" s="3" t="s">
        <v>525</v>
      </c>
      <c r="I41" s="15" t="s">
        <v>602</v>
      </c>
      <c r="J41" s="15" t="s">
        <v>795</v>
      </c>
      <c r="K41" s="15"/>
      <c r="L41" s="15"/>
      <c r="M41" s="1"/>
      <c r="N41" s="1"/>
      <c r="O41" s="1"/>
      <c r="P41" s="1"/>
      <c r="Q41" s="1"/>
      <c r="R41" s="1"/>
      <c r="S41" s="1"/>
      <c r="T41" s="1"/>
      <c r="U41" s="1"/>
      <c r="V41" s="1"/>
    </row>
    <row r="42" spans="1:22" ht="136">
      <c r="A42" s="13" t="s">
        <v>124</v>
      </c>
      <c r="B42" s="3" t="s">
        <v>796</v>
      </c>
      <c r="C42" s="3" t="s">
        <v>62</v>
      </c>
      <c r="D42" s="15" t="s">
        <v>797</v>
      </c>
      <c r="E42" s="3" t="s">
        <v>21</v>
      </c>
      <c r="F42" s="14">
        <v>44214</v>
      </c>
      <c r="G42" s="14">
        <v>44217</v>
      </c>
      <c r="H42" s="3" t="s">
        <v>22</v>
      </c>
      <c r="I42" s="3" t="s">
        <v>798</v>
      </c>
      <c r="J42" s="3" t="s">
        <v>799</v>
      </c>
      <c r="K42" s="3" t="s">
        <v>800</v>
      </c>
      <c r="L42" s="3"/>
      <c r="M42" s="1"/>
      <c r="N42" s="1"/>
      <c r="O42" s="1"/>
      <c r="P42" s="1"/>
      <c r="Q42" s="1"/>
      <c r="R42" s="1"/>
      <c r="S42" s="1"/>
      <c r="T42" s="1"/>
      <c r="U42" s="1"/>
      <c r="V42" s="1"/>
    </row>
    <row r="43" spans="1:22" ht="323">
      <c r="A43" s="13" t="s">
        <v>125</v>
      </c>
      <c r="B43" s="3" t="s">
        <v>603</v>
      </c>
      <c r="C43" s="3" t="s">
        <v>62</v>
      </c>
      <c r="D43" s="3" t="s">
        <v>466</v>
      </c>
      <c r="E43" s="3" t="s">
        <v>21</v>
      </c>
      <c r="F43" s="14">
        <v>44214</v>
      </c>
      <c r="G43" s="14">
        <v>44217</v>
      </c>
      <c r="H43" s="3" t="s">
        <v>22</v>
      </c>
      <c r="I43" s="15" t="s">
        <v>604</v>
      </c>
      <c r="J43" s="3"/>
      <c r="K43" s="3"/>
      <c r="L43" s="3"/>
      <c r="M43" s="1"/>
      <c r="N43" s="1"/>
      <c r="O43" s="1"/>
      <c r="P43" s="1"/>
      <c r="Q43" s="1"/>
      <c r="R43" s="1"/>
      <c r="S43" s="1"/>
      <c r="T43" s="1"/>
      <c r="U43" s="1"/>
      <c r="V43" s="1"/>
    </row>
    <row r="44" spans="1:22" ht="340">
      <c r="A44" s="13" t="s">
        <v>126</v>
      </c>
      <c r="B44" s="3" t="s">
        <v>801</v>
      </c>
      <c r="C44" s="3" t="s">
        <v>476</v>
      </c>
      <c r="D44" s="3"/>
      <c r="E44" s="3" t="s">
        <v>20</v>
      </c>
      <c r="F44" s="14">
        <v>44214</v>
      </c>
      <c r="G44" s="3"/>
      <c r="H44" s="3" t="s">
        <v>22</v>
      </c>
      <c r="I44" s="15" t="s">
        <v>802</v>
      </c>
      <c r="J44" s="3" t="s">
        <v>803</v>
      </c>
      <c r="K44" s="3" t="s">
        <v>804</v>
      </c>
      <c r="L44" s="3"/>
      <c r="M44" s="1"/>
      <c r="N44" s="1"/>
      <c r="O44" s="1"/>
      <c r="P44" s="1"/>
      <c r="Q44" s="1"/>
      <c r="R44" s="1"/>
      <c r="S44" s="1"/>
      <c r="T44" s="1"/>
      <c r="U44" s="1"/>
      <c r="V44" s="1"/>
    </row>
    <row r="45" spans="1:22" ht="170" hidden="1">
      <c r="A45" s="9" t="s">
        <v>127</v>
      </c>
      <c r="B45" s="3" t="s">
        <v>605</v>
      </c>
      <c r="C45" s="3" t="s">
        <v>543</v>
      </c>
      <c r="D45" s="3" t="s">
        <v>805</v>
      </c>
      <c r="E45" s="3" t="s">
        <v>546</v>
      </c>
      <c r="F45" s="14">
        <v>44214</v>
      </c>
      <c r="G45" s="14"/>
      <c r="H45" s="3" t="s">
        <v>525</v>
      </c>
      <c r="I45" s="15" t="s">
        <v>806</v>
      </c>
      <c r="J45" s="3" t="s">
        <v>525</v>
      </c>
      <c r="K45" s="15"/>
      <c r="L45" s="15" t="s">
        <v>807</v>
      </c>
      <c r="M45" s="1"/>
      <c r="N45" s="1"/>
      <c r="O45" s="1"/>
      <c r="P45" s="1"/>
      <c r="Q45" s="1"/>
      <c r="R45" s="1"/>
      <c r="S45" s="1"/>
      <c r="T45" s="1"/>
      <c r="U45" s="1"/>
      <c r="V45" s="1"/>
    </row>
    <row r="46" spans="1:22" ht="68" hidden="1">
      <c r="A46" s="9" t="s">
        <v>129</v>
      </c>
      <c r="B46" s="3" t="s">
        <v>808</v>
      </c>
      <c r="C46" s="3" t="s">
        <v>532</v>
      </c>
      <c r="D46" s="3" t="s">
        <v>466</v>
      </c>
      <c r="E46" s="3" t="s">
        <v>533</v>
      </c>
      <c r="F46" s="14">
        <v>44214</v>
      </c>
      <c r="G46" s="14">
        <v>44217</v>
      </c>
      <c r="H46" s="3" t="s">
        <v>525</v>
      </c>
      <c r="I46" s="15" t="s">
        <v>809</v>
      </c>
      <c r="J46" s="15" t="s">
        <v>810</v>
      </c>
      <c r="K46" s="15" t="s">
        <v>811</v>
      </c>
      <c r="L46" s="3"/>
      <c r="M46" s="1"/>
      <c r="N46" s="1"/>
      <c r="O46" s="1"/>
      <c r="P46" s="1"/>
      <c r="Q46" s="1"/>
      <c r="R46" s="1"/>
      <c r="S46" s="1"/>
      <c r="T46" s="1"/>
      <c r="U46" s="1"/>
      <c r="V46" s="1"/>
    </row>
    <row r="47" spans="1:22" ht="119">
      <c r="A47" s="13" t="s">
        <v>130</v>
      </c>
      <c r="B47" s="3" t="s">
        <v>812</v>
      </c>
      <c r="C47" s="3" t="s">
        <v>576</v>
      </c>
      <c r="D47" s="3"/>
      <c r="E47" s="3" t="s">
        <v>20</v>
      </c>
      <c r="F47" s="14">
        <v>44214</v>
      </c>
      <c r="G47" s="3"/>
      <c r="H47" s="3" t="s">
        <v>22</v>
      </c>
      <c r="I47" s="15" t="s">
        <v>813</v>
      </c>
      <c r="J47" s="3" t="s">
        <v>478</v>
      </c>
      <c r="K47" s="3"/>
      <c r="L47" s="3"/>
      <c r="M47" s="1"/>
      <c r="N47" s="1"/>
      <c r="O47" s="1"/>
      <c r="P47" s="1"/>
      <c r="Q47" s="1"/>
      <c r="R47" s="1"/>
      <c r="S47" s="1"/>
      <c r="T47" s="1"/>
      <c r="U47" s="1"/>
      <c r="V47" s="1"/>
    </row>
    <row r="48" spans="1:22" ht="136">
      <c r="A48" s="13" t="s">
        <v>131</v>
      </c>
      <c r="B48" s="3" t="s">
        <v>479</v>
      </c>
      <c r="C48" s="3" t="s">
        <v>67</v>
      </c>
      <c r="D48" s="3" t="s">
        <v>505</v>
      </c>
      <c r="E48" s="3" t="s">
        <v>21</v>
      </c>
      <c r="F48" s="14">
        <v>44214</v>
      </c>
      <c r="G48" s="14">
        <v>44223</v>
      </c>
      <c r="H48" s="3" t="s">
        <v>52</v>
      </c>
      <c r="I48" s="15" t="s">
        <v>480</v>
      </c>
      <c r="J48" s="3" t="s">
        <v>606</v>
      </c>
      <c r="K48" s="3" t="s">
        <v>607</v>
      </c>
      <c r="L48" s="3" t="s">
        <v>132</v>
      </c>
      <c r="M48" s="1"/>
      <c r="N48" s="1"/>
      <c r="O48" s="1"/>
      <c r="P48" s="1"/>
      <c r="Q48" s="1"/>
      <c r="R48" s="1"/>
      <c r="S48" s="1"/>
      <c r="T48" s="1"/>
      <c r="U48" s="1"/>
      <c r="V48" s="1"/>
    </row>
    <row r="49" spans="1:22">
      <c r="A49" s="13" t="s">
        <v>133</v>
      </c>
      <c r="B49" s="3" t="s">
        <v>608</v>
      </c>
      <c r="C49" s="3" t="s">
        <v>62</v>
      </c>
      <c r="D49" s="3" t="s">
        <v>609</v>
      </c>
      <c r="E49" s="3" t="s">
        <v>21</v>
      </c>
      <c r="F49" s="14">
        <v>44214</v>
      </c>
      <c r="G49" s="14">
        <v>44214</v>
      </c>
      <c r="H49" s="3" t="s">
        <v>22</v>
      </c>
      <c r="I49" s="3" t="s">
        <v>610</v>
      </c>
      <c r="J49" s="3"/>
      <c r="K49" s="3"/>
      <c r="L49" s="3"/>
      <c r="M49" s="1"/>
      <c r="N49" s="1"/>
      <c r="O49" s="1"/>
      <c r="P49" s="1"/>
      <c r="Q49" s="1"/>
      <c r="R49" s="1"/>
      <c r="S49" s="1"/>
      <c r="T49" s="1"/>
      <c r="U49" s="1"/>
      <c r="V49" s="1"/>
    </row>
    <row r="50" spans="1:22" ht="119">
      <c r="A50" s="13" t="s">
        <v>134</v>
      </c>
      <c r="B50" s="3" t="s">
        <v>481</v>
      </c>
      <c r="C50" s="3" t="s">
        <v>67</v>
      </c>
      <c r="D50" s="3" t="s">
        <v>447</v>
      </c>
      <c r="E50" s="3" t="s">
        <v>21</v>
      </c>
      <c r="F50" s="14">
        <v>44214</v>
      </c>
      <c r="G50" s="14">
        <v>44223</v>
      </c>
      <c r="H50" s="3" t="s">
        <v>22</v>
      </c>
      <c r="I50" s="15" t="s">
        <v>482</v>
      </c>
      <c r="J50" s="3" t="s">
        <v>135</v>
      </c>
      <c r="K50" s="15" t="s">
        <v>483</v>
      </c>
      <c r="L50" s="3"/>
      <c r="M50" s="1"/>
      <c r="N50" s="1"/>
      <c r="O50" s="1"/>
      <c r="P50" s="1"/>
      <c r="Q50" s="1"/>
      <c r="R50" s="1"/>
      <c r="S50" s="1"/>
      <c r="T50" s="1"/>
      <c r="U50" s="1"/>
      <c r="V50" s="1"/>
    </row>
    <row r="51" spans="1:22" ht="238" hidden="1">
      <c r="A51" s="9" t="s">
        <v>136</v>
      </c>
      <c r="B51" s="3" t="s">
        <v>611</v>
      </c>
      <c r="C51" s="3" t="s">
        <v>541</v>
      </c>
      <c r="D51" s="3" t="s">
        <v>805</v>
      </c>
      <c r="E51" s="3" t="s">
        <v>533</v>
      </c>
      <c r="F51" s="14">
        <v>44214</v>
      </c>
      <c r="G51" s="14">
        <v>44218</v>
      </c>
      <c r="H51" s="3" t="s">
        <v>525</v>
      </c>
      <c r="I51" s="15" t="s">
        <v>612</v>
      </c>
      <c r="J51" s="3" t="s">
        <v>135</v>
      </c>
      <c r="K51" s="15" t="s">
        <v>613</v>
      </c>
      <c r="L51" s="15" t="s">
        <v>814</v>
      </c>
      <c r="M51" s="1"/>
      <c r="N51" s="1"/>
      <c r="O51" s="1"/>
      <c r="P51" s="1"/>
      <c r="Q51" s="1"/>
      <c r="R51" s="1"/>
      <c r="S51" s="1"/>
      <c r="T51" s="1"/>
      <c r="U51" s="1"/>
      <c r="V51" s="1"/>
    </row>
    <row r="52" spans="1:22" ht="272">
      <c r="A52" s="13" t="s">
        <v>137</v>
      </c>
      <c r="B52" s="3" t="s">
        <v>138</v>
      </c>
      <c r="C52" s="3" t="s">
        <v>67</v>
      </c>
      <c r="D52" s="3" t="s">
        <v>447</v>
      </c>
      <c r="E52" s="3" t="s">
        <v>21</v>
      </c>
      <c r="F52" s="14">
        <v>44211</v>
      </c>
      <c r="G52" s="14">
        <v>44218</v>
      </c>
      <c r="H52" s="3" t="s">
        <v>22</v>
      </c>
      <c r="I52" s="15" t="s">
        <v>139</v>
      </c>
      <c r="J52" s="15" t="s">
        <v>140</v>
      </c>
      <c r="K52" s="15" t="s">
        <v>141</v>
      </c>
      <c r="L52" s="3" t="s">
        <v>94</v>
      </c>
      <c r="M52" s="1"/>
      <c r="N52" s="1"/>
      <c r="O52" s="1"/>
      <c r="P52" s="1"/>
      <c r="Q52" s="1"/>
      <c r="R52" s="1"/>
      <c r="S52" s="1"/>
      <c r="T52" s="1"/>
      <c r="U52" s="1"/>
      <c r="V52" s="1"/>
    </row>
    <row r="53" spans="1:22" ht="102">
      <c r="A53" s="13" t="s">
        <v>142</v>
      </c>
      <c r="B53" s="3" t="s">
        <v>615</v>
      </c>
      <c r="C53" s="3" t="s">
        <v>99</v>
      </c>
      <c r="D53" s="3" t="s">
        <v>632</v>
      </c>
      <c r="E53" s="3" t="s">
        <v>21</v>
      </c>
      <c r="F53" s="14">
        <v>44211</v>
      </c>
      <c r="G53" s="14">
        <v>44216</v>
      </c>
      <c r="H53" s="3" t="s">
        <v>22</v>
      </c>
      <c r="I53" s="15" t="s">
        <v>616</v>
      </c>
      <c r="J53" s="15" t="s">
        <v>617</v>
      </c>
      <c r="K53" s="15" t="s">
        <v>143</v>
      </c>
      <c r="L53" s="3" t="s">
        <v>128</v>
      </c>
      <c r="M53" s="1"/>
      <c r="N53" s="1"/>
      <c r="O53" s="1"/>
      <c r="P53" s="1"/>
      <c r="Q53" s="1"/>
      <c r="R53" s="1"/>
      <c r="S53" s="1"/>
      <c r="T53" s="1"/>
      <c r="U53" s="1"/>
      <c r="V53" s="1"/>
    </row>
    <row r="54" spans="1:22" ht="153" hidden="1">
      <c r="A54" s="9" t="s">
        <v>144</v>
      </c>
      <c r="B54" s="3" t="s">
        <v>815</v>
      </c>
      <c r="C54" s="3" t="s">
        <v>554</v>
      </c>
      <c r="D54" s="3" t="s">
        <v>775</v>
      </c>
      <c r="E54" s="3" t="s">
        <v>546</v>
      </c>
      <c r="F54" s="14">
        <v>44211</v>
      </c>
      <c r="G54" s="14"/>
      <c r="H54" s="3" t="s">
        <v>816</v>
      </c>
      <c r="I54" s="15" t="s">
        <v>817</v>
      </c>
      <c r="J54" s="15" t="s">
        <v>816</v>
      </c>
      <c r="K54" s="15"/>
      <c r="L54" s="15" t="s">
        <v>818</v>
      </c>
      <c r="M54" s="1"/>
      <c r="N54" s="1"/>
      <c r="O54" s="1"/>
      <c r="P54" s="1"/>
      <c r="Q54" s="1"/>
      <c r="R54" s="1"/>
      <c r="S54" s="1"/>
      <c r="T54" s="1"/>
      <c r="U54" s="1"/>
      <c r="V54" s="1"/>
    </row>
    <row r="55" spans="1:22" ht="68">
      <c r="A55" s="13" t="s">
        <v>145</v>
      </c>
      <c r="B55" s="3" t="s">
        <v>819</v>
      </c>
      <c r="C55" s="3" t="s">
        <v>37</v>
      </c>
      <c r="D55" s="3" t="s">
        <v>618</v>
      </c>
      <c r="E55" s="3" t="s">
        <v>21</v>
      </c>
      <c r="F55" s="14">
        <v>44211</v>
      </c>
      <c r="G55" s="14">
        <v>44214</v>
      </c>
      <c r="H55" s="3" t="s">
        <v>22</v>
      </c>
      <c r="I55" s="15" t="s">
        <v>146</v>
      </c>
      <c r="J55" s="3" t="s">
        <v>820</v>
      </c>
      <c r="K55" s="3" t="s">
        <v>821</v>
      </c>
      <c r="L55" s="15" t="s">
        <v>147</v>
      </c>
      <c r="M55" s="1"/>
      <c r="N55" s="1"/>
      <c r="O55" s="1"/>
      <c r="P55" s="1"/>
      <c r="Q55" s="1"/>
      <c r="R55" s="1"/>
      <c r="S55" s="1"/>
      <c r="T55" s="1"/>
      <c r="U55" s="1"/>
      <c r="V55" s="1"/>
    </row>
    <row r="56" spans="1:22" ht="306" hidden="1">
      <c r="A56" s="9" t="s">
        <v>148</v>
      </c>
      <c r="B56" s="3" t="s">
        <v>619</v>
      </c>
      <c r="C56" s="3" t="s">
        <v>541</v>
      </c>
      <c r="D56" s="3" t="s">
        <v>447</v>
      </c>
      <c r="E56" s="3" t="s">
        <v>533</v>
      </c>
      <c r="F56" s="14">
        <v>44211</v>
      </c>
      <c r="G56" s="14">
        <v>44218</v>
      </c>
      <c r="H56" s="3" t="s">
        <v>525</v>
      </c>
      <c r="I56" s="15" t="s">
        <v>620</v>
      </c>
      <c r="J56" s="15" t="s">
        <v>621</v>
      </c>
      <c r="K56" s="15" t="s">
        <v>622</v>
      </c>
      <c r="L56" s="15" t="s">
        <v>614</v>
      </c>
      <c r="M56" s="1"/>
      <c r="N56" s="1"/>
      <c r="O56" s="1"/>
      <c r="P56" s="1"/>
      <c r="Q56" s="1"/>
      <c r="R56" s="1"/>
      <c r="S56" s="1"/>
      <c r="T56" s="1"/>
      <c r="U56" s="1"/>
      <c r="V56" s="1"/>
    </row>
    <row r="57" spans="1:22" ht="68">
      <c r="A57" s="13" t="s">
        <v>149</v>
      </c>
      <c r="B57" s="3" t="s">
        <v>623</v>
      </c>
      <c r="C57" s="3" t="s">
        <v>51</v>
      </c>
      <c r="D57" s="3" t="s">
        <v>505</v>
      </c>
      <c r="E57" s="3" t="s">
        <v>21</v>
      </c>
      <c r="F57" s="14">
        <v>44211</v>
      </c>
      <c r="G57" s="14">
        <v>44218</v>
      </c>
      <c r="H57" s="3" t="s">
        <v>22</v>
      </c>
      <c r="I57" s="3"/>
      <c r="J57" s="3" t="s">
        <v>624</v>
      </c>
      <c r="K57" s="3" t="s">
        <v>625</v>
      </c>
      <c r="L57" s="15" t="s">
        <v>626</v>
      </c>
      <c r="M57" s="1"/>
      <c r="N57" s="1"/>
      <c r="O57" s="1"/>
      <c r="P57" s="1"/>
      <c r="Q57" s="1"/>
      <c r="R57" s="1"/>
      <c r="S57" s="1"/>
      <c r="T57" s="1"/>
      <c r="U57" s="1"/>
      <c r="V57" s="1"/>
    </row>
    <row r="58" spans="1:22" ht="170">
      <c r="A58" s="13" t="s">
        <v>150</v>
      </c>
      <c r="B58" s="3" t="s">
        <v>627</v>
      </c>
      <c r="C58" s="3" t="s">
        <v>67</v>
      </c>
      <c r="D58" s="3" t="s">
        <v>447</v>
      </c>
      <c r="E58" s="3" t="s">
        <v>21</v>
      </c>
      <c r="F58" s="14">
        <v>44211</v>
      </c>
      <c r="G58" s="14">
        <v>44223</v>
      </c>
      <c r="H58" s="3" t="s">
        <v>22</v>
      </c>
      <c r="I58" s="15" t="s">
        <v>628</v>
      </c>
      <c r="J58" s="3" t="s">
        <v>22</v>
      </c>
      <c r="K58" s="15" t="s">
        <v>484</v>
      </c>
      <c r="L58" s="3" t="s">
        <v>132</v>
      </c>
      <c r="M58" s="1"/>
      <c r="N58" s="1"/>
      <c r="O58" s="1"/>
      <c r="P58" s="1"/>
      <c r="Q58" s="1"/>
      <c r="R58" s="1"/>
      <c r="S58" s="1"/>
      <c r="T58" s="1"/>
      <c r="U58" s="1"/>
      <c r="V58" s="1"/>
    </row>
    <row r="59" spans="1:22" ht="34" hidden="1">
      <c r="A59" s="9" t="s">
        <v>152</v>
      </c>
      <c r="B59" s="3" t="s">
        <v>822</v>
      </c>
      <c r="C59" s="3" t="s">
        <v>540</v>
      </c>
      <c r="D59" s="3" t="s">
        <v>447</v>
      </c>
      <c r="E59" s="3" t="s">
        <v>533</v>
      </c>
      <c r="F59" s="14">
        <v>44211</v>
      </c>
      <c r="G59" s="14"/>
      <c r="H59" s="3" t="s">
        <v>525</v>
      </c>
      <c r="I59" s="15" t="s">
        <v>823</v>
      </c>
      <c r="J59" s="15" t="s">
        <v>525</v>
      </c>
      <c r="K59" s="15"/>
      <c r="L59" s="15"/>
      <c r="M59" s="1"/>
      <c r="N59" s="1"/>
      <c r="O59" s="1"/>
      <c r="P59" s="1"/>
      <c r="Q59" s="1"/>
      <c r="R59" s="1"/>
      <c r="S59" s="1"/>
      <c r="T59" s="1"/>
      <c r="U59" s="1"/>
      <c r="V59" s="1"/>
    </row>
    <row r="60" spans="1:22" ht="409.6" hidden="1">
      <c r="A60" s="9" t="s">
        <v>153</v>
      </c>
      <c r="B60" s="3" t="s">
        <v>824</v>
      </c>
      <c r="C60" s="3" t="s">
        <v>543</v>
      </c>
      <c r="D60" s="3" t="s">
        <v>805</v>
      </c>
      <c r="E60" s="3" t="s">
        <v>533</v>
      </c>
      <c r="F60" s="14">
        <v>44211</v>
      </c>
      <c r="G60" s="14">
        <v>44218</v>
      </c>
      <c r="H60" s="3" t="s">
        <v>525</v>
      </c>
      <c r="I60" s="15" t="s">
        <v>825</v>
      </c>
      <c r="J60" s="15"/>
      <c r="K60" s="3"/>
      <c r="L60" s="15" t="s">
        <v>826</v>
      </c>
      <c r="M60" s="1"/>
      <c r="N60" s="1"/>
      <c r="O60" s="1"/>
      <c r="P60" s="1"/>
      <c r="Q60" s="1"/>
      <c r="R60" s="1"/>
      <c r="S60" s="1"/>
      <c r="T60" s="1"/>
      <c r="U60" s="1"/>
      <c r="V60" s="1"/>
    </row>
    <row r="61" spans="1:22" ht="136">
      <c r="A61" s="13" t="s">
        <v>154</v>
      </c>
      <c r="B61" s="3" t="s">
        <v>827</v>
      </c>
      <c r="C61" s="3" t="s">
        <v>70</v>
      </c>
      <c r="D61" s="3" t="s">
        <v>447</v>
      </c>
      <c r="E61" s="3" t="s">
        <v>21</v>
      </c>
      <c r="F61" s="14">
        <v>44211</v>
      </c>
      <c r="G61" s="14">
        <v>44216</v>
      </c>
      <c r="H61" s="3" t="s">
        <v>52</v>
      </c>
      <c r="I61" s="15" t="s">
        <v>828</v>
      </c>
      <c r="J61" s="3"/>
      <c r="K61" s="15" t="s">
        <v>829</v>
      </c>
      <c r="L61" s="15" t="s">
        <v>147</v>
      </c>
      <c r="M61" s="1"/>
      <c r="N61" s="1"/>
      <c r="O61" s="1"/>
      <c r="P61" s="1"/>
      <c r="Q61" s="1"/>
      <c r="R61" s="1"/>
      <c r="S61" s="1"/>
      <c r="T61" s="1"/>
      <c r="U61" s="1"/>
      <c r="V61" s="1"/>
    </row>
    <row r="62" spans="1:22" ht="409.6">
      <c r="A62" s="13" t="s">
        <v>155</v>
      </c>
      <c r="B62" s="3" t="s">
        <v>518</v>
      </c>
      <c r="C62" s="3" t="s">
        <v>51</v>
      </c>
      <c r="D62" s="3" t="s">
        <v>447</v>
      </c>
      <c r="E62" s="3" t="s">
        <v>21</v>
      </c>
      <c r="F62" s="14">
        <v>44211</v>
      </c>
      <c r="G62" s="14">
        <v>44221</v>
      </c>
      <c r="H62" s="3" t="s">
        <v>22</v>
      </c>
      <c r="I62" s="15" t="s">
        <v>519</v>
      </c>
      <c r="J62" s="3" t="s">
        <v>22</v>
      </c>
      <c r="K62" s="15" t="s">
        <v>520</v>
      </c>
      <c r="L62" s="15" t="s">
        <v>485</v>
      </c>
      <c r="M62" s="1"/>
      <c r="N62" s="1"/>
      <c r="O62" s="1"/>
      <c r="P62" s="1"/>
      <c r="Q62" s="1"/>
      <c r="R62" s="1"/>
      <c r="S62" s="1"/>
      <c r="T62" s="1"/>
      <c r="U62" s="1"/>
      <c r="V62" s="1"/>
    </row>
    <row r="63" spans="1:22" ht="68">
      <c r="A63" s="13" t="s">
        <v>156</v>
      </c>
      <c r="B63" s="3" t="s">
        <v>629</v>
      </c>
      <c r="C63" s="3" t="s">
        <v>51</v>
      </c>
      <c r="D63" s="3" t="s">
        <v>447</v>
      </c>
      <c r="E63" s="3" t="s">
        <v>21</v>
      </c>
      <c r="F63" s="14">
        <v>44211</v>
      </c>
      <c r="G63" s="14">
        <v>44221</v>
      </c>
      <c r="H63" s="3" t="s">
        <v>22</v>
      </c>
      <c r="I63" s="15" t="s">
        <v>630</v>
      </c>
      <c r="J63" s="3" t="s">
        <v>22</v>
      </c>
      <c r="K63" s="15" t="s">
        <v>631</v>
      </c>
      <c r="L63" s="3"/>
      <c r="M63" s="1"/>
      <c r="N63" s="1"/>
      <c r="O63" s="1"/>
      <c r="P63" s="1"/>
      <c r="Q63" s="1"/>
      <c r="R63" s="1"/>
      <c r="S63" s="1"/>
      <c r="T63" s="1"/>
      <c r="U63" s="1"/>
      <c r="V63" s="1"/>
    </row>
    <row r="64" spans="1:22" ht="68">
      <c r="A64" s="13" t="s">
        <v>157</v>
      </c>
      <c r="B64" s="3" t="s">
        <v>830</v>
      </c>
      <c r="C64" s="3" t="s">
        <v>51</v>
      </c>
      <c r="D64" s="3" t="s">
        <v>447</v>
      </c>
      <c r="E64" s="3" t="s">
        <v>21</v>
      </c>
      <c r="F64" s="14">
        <v>44211</v>
      </c>
      <c r="G64" s="14">
        <v>44223</v>
      </c>
      <c r="H64" s="3" t="s">
        <v>52</v>
      </c>
      <c r="I64" s="15" t="s">
        <v>831</v>
      </c>
      <c r="J64" s="3" t="s">
        <v>832</v>
      </c>
      <c r="K64" s="15" t="s">
        <v>833</v>
      </c>
      <c r="L64" s="15" t="s">
        <v>834</v>
      </c>
      <c r="M64" s="1"/>
      <c r="N64" s="1"/>
      <c r="O64" s="1"/>
      <c r="P64" s="1"/>
      <c r="Q64" s="1"/>
      <c r="R64" s="1"/>
      <c r="S64" s="1"/>
      <c r="T64" s="1"/>
      <c r="U64" s="1"/>
      <c r="V64" s="1"/>
    </row>
    <row r="65" spans="1:22">
      <c r="A65" s="13" t="s">
        <v>158</v>
      </c>
      <c r="B65" s="3" t="s">
        <v>159</v>
      </c>
      <c r="C65" s="3" t="s">
        <v>99</v>
      </c>
      <c r="D65" s="3" t="s">
        <v>632</v>
      </c>
      <c r="E65" s="3" t="s">
        <v>21</v>
      </c>
      <c r="F65" s="14">
        <v>44210</v>
      </c>
      <c r="G65" s="14">
        <v>44216</v>
      </c>
      <c r="H65" s="3" t="s">
        <v>22</v>
      </c>
      <c r="I65" s="3" t="s">
        <v>34</v>
      </c>
      <c r="J65" s="3"/>
      <c r="K65" s="3"/>
      <c r="L65" s="3" t="s">
        <v>35</v>
      </c>
      <c r="M65" s="1"/>
      <c r="N65" s="1"/>
      <c r="O65" s="1"/>
      <c r="P65" s="1"/>
      <c r="Q65" s="1"/>
      <c r="R65" s="1"/>
      <c r="S65" s="1"/>
      <c r="T65" s="1"/>
      <c r="U65" s="1"/>
      <c r="V65" s="1"/>
    </row>
    <row r="66" spans="1:22" ht="409.6">
      <c r="A66" s="13" t="s">
        <v>160</v>
      </c>
      <c r="B66" s="3" t="s">
        <v>835</v>
      </c>
      <c r="C66" s="3" t="s">
        <v>161</v>
      </c>
      <c r="D66" s="3" t="s">
        <v>447</v>
      </c>
      <c r="E66" s="3" t="s">
        <v>21</v>
      </c>
      <c r="F66" s="14">
        <v>44210</v>
      </c>
      <c r="G66" s="14">
        <v>44218</v>
      </c>
      <c r="H66" s="3" t="s">
        <v>22</v>
      </c>
      <c r="I66" s="15" t="s">
        <v>836</v>
      </c>
      <c r="J66" s="15" t="s">
        <v>837</v>
      </c>
      <c r="K66" s="15" t="s">
        <v>838</v>
      </c>
      <c r="L66" s="3" t="s">
        <v>839</v>
      </c>
      <c r="M66" s="1"/>
      <c r="N66" s="1"/>
      <c r="O66" s="1"/>
      <c r="P66" s="1"/>
      <c r="Q66" s="1"/>
      <c r="R66" s="1"/>
      <c r="S66" s="1"/>
      <c r="T66" s="1"/>
      <c r="U66" s="1"/>
      <c r="V66" s="1"/>
    </row>
    <row r="67" spans="1:22" ht="272">
      <c r="A67" s="13" t="s">
        <v>162</v>
      </c>
      <c r="B67" s="3" t="s">
        <v>486</v>
      </c>
      <c r="C67" s="3" t="s">
        <v>70</v>
      </c>
      <c r="D67" s="3" t="s">
        <v>505</v>
      </c>
      <c r="E67" s="3" t="s">
        <v>21</v>
      </c>
      <c r="F67" s="14">
        <v>44210</v>
      </c>
      <c r="G67" s="3"/>
      <c r="H67" s="3" t="s">
        <v>52</v>
      </c>
      <c r="I67" s="15" t="s">
        <v>487</v>
      </c>
      <c r="J67" s="15" t="s">
        <v>633</v>
      </c>
      <c r="K67" s="3" t="s">
        <v>634</v>
      </c>
      <c r="L67" s="15" t="s">
        <v>164</v>
      </c>
      <c r="M67" s="1"/>
      <c r="N67" s="1"/>
      <c r="O67" s="1"/>
      <c r="P67" s="1"/>
      <c r="Q67" s="1"/>
      <c r="R67" s="1"/>
      <c r="S67" s="1"/>
      <c r="T67" s="1"/>
      <c r="U67" s="1"/>
      <c r="V67" s="1"/>
    </row>
    <row r="68" spans="1:22" ht="68">
      <c r="A68" s="13" t="s">
        <v>165</v>
      </c>
      <c r="B68" s="3" t="s">
        <v>635</v>
      </c>
      <c r="C68" s="3" t="s">
        <v>70</v>
      </c>
      <c r="D68" s="3" t="s">
        <v>636</v>
      </c>
      <c r="E68" s="3" t="s">
        <v>21</v>
      </c>
      <c r="F68" s="14">
        <v>44210</v>
      </c>
      <c r="G68" s="14">
        <v>44216</v>
      </c>
      <c r="H68" s="3" t="s">
        <v>52</v>
      </c>
      <c r="I68" s="3" t="s">
        <v>637</v>
      </c>
      <c r="J68" s="3" t="s">
        <v>638</v>
      </c>
      <c r="K68" s="3" t="s">
        <v>639</v>
      </c>
      <c r="L68" s="15" t="s">
        <v>164</v>
      </c>
      <c r="M68" s="1"/>
      <c r="N68" s="1"/>
      <c r="O68" s="1"/>
      <c r="P68" s="1"/>
      <c r="Q68" s="1"/>
      <c r="R68" s="1"/>
      <c r="S68" s="1"/>
      <c r="T68" s="1"/>
      <c r="U68" s="1"/>
      <c r="V68" s="1"/>
    </row>
    <row r="69" spans="1:22" ht="68">
      <c r="A69" s="13" t="s">
        <v>166</v>
      </c>
      <c r="B69" s="3" t="s">
        <v>840</v>
      </c>
      <c r="C69" s="3" t="s">
        <v>29</v>
      </c>
      <c r="D69" s="3" t="s">
        <v>636</v>
      </c>
      <c r="E69" s="3" t="s">
        <v>477</v>
      </c>
      <c r="F69" s="14">
        <v>44210</v>
      </c>
      <c r="G69" s="3"/>
      <c r="H69" s="3" t="s">
        <v>22</v>
      </c>
      <c r="I69" s="3" t="s">
        <v>841</v>
      </c>
      <c r="J69" s="3" t="s">
        <v>842</v>
      </c>
      <c r="K69" s="3" t="s">
        <v>843</v>
      </c>
      <c r="L69" s="15" t="s">
        <v>164</v>
      </c>
      <c r="M69" s="1"/>
      <c r="N69" s="1"/>
      <c r="O69" s="1"/>
      <c r="P69" s="1"/>
      <c r="Q69" s="1"/>
      <c r="R69" s="1"/>
      <c r="S69" s="1"/>
      <c r="T69" s="1"/>
      <c r="U69" s="1"/>
      <c r="V69" s="1"/>
    </row>
    <row r="70" spans="1:22" ht="153" hidden="1">
      <c r="A70" s="9" t="s">
        <v>168</v>
      </c>
      <c r="B70" s="3" t="s">
        <v>641</v>
      </c>
      <c r="C70" s="3" t="s">
        <v>543</v>
      </c>
      <c r="D70" s="3" t="s">
        <v>722</v>
      </c>
      <c r="E70" s="3" t="s">
        <v>533</v>
      </c>
      <c r="F70" s="14">
        <v>44210</v>
      </c>
      <c r="G70" s="14">
        <v>44216</v>
      </c>
      <c r="H70" s="3" t="s">
        <v>525</v>
      </c>
      <c r="I70" s="15" t="s">
        <v>642</v>
      </c>
      <c r="J70" s="15" t="s">
        <v>643</v>
      </c>
      <c r="K70" s="15"/>
      <c r="L70" s="15" t="s">
        <v>545</v>
      </c>
      <c r="M70" s="1"/>
      <c r="N70" s="1"/>
      <c r="O70" s="1"/>
      <c r="P70" s="1"/>
      <c r="Q70" s="1"/>
      <c r="R70" s="1"/>
      <c r="S70" s="1"/>
      <c r="T70" s="1"/>
      <c r="U70" s="1"/>
      <c r="V70" s="1"/>
    </row>
    <row r="71" spans="1:22" ht="323">
      <c r="A71" s="13" t="s">
        <v>169</v>
      </c>
      <c r="B71" s="3" t="s">
        <v>644</v>
      </c>
      <c r="C71" s="3" t="s">
        <v>70</v>
      </c>
      <c r="D71" s="3" t="s">
        <v>636</v>
      </c>
      <c r="E71" s="3" t="s">
        <v>21</v>
      </c>
      <c r="F71" s="14">
        <v>44210</v>
      </c>
      <c r="G71" s="14">
        <v>44216</v>
      </c>
      <c r="H71" s="3" t="s">
        <v>22</v>
      </c>
      <c r="I71" s="15" t="s">
        <v>645</v>
      </c>
      <c r="J71" s="15" t="s">
        <v>646</v>
      </c>
      <c r="K71" s="15" t="s">
        <v>647</v>
      </c>
      <c r="L71" s="15" t="s">
        <v>164</v>
      </c>
      <c r="M71" s="1"/>
      <c r="N71" s="1"/>
      <c r="O71" s="1"/>
      <c r="P71" s="1"/>
      <c r="Q71" s="1"/>
      <c r="R71" s="1"/>
      <c r="S71" s="1"/>
      <c r="T71" s="1"/>
      <c r="U71" s="1"/>
      <c r="V71" s="1"/>
    </row>
    <row r="72" spans="1:22" ht="85">
      <c r="A72" s="13" t="s">
        <v>170</v>
      </c>
      <c r="B72" s="3" t="s">
        <v>648</v>
      </c>
      <c r="C72" s="3" t="s">
        <v>51</v>
      </c>
      <c r="D72" s="3" t="s">
        <v>652</v>
      </c>
      <c r="E72" s="3" t="s">
        <v>21</v>
      </c>
      <c r="F72" s="14">
        <v>44210</v>
      </c>
      <c r="G72" s="14">
        <v>44222</v>
      </c>
      <c r="H72" s="3" t="s">
        <v>52</v>
      </c>
      <c r="I72" s="3" t="s">
        <v>649</v>
      </c>
      <c r="J72" s="3" t="s">
        <v>488</v>
      </c>
      <c r="K72" s="3" t="s">
        <v>489</v>
      </c>
      <c r="L72" s="15" t="s">
        <v>650</v>
      </c>
      <c r="M72" s="1"/>
      <c r="N72" s="1"/>
      <c r="O72" s="1"/>
      <c r="P72" s="1"/>
      <c r="Q72" s="1"/>
      <c r="R72" s="1"/>
      <c r="S72" s="1"/>
      <c r="T72" s="1"/>
      <c r="U72" s="1"/>
      <c r="V72" s="1"/>
    </row>
    <row r="73" spans="1:22" ht="68" hidden="1">
      <c r="A73" s="9" t="s">
        <v>171</v>
      </c>
      <c r="B73" s="3" t="s">
        <v>844</v>
      </c>
      <c r="C73" s="3" t="s">
        <v>543</v>
      </c>
      <c r="D73" s="3"/>
      <c r="E73" s="3" t="s">
        <v>533</v>
      </c>
      <c r="F73" s="14">
        <v>44210</v>
      </c>
      <c r="G73" s="14"/>
      <c r="H73" s="3" t="s">
        <v>525</v>
      </c>
      <c r="I73" s="15" t="s">
        <v>845</v>
      </c>
      <c r="J73" s="15"/>
      <c r="K73" s="3"/>
      <c r="L73" s="15" t="s">
        <v>545</v>
      </c>
      <c r="M73" s="1"/>
      <c r="N73" s="1"/>
      <c r="O73" s="1"/>
      <c r="P73" s="1"/>
      <c r="Q73" s="1"/>
      <c r="R73" s="1"/>
      <c r="S73" s="1"/>
      <c r="T73" s="1"/>
      <c r="U73" s="1"/>
      <c r="V73" s="1"/>
    </row>
    <row r="74" spans="1:22" ht="187" hidden="1">
      <c r="A74" s="9" t="s">
        <v>172</v>
      </c>
      <c r="B74" s="3" t="s">
        <v>846</v>
      </c>
      <c r="C74" s="3" t="s">
        <v>543</v>
      </c>
      <c r="D74" s="3" t="s">
        <v>722</v>
      </c>
      <c r="E74" s="3" t="s">
        <v>533</v>
      </c>
      <c r="F74" s="14">
        <v>44210</v>
      </c>
      <c r="G74" s="14">
        <v>44216</v>
      </c>
      <c r="H74" s="3" t="s">
        <v>525</v>
      </c>
      <c r="I74" s="15" t="s">
        <v>847</v>
      </c>
      <c r="J74" s="15" t="s">
        <v>848</v>
      </c>
      <c r="K74" s="15" t="s">
        <v>849</v>
      </c>
      <c r="L74" s="15" t="s">
        <v>545</v>
      </c>
      <c r="M74" s="1"/>
      <c r="N74" s="1"/>
      <c r="O74" s="1"/>
      <c r="P74" s="1"/>
      <c r="Q74" s="1"/>
      <c r="R74" s="1"/>
      <c r="S74" s="1"/>
      <c r="T74" s="1"/>
      <c r="U74" s="1"/>
      <c r="V74" s="1"/>
    </row>
    <row r="75" spans="1:22" ht="34">
      <c r="A75" s="13" t="s">
        <v>173</v>
      </c>
      <c r="B75" s="3" t="s">
        <v>174</v>
      </c>
      <c r="C75" s="3" t="s">
        <v>51</v>
      </c>
      <c r="D75" s="3" t="s">
        <v>651</v>
      </c>
      <c r="E75" s="3" t="s">
        <v>21</v>
      </c>
      <c r="F75" s="14">
        <v>44210</v>
      </c>
      <c r="G75" s="14">
        <v>44211</v>
      </c>
      <c r="H75" s="3" t="s">
        <v>52</v>
      </c>
      <c r="I75" s="3" t="s">
        <v>175</v>
      </c>
      <c r="J75" s="3" t="s">
        <v>176</v>
      </c>
      <c r="K75" s="15" t="s">
        <v>177</v>
      </c>
      <c r="L75" s="3" t="s">
        <v>128</v>
      </c>
      <c r="M75" s="1"/>
      <c r="N75" s="1"/>
      <c r="O75" s="1"/>
      <c r="P75" s="1"/>
      <c r="Q75" s="1"/>
      <c r="R75" s="1"/>
      <c r="S75" s="1"/>
      <c r="T75" s="1"/>
      <c r="U75" s="1"/>
      <c r="V75" s="1"/>
    </row>
    <row r="76" spans="1:22" ht="388">
      <c r="A76" s="13" t="s">
        <v>178</v>
      </c>
      <c r="B76" s="3" t="s">
        <v>179</v>
      </c>
      <c r="C76" s="3" t="s">
        <v>161</v>
      </c>
      <c r="D76" s="3" t="s">
        <v>636</v>
      </c>
      <c r="E76" s="3" t="s">
        <v>21</v>
      </c>
      <c r="F76" s="14">
        <v>44210</v>
      </c>
      <c r="G76" s="14">
        <v>44216</v>
      </c>
      <c r="H76" s="3" t="s">
        <v>22</v>
      </c>
      <c r="I76" s="3" t="s">
        <v>180</v>
      </c>
      <c r="J76" s="15" t="s">
        <v>181</v>
      </c>
      <c r="K76" s="15" t="s">
        <v>182</v>
      </c>
      <c r="L76" s="15" t="s">
        <v>183</v>
      </c>
      <c r="M76" s="1"/>
      <c r="N76" s="1"/>
      <c r="O76" s="1"/>
      <c r="P76" s="1"/>
      <c r="Q76" s="1"/>
      <c r="R76" s="1"/>
      <c r="S76" s="1"/>
      <c r="T76" s="1"/>
      <c r="U76" s="1"/>
      <c r="V76" s="1"/>
    </row>
    <row r="77" spans="1:22">
      <c r="A77" s="13" t="s">
        <v>184</v>
      </c>
      <c r="B77" s="3" t="s">
        <v>185</v>
      </c>
      <c r="C77" s="3" t="s">
        <v>37</v>
      </c>
      <c r="D77" s="3" t="s">
        <v>652</v>
      </c>
      <c r="E77" s="3" t="s">
        <v>21</v>
      </c>
      <c r="F77" s="14">
        <v>44207</v>
      </c>
      <c r="G77" s="14">
        <v>44216</v>
      </c>
      <c r="H77" s="3" t="s">
        <v>22</v>
      </c>
      <c r="I77" s="3" t="s">
        <v>186</v>
      </c>
      <c r="J77" s="3"/>
      <c r="K77" s="3" t="s">
        <v>187</v>
      </c>
      <c r="L77" s="3" t="s">
        <v>188</v>
      </c>
      <c r="M77" s="1"/>
      <c r="N77" s="1"/>
      <c r="O77" s="1"/>
      <c r="P77" s="1"/>
      <c r="Q77" s="1"/>
      <c r="R77" s="1"/>
      <c r="S77" s="1"/>
      <c r="T77" s="1"/>
      <c r="U77" s="1"/>
      <c r="V77" s="1"/>
    </row>
    <row r="78" spans="1:22" ht="51" hidden="1">
      <c r="A78" s="9" t="s">
        <v>189</v>
      </c>
      <c r="B78" s="3" t="s">
        <v>850</v>
      </c>
      <c r="C78" s="3" t="s">
        <v>851</v>
      </c>
      <c r="D78" s="3" t="s">
        <v>852</v>
      </c>
      <c r="E78" s="3" t="s">
        <v>533</v>
      </c>
      <c r="F78" s="14">
        <v>44209</v>
      </c>
      <c r="G78" s="14">
        <v>44214</v>
      </c>
      <c r="H78" s="3" t="s">
        <v>544</v>
      </c>
      <c r="I78" s="15" t="s">
        <v>853</v>
      </c>
      <c r="J78" s="15" t="s">
        <v>854</v>
      </c>
      <c r="K78" s="3"/>
      <c r="L78" s="3" t="s">
        <v>855</v>
      </c>
      <c r="M78" s="1"/>
      <c r="N78" s="1"/>
      <c r="O78" s="1"/>
      <c r="P78" s="1"/>
      <c r="Q78" s="1"/>
      <c r="R78" s="1"/>
      <c r="S78" s="1"/>
      <c r="T78" s="1"/>
      <c r="U78" s="1"/>
      <c r="V78" s="1"/>
    </row>
    <row r="79" spans="1:22" ht="34" hidden="1">
      <c r="A79" s="9" t="s">
        <v>190</v>
      </c>
      <c r="B79" s="3" t="s">
        <v>856</v>
      </c>
      <c r="C79" s="3" t="s">
        <v>542</v>
      </c>
      <c r="D79" s="3" t="s">
        <v>857</v>
      </c>
      <c r="E79" s="3" t="s">
        <v>533</v>
      </c>
      <c r="F79" s="14">
        <v>44209</v>
      </c>
      <c r="G79" s="14">
        <v>44214</v>
      </c>
      <c r="H79" s="3" t="s">
        <v>525</v>
      </c>
      <c r="I79" s="15" t="s">
        <v>858</v>
      </c>
      <c r="J79" s="3" t="s">
        <v>191</v>
      </c>
      <c r="K79" s="3" t="s">
        <v>192</v>
      </c>
      <c r="L79" s="3" t="s">
        <v>128</v>
      </c>
      <c r="M79" s="1"/>
      <c r="N79" s="1"/>
      <c r="O79" s="1"/>
      <c r="P79" s="1"/>
      <c r="Q79" s="1"/>
      <c r="R79" s="1"/>
      <c r="S79" s="1"/>
      <c r="T79" s="1"/>
      <c r="U79" s="1"/>
      <c r="V79" s="1"/>
    </row>
    <row r="80" spans="1:22" ht="85">
      <c r="A80" s="13" t="s">
        <v>193</v>
      </c>
      <c r="B80" s="3" t="s">
        <v>859</v>
      </c>
      <c r="C80" s="3" t="s">
        <v>62</v>
      </c>
      <c r="D80" s="3" t="s">
        <v>505</v>
      </c>
      <c r="E80" s="3" t="s">
        <v>21</v>
      </c>
      <c r="F80" s="14">
        <v>44209</v>
      </c>
      <c r="G80" s="14">
        <v>44214</v>
      </c>
      <c r="H80" s="3" t="s">
        <v>22</v>
      </c>
      <c r="I80" s="15" t="s">
        <v>860</v>
      </c>
      <c r="J80" s="3" t="s">
        <v>194</v>
      </c>
      <c r="K80" s="3" t="s">
        <v>195</v>
      </c>
      <c r="L80" s="3" t="s">
        <v>196</v>
      </c>
      <c r="M80" s="1"/>
      <c r="N80" s="1"/>
      <c r="O80" s="1"/>
      <c r="P80" s="1"/>
      <c r="Q80" s="1"/>
      <c r="R80" s="1"/>
      <c r="S80" s="1"/>
      <c r="T80" s="1"/>
      <c r="U80" s="1"/>
      <c r="V80" s="1"/>
    </row>
    <row r="81" spans="1:22" ht="388" hidden="1">
      <c r="A81" s="9" t="s">
        <v>197</v>
      </c>
      <c r="B81" s="3" t="s">
        <v>861</v>
      </c>
      <c r="C81" s="3" t="s">
        <v>542</v>
      </c>
      <c r="D81" s="3" t="s">
        <v>653</v>
      </c>
      <c r="E81" s="3" t="s">
        <v>533</v>
      </c>
      <c r="F81" s="14">
        <v>44210</v>
      </c>
      <c r="G81" s="14">
        <v>44210</v>
      </c>
      <c r="H81" s="3" t="s">
        <v>544</v>
      </c>
      <c r="I81" s="15" t="s">
        <v>862</v>
      </c>
      <c r="J81" s="15" t="s">
        <v>863</v>
      </c>
      <c r="K81" s="3" t="s">
        <v>864</v>
      </c>
      <c r="L81" s="15" t="s">
        <v>198</v>
      </c>
      <c r="M81" s="1"/>
      <c r="N81" s="1"/>
      <c r="O81" s="1"/>
      <c r="P81" s="1"/>
      <c r="Q81" s="1"/>
      <c r="R81" s="1"/>
      <c r="S81" s="1"/>
      <c r="T81" s="1"/>
      <c r="U81" s="1"/>
      <c r="V81" s="1"/>
    </row>
    <row r="82" spans="1:22" ht="221">
      <c r="A82" s="13" t="s">
        <v>199</v>
      </c>
      <c r="B82" s="3" t="s">
        <v>654</v>
      </c>
      <c r="C82" s="3" t="s">
        <v>62</v>
      </c>
      <c r="D82" s="3" t="s">
        <v>505</v>
      </c>
      <c r="E82" s="3" t="s">
        <v>21</v>
      </c>
      <c r="F82" s="14">
        <v>44209</v>
      </c>
      <c r="G82" s="14">
        <v>44214</v>
      </c>
      <c r="H82" s="3" t="s">
        <v>22</v>
      </c>
      <c r="I82" s="15" t="s">
        <v>655</v>
      </c>
      <c r="J82" s="3" t="s">
        <v>200</v>
      </c>
      <c r="K82" s="15" t="s">
        <v>201</v>
      </c>
      <c r="L82" s="3" t="s">
        <v>196</v>
      </c>
      <c r="M82" s="1"/>
      <c r="N82" s="1"/>
      <c r="O82" s="1"/>
      <c r="P82" s="1"/>
      <c r="Q82" s="1"/>
      <c r="R82" s="1"/>
      <c r="S82" s="1"/>
      <c r="T82" s="1"/>
      <c r="U82" s="1"/>
      <c r="V82" s="1"/>
    </row>
    <row r="83" spans="1:22">
      <c r="A83" s="13" t="s">
        <v>202</v>
      </c>
      <c r="B83" s="3" t="s">
        <v>865</v>
      </c>
      <c r="C83" s="3" t="s">
        <v>51</v>
      </c>
      <c r="D83" s="3" t="s">
        <v>775</v>
      </c>
      <c r="E83" s="3" t="s">
        <v>21</v>
      </c>
      <c r="F83" s="14">
        <v>44209</v>
      </c>
      <c r="G83" s="14">
        <v>44222</v>
      </c>
      <c r="H83" s="3" t="s">
        <v>22</v>
      </c>
      <c r="I83" s="3" t="s">
        <v>866</v>
      </c>
      <c r="J83" s="3" t="s">
        <v>867</v>
      </c>
      <c r="K83" s="3" t="s">
        <v>868</v>
      </c>
      <c r="L83" s="3" t="s">
        <v>869</v>
      </c>
      <c r="M83" s="1"/>
      <c r="N83" s="1"/>
      <c r="O83" s="1"/>
      <c r="P83" s="1"/>
      <c r="Q83" s="1"/>
      <c r="R83" s="1"/>
      <c r="S83" s="1"/>
      <c r="T83" s="1"/>
      <c r="U83" s="1"/>
      <c r="V83" s="1"/>
    </row>
    <row r="84" spans="1:22">
      <c r="A84" s="13" t="s">
        <v>203</v>
      </c>
      <c r="B84" s="3" t="s">
        <v>870</v>
      </c>
      <c r="C84" s="3" t="s">
        <v>62</v>
      </c>
      <c r="D84" s="3" t="s">
        <v>505</v>
      </c>
      <c r="E84" s="3" t="s">
        <v>21</v>
      </c>
      <c r="F84" s="14">
        <v>44209</v>
      </c>
      <c r="G84" s="14">
        <v>44214</v>
      </c>
      <c r="H84" s="3" t="s">
        <v>22</v>
      </c>
      <c r="I84" s="3" t="s">
        <v>871</v>
      </c>
      <c r="J84" s="3" t="s">
        <v>872</v>
      </c>
      <c r="K84" s="3" t="s">
        <v>204</v>
      </c>
      <c r="L84" s="3" t="s">
        <v>196</v>
      </c>
      <c r="M84" s="1"/>
      <c r="N84" s="1"/>
      <c r="O84" s="1"/>
      <c r="P84" s="1"/>
      <c r="Q84" s="1"/>
      <c r="R84" s="1"/>
      <c r="S84" s="1"/>
      <c r="T84" s="1"/>
      <c r="U84" s="1"/>
      <c r="V84" s="1"/>
    </row>
    <row r="85" spans="1:22" ht="136">
      <c r="A85" s="13" t="s">
        <v>205</v>
      </c>
      <c r="B85" s="3" t="s">
        <v>656</v>
      </c>
      <c r="C85" s="3" t="s">
        <v>62</v>
      </c>
      <c r="D85" s="3" t="s">
        <v>505</v>
      </c>
      <c r="E85" s="3" t="s">
        <v>21</v>
      </c>
      <c r="F85" s="14">
        <v>44209</v>
      </c>
      <c r="G85" s="14">
        <v>44214</v>
      </c>
      <c r="H85" s="3" t="s">
        <v>22</v>
      </c>
      <c r="I85" s="15" t="s">
        <v>657</v>
      </c>
      <c r="J85" s="3" t="s">
        <v>194</v>
      </c>
      <c r="K85" s="3" t="s">
        <v>195</v>
      </c>
      <c r="L85" s="3" t="s">
        <v>196</v>
      </c>
      <c r="M85" s="1"/>
      <c r="N85" s="1"/>
      <c r="O85" s="1"/>
      <c r="P85" s="1"/>
      <c r="Q85" s="1"/>
      <c r="R85" s="1"/>
      <c r="S85" s="1"/>
      <c r="T85" s="1"/>
      <c r="U85" s="1"/>
      <c r="V85" s="1"/>
    </row>
    <row r="86" spans="1:22" ht="356">
      <c r="A86" s="13" t="s">
        <v>206</v>
      </c>
      <c r="B86" s="3" t="s">
        <v>658</v>
      </c>
      <c r="C86" s="3" t="s">
        <v>70</v>
      </c>
      <c r="D86" s="3" t="s">
        <v>447</v>
      </c>
      <c r="E86" s="3" t="s">
        <v>151</v>
      </c>
      <c r="F86" s="14">
        <v>44209</v>
      </c>
      <c r="G86" s="3"/>
      <c r="H86" s="3" t="s">
        <v>22</v>
      </c>
      <c r="I86" s="15" t="s">
        <v>659</v>
      </c>
      <c r="J86" s="15" t="s">
        <v>660</v>
      </c>
      <c r="K86" s="3"/>
      <c r="L86" s="15" t="s">
        <v>490</v>
      </c>
      <c r="M86" s="1"/>
      <c r="N86" s="1"/>
      <c r="O86" s="1"/>
      <c r="P86" s="1"/>
      <c r="Q86" s="1"/>
      <c r="R86" s="1"/>
      <c r="S86" s="1"/>
      <c r="T86" s="1"/>
      <c r="U86" s="1"/>
      <c r="V86" s="1"/>
    </row>
    <row r="87" spans="1:22" ht="409.6">
      <c r="A87" s="13" t="s">
        <v>207</v>
      </c>
      <c r="B87" s="3" t="s">
        <v>491</v>
      </c>
      <c r="C87" s="3" t="s">
        <v>51</v>
      </c>
      <c r="D87" s="3"/>
      <c r="E87" s="3" t="s">
        <v>21</v>
      </c>
      <c r="F87" s="14">
        <v>44209</v>
      </c>
      <c r="G87" s="14">
        <v>44223</v>
      </c>
      <c r="H87" s="3" t="s">
        <v>22</v>
      </c>
      <c r="I87" s="15" t="s">
        <v>492</v>
      </c>
      <c r="J87" s="15" t="s">
        <v>493</v>
      </c>
      <c r="K87" s="15" t="s">
        <v>494</v>
      </c>
      <c r="L87" s="15" t="s">
        <v>490</v>
      </c>
      <c r="M87" s="1"/>
      <c r="N87" s="1"/>
      <c r="O87" s="1"/>
      <c r="P87" s="1"/>
      <c r="Q87" s="1"/>
      <c r="R87" s="1"/>
      <c r="S87" s="1"/>
      <c r="T87" s="1"/>
      <c r="U87" s="1"/>
      <c r="V87" s="1"/>
    </row>
    <row r="88" spans="1:22" ht="34" hidden="1">
      <c r="A88" s="9" t="s">
        <v>208</v>
      </c>
      <c r="B88" s="3" t="s">
        <v>661</v>
      </c>
      <c r="C88" s="3" t="s">
        <v>532</v>
      </c>
      <c r="D88" s="3" t="s">
        <v>873</v>
      </c>
      <c r="E88" s="3" t="s">
        <v>533</v>
      </c>
      <c r="F88" s="14">
        <v>44209</v>
      </c>
      <c r="G88" s="14">
        <v>44216</v>
      </c>
      <c r="H88" s="3" t="s">
        <v>525</v>
      </c>
      <c r="I88" s="15" t="s">
        <v>662</v>
      </c>
      <c r="J88" s="3" t="s">
        <v>874</v>
      </c>
      <c r="K88" s="15" t="s">
        <v>875</v>
      </c>
      <c r="L88" s="3" t="s">
        <v>663</v>
      </c>
      <c r="M88" s="1"/>
      <c r="N88" s="1"/>
      <c r="O88" s="1"/>
      <c r="P88" s="1"/>
      <c r="Q88" s="1"/>
      <c r="R88" s="1"/>
      <c r="S88" s="1"/>
      <c r="T88" s="1"/>
      <c r="U88" s="1"/>
      <c r="V88" s="1"/>
    </row>
    <row r="89" spans="1:22" ht="136">
      <c r="A89" s="13" t="s">
        <v>209</v>
      </c>
      <c r="B89" s="3" t="s">
        <v>876</v>
      </c>
      <c r="C89" s="3" t="s">
        <v>210</v>
      </c>
      <c r="D89" s="3" t="s">
        <v>653</v>
      </c>
      <c r="E89" s="3" t="s">
        <v>21</v>
      </c>
      <c r="F89" s="14">
        <v>44209</v>
      </c>
      <c r="G89" s="14">
        <v>44209</v>
      </c>
      <c r="H89" s="3" t="s">
        <v>22</v>
      </c>
      <c r="I89" s="15" t="s">
        <v>877</v>
      </c>
      <c r="J89" s="3"/>
      <c r="K89" s="3"/>
      <c r="L89" s="3"/>
      <c r="M89" s="1"/>
      <c r="N89" s="1"/>
      <c r="O89" s="1"/>
      <c r="P89" s="1"/>
      <c r="Q89" s="1"/>
      <c r="R89" s="1"/>
      <c r="S89" s="1"/>
      <c r="T89" s="1"/>
      <c r="U89" s="1"/>
      <c r="V89" s="1"/>
    </row>
    <row r="90" spans="1:22" ht="204">
      <c r="A90" s="13" t="s">
        <v>211</v>
      </c>
      <c r="B90" s="3" t="s">
        <v>664</v>
      </c>
      <c r="C90" s="3" t="s">
        <v>62</v>
      </c>
      <c r="D90" s="3" t="s">
        <v>665</v>
      </c>
      <c r="E90" s="3" t="s">
        <v>21</v>
      </c>
      <c r="F90" s="14">
        <v>44209</v>
      </c>
      <c r="G90" s="14">
        <v>44216</v>
      </c>
      <c r="H90" s="3" t="s">
        <v>52</v>
      </c>
      <c r="I90" s="15" t="s">
        <v>666</v>
      </c>
      <c r="J90" s="3"/>
      <c r="K90" s="3"/>
      <c r="L90" s="3" t="s">
        <v>212</v>
      </c>
      <c r="M90" s="1"/>
      <c r="N90" s="1"/>
      <c r="O90" s="1"/>
      <c r="P90" s="1"/>
      <c r="Q90" s="1"/>
      <c r="R90" s="1"/>
      <c r="S90" s="1"/>
      <c r="T90" s="1"/>
      <c r="U90" s="1"/>
      <c r="V90" s="1"/>
    </row>
    <row r="91" spans="1:22" ht="255" hidden="1">
      <c r="A91" s="9" t="s">
        <v>213</v>
      </c>
      <c r="B91" s="3" t="s">
        <v>547</v>
      </c>
      <c r="C91" s="3" t="s">
        <v>532</v>
      </c>
      <c r="D91" s="3" t="s">
        <v>668</v>
      </c>
      <c r="E91" s="3" t="s">
        <v>533</v>
      </c>
      <c r="F91" s="14">
        <v>44209</v>
      </c>
      <c r="G91" s="14">
        <v>44222</v>
      </c>
      <c r="H91" s="3" t="s">
        <v>528</v>
      </c>
      <c r="I91" s="15" t="s">
        <v>548</v>
      </c>
      <c r="J91" s="15" t="s">
        <v>878</v>
      </c>
      <c r="K91" s="15" t="s">
        <v>667</v>
      </c>
      <c r="L91" s="3"/>
      <c r="M91" s="1"/>
      <c r="N91" s="1"/>
      <c r="O91" s="1"/>
      <c r="P91" s="1"/>
      <c r="Q91" s="1"/>
      <c r="R91" s="1"/>
      <c r="S91" s="1"/>
      <c r="T91" s="1"/>
      <c r="U91" s="1"/>
      <c r="V91" s="1"/>
    </row>
    <row r="92" spans="1:22" ht="204" hidden="1">
      <c r="A92" s="9" t="s">
        <v>214</v>
      </c>
      <c r="B92" s="3" t="s">
        <v>879</v>
      </c>
      <c r="C92" s="3" t="s">
        <v>532</v>
      </c>
      <c r="D92" s="3" t="s">
        <v>668</v>
      </c>
      <c r="E92" s="3" t="s">
        <v>533</v>
      </c>
      <c r="F92" s="14">
        <v>44208</v>
      </c>
      <c r="G92" s="14">
        <v>44222</v>
      </c>
      <c r="H92" s="3" t="s">
        <v>525</v>
      </c>
      <c r="I92" s="15" t="s">
        <v>880</v>
      </c>
      <c r="J92" s="15" t="s">
        <v>881</v>
      </c>
      <c r="K92" s="15" t="s">
        <v>882</v>
      </c>
      <c r="L92" s="15" t="s">
        <v>673</v>
      </c>
      <c r="M92" s="1"/>
      <c r="N92" s="1"/>
      <c r="O92" s="1"/>
      <c r="P92" s="1"/>
      <c r="Q92" s="1"/>
      <c r="R92" s="1"/>
      <c r="S92" s="1"/>
      <c r="T92" s="1"/>
      <c r="U92" s="1"/>
      <c r="V92" s="1"/>
    </row>
    <row r="93" spans="1:22" ht="136" hidden="1">
      <c r="A93" s="9" t="s">
        <v>216</v>
      </c>
      <c r="B93" s="3" t="s">
        <v>883</v>
      </c>
      <c r="C93" s="3" t="s">
        <v>532</v>
      </c>
      <c r="D93" s="3" t="s">
        <v>505</v>
      </c>
      <c r="E93" s="3" t="s">
        <v>533</v>
      </c>
      <c r="F93" s="14">
        <v>44209</v>
      </c>
      <c r="G93" s="14">
        <v>44216</v>
      </c>
      <c r="H93" s="3" t="s">
        <v>525</v>
      </c>
      <c r="I93" s="15" t="s">
        <v>884</v>
      </c>
      <c r="J93" s="15" t="s">
        <v>885</v>
      </c>
      <c r="K93" s="15" t="s">
        <v>886</v>
      </c>
      <c r="L93" s="3" t="s">
        <v>104</v>
      </c>
      <c r="M93" s="1"/>
      <c r="N93" s="1"/>
      <c r="O93" s="1"/>
      <c r="P93" s="1"/>
      <c r="Q93" s="1"/>
      <c r="R93" s="1"/>
      <c r="S93" s="1"/>
      <c r="T93" s="1"/>
      <c r="U93" s="1"/>
      <c r="V93" s="1"/>
    </row>
    <row r="94" spans="1:22" ht="34" hidden="1">
      <c r="A94" s="9" t="s">
        <v>219</v>
      </c>
      <c r="B94" s="3" t="s">
        <v>887</v>
      </c>
      <c r="C94" s="3" t="s">
        <v>554</v>
      </c>
      <c r="D94" s="3"/>
      <c r="E94" s="3" t="s">
        <v>546</v>
      </c>
      <c r="F94" s="14"/>
      <c r="G94" s="14"/>
      <c r="H94" s="3" t="s">
        <v>525</v>
      </c>
      <c r="I94" s="15" t="s">
        <v>888</v>
      </c>
      <c r="J94" s="3"/>
      <c r="K94" s="15"/>
      <c r="L94" s="3"/>
      <c r="M94" s="1"/>
      <c r="N94" s="1"/>
      <c r="O94" s="1"/>
      <c r="P94" s="1"/>
      <c r="Q94" s="1"/>
      <c r="R94" s="1"/>
      <c r="S94" s="1"/>
      <c r="T94" s="1"/>
      <c r="U94" s="1"/>
      <c r="V94" s="1"/>
    </row>
    <row r="95" spans="1:22" ht="51" hidden="1">
      <c r="A95" s="9" t="s">
        <v>220</v>
      </c>
      <c r="B95" s="3" t="s">
        <v>889</v>
      </c>
      <c r="C95" s="3" t="s">
        <v>542</v>
      </c>
      <c r="D95" s="3" t="s">
        <v>636</v>
      </c>
      <c r="E95" s="3" t="s">
        <v>533</v>
      </c>
      <c r="F95" s="14">
        <v>44209</v>
      </c>
      <c r="G95" s="14">
        <v>44215</v>
      </c>
      <c r="H95" s="3" t="s">
        <v>544</v>
      </c>
      <c r="I95" s="15" t="s">
        <v>890</v>
      </c>
      <c r="J95" s="15" t="s">
        <v>891</v>
      </c>
      <c r="K95" s="15" t="s">
        <v>221</v>
      </c>
      <c r="L95" s="3"/>
      <c r="M95" s="1"/>
      <c r="N95" s="1"/>
      <c r="O95" s="1"/>
      <c r="P95" s="1"/>
      <c r="Q95" s="1"/>
      <c r="R95" s="1"/>
      <c r="S95" s="1"/>
      <c r="T95" s="1"/>
      <c r="U95" s="1"/>
      <c r="V95" s="1"/>
    </row>
    <row r="96" spans="1:22" ht="85" hidden="1">
      <c r="A96" s="9" t="s">
        <v>222</v>
      </c>
      <c r="B96" s="3" t="s">
        <v>892</v>
      </c>
      <c r="C96" s="3" t="s">
        <v>532</v>
      </c>
      <c r="D96" s="3" t="s">
        <v>873</v>
      </c>
      <c r="E96" s="3" t="s">
        <v>533</v>
      </c>
      <c r="F96" s="14">
        <v>44209</v>
      </c>
      <c r="G96" s="14">
        <v>44216</v>
      </c>
      <c r="H96" s="3" t="s">
        <v>525</v>
      </c>
      <c r="I96" s="15" t="s">
        <v>893</v>
      </c>
      <c r="J96" s="3" t="s">
        <v>885</v>
      </c>
      <c r="K96" s="15" t="s">
        <v>894</v>
      </c>
      <c r="L96" s="3" t="s">
        <v>663</v>
      </c>
      <c r="M96" s="1"/>
      <c r="N96" s="1"/>
      <c r="O96" s="1"/>
      <c r="P96" s="1"/>
      <c r="Q96" s="1"/>
      <c r="R96" s="1"/>
      <c r="S96" s="1"/>
      <c r="T96" s="1"/>
      <c r="U96" s="1"/>
      <c r="V96" s="1"/>
    </row>
    <row r="97" spans="1:22" ht="409.6">
      <c r="A97" s="13" t="s">
        <v>223</v>
      </c>
      <c r="B97" s="3" t="s">
        <v>224</v>
      </c>
      <c r="C97" s="3" t="s">
        <v>167</v>
      </c>
      <c r="D97" s="3" t="s">
        <v>636</v>
      </c>
      <c r="E97" s="3" t="s">
        <v>21</v>
      </c>
      <c r="F97" s="14">
        <v>44209</v>
      </c>
      <c r="G97" s="14">
        <v>44209</v>
      </c>
      <c r="H97" s="3" t="s">
        <v>22</v>
      </c>
      <c r="I97" s="15" t="s">
        <v>225</v>
      </c>
      <c r="J97" s="3" t="s">
        <v>226</v>
      </c>
      <c r="K97" s="3" t="s">
        <v>227</v>
      </c>
      <c r="L97" s="3" t="s">
        <v>42</v>
      </c>
      <c r="M97" s="1"/>
      <c r="N97" s="1"/>
      <c r="O97" s="1"/>
      <c r="P97" s="1"/>
      <c r="Q97" s="1"/>
      <c r="R97" s="1"/>
      <c r="S97" s="1"/>
      <c r="T97" s="1"/>
      <c r="U97" s="1"/>
      <c r="V97" s="1"/>
    </row>
    <row r="98" spans="1:22" ht="340">
      <c r="A98" s="13" t="s">
        <v>228</v>
      </c>
      <c r="B98" s="3" t="s">
        <v>895</v>
      </c>
      <c r="C98" s="3" t="s">
        <v>62</v>
      </c>
      <c r="D98" s="3" t="s">
        <v>505</v>
      </c>
      <c r="E98" s="3" t="s">
        <v>21</v>
      </c>
      <c r="F98" s="14">
        <v>44209</v>
      </c>
      <c r="G98" s="14">
        <v>44214</v>
      </c>
      <c r="H98" s="3" t="s">
        <v>52</v>
      </c>
      <c r="I98" s="15" t="s">
        <v>896</v>
      </c>
      <c r="J98" s="3" t="s">
        <v>229</v>
      </c>
      <c r="K98" s="3" t="s">
        <v>897</v>
      </c>
      <c r="L98" s="3" t="s">
        <v>898</v>
      </c>
      <c r="M98" s="1"/>
      <c r="N98" s="1"/>
      <c r="O98" s="1"/>
      <c r="P98" s="1"/>
      <c r="Q98" s="1"/>
      <c r="R98" s="1"/>
      <c r="S98" s="1"/>
      <c r="T98" s="1"/>
      <c r="U98" s="1"/>
      <c r="V98" s="1"/>
    </row>
    <row r="99" spans="1:22" ht="68">
      <c r="A99" s="13" t="s">
        <v>230</v>
      </c>
      <c r="B99" s="3" t="s">
        <v>231</v>
      </c>
      <c r="C99" s="3" t="s">
        <v>62</v>
      </c>
      <c r="D99" s="3" t="s">
        <v>505</v>
      </c>
      <c r="E99" s="3" t="s">
        <v>21</v>
      </c>
      <c r="F99" s="14">
        <v>44209</v>
      </c>
      <c r="G99" s="14">
        <v>44216</v>
      </c>
      <c r="H99" s="3" t="s">
        <v>22</v>
      </c>
      <c r="I99" s="15" t="s">
        <v>232</v>
      </c>
      <c r="J99" s="3" t="s">
        <v>217</v>
      </c>
      <c r="K99" s="3" t="s">
        <v>218</v>
      </c>
      <c r="L99" s="3" t="s">
        <v>104</v>
      </c>
      <c r="M99" s="1"/>
      <c r="N99" s="1"/>
      <c r="O99" s="1"/>
      <c r="P99" s="1"/>
      <c r="Q99" s="1"/>
      <c r="R99" s="1"/>
      <c r="S99" s="1"/>
      <c r="T99" s="1"/>
      <c r="U99" s="1"/>
      <c r="V99" s="1"/>
    </row>
    <row r="100" spans="1:22" ht="409.6" hidden="1">
      <c r="A100" s="9" t="s">
        <v>233</v>
      </c>
      <c r="B100" s="3" t="s">
        <v>899</v>
      </c>
      <c r="C100" s="3" t="s">
        <v>549</v>
      </c>
      <c r="D100" s="3" t="s">
        <v>852</v>
      </c>
      <c r="E100" s="3" t="s">
        <v>533</v>
      </c>
      <c r="F100" s="14">
        <v>44208</v>
      </c>
      <c r="G100" s="14">
        <v>44215</v>
      </c>
      <c r="H100" s="3" t="s">
        <v>528</v>
      </c>
      <c r="I100" s="15" t="s">
        <v>900</v>
      </c>
      <c r="J100" s="3"/>
      <c r="K100" s="15" t="s">
        <v>669</v>
      </c>
      <c r="L100" s="3" t="s">
        <v>901</v>
      </c>
      <c r="M100" s="1"/>
      <c r="N100" s="1"/>
      <c r="O100" s="1"/>
      <c r="P100" s="1"/>
      <c r="Q100" s="1"/>
      <c r="R100" s="1"/>
      <c r="S100" s="1"/>
      <c r="T100" s="1"/>
      <c r="U100" s="1"/>
      <c r="V100" s="1"/>
    </row>
    <row r="101" spans="1:22" ht="136">
      <c r="A101" s="13" t="s">
        <v>235</v>
      </c>
      <c r="B101" s="3" t="s">
        <v>902</v>
      </c>
      <c r="C101" s="3" t="s">
        <v>62</v>
      </c>
      <c r="D101" s="3" t="s">
        <v>636</v>
      </c>
      <c r="E101" s="3" t="s">
        <v>21</v>
      </c>
      <c r="F101" s="14">
        <v>44208</v>
      </c>
      <c r="G101" s="14">
        <v>44223</v>
      </c>
      <c r="H101" s="3" t="s">
        <v>22</v>
      </c>
      <c r="I101" s="3" t="s">
        <v>903</v>
      </c>
      <c r="J101" s="3" t="s">
        <v>904</v>
      </c>
      <c r="K101" s="15" t="s">
        <v>905</v>
      </c>
      <c r="L101" s="3"/>
      <c r="M101" s="1"/>
      <c r="N101" s="1"/>
      <c r="O101" s="1"/>
      <c r="P101" s="1"/>
      <c r="Q101" s="1"/>
      <c r="R101" s="1"/>
      <c r="S101" s="1"/>
      <c r="T101" s="1"/>
      <c r="U101" s="1"/>
      <c r="V101" s="1"/>
    </row>
    <row r="102" spans="1:22" ht="68" hidden="1">
      <c r="A102" s="9" t="s">
        <v>236</v>
      </c>
      <c r="B102" s="3" t="s">
        <v>670</v>
      </c>
      <c r="C102" s="3" t="s">
        <v>532</v>
      </c>
      <c r="D102" s="3" t="s">
        <v>722</v>
      </c>
      <c r="E102" s="3" t="s">
        <v>533</v>
      </c>
      <c r="F102" s="14">
        <v>44208</v>
      </c>
      <c r="G102" s="14">
        <v>44221</v>
      </c>
      <c r="H102" s="3" t="s">
        <v>525</v>
      </c>
      <c r="I102" s="15" t="s">
        <v>671</v>
      </c>
      <c r="J102" s="3" t="s">
        <v>906</v>
      </c>
      <c r="K102" s="15" t="s">
        <v>907</v>
      </c>
      <c r="L102" s="15" t="s">
        <v>672</v>
      </c>
      <c r="M102" s="1"/>
      <c r="N102" s="1"/>
      <c r="O102" s="1"/>
      <c r="P102" s="1"/>
      <c r="Q102" s="1"/>
      <c r="R102" s="1"/>
      <c r="S102" s="1"/>
      <c r="T102" s="1"/>
      <c r="U102" s="1"/>
      <c r="V102" s="1"/>
    </row>
    <row r="103" spans="1:22" ht="255" hidden="1">
      <c r="A103" s="9" t="s">
        <v>237</v>
      </c>
      <c r="B103" s="3" t="s">
        <v>550</v>
      </c>
      <c r="C103" s="3" t="s">
        <v>523</v>
      </c>
      <c r="D103" s="3" t="s">
        <v>722</v>
      </c>
      <c r="E103" s="3" t="s">
        <v>533</v>
      </c>
      <c r="F103" s="14">
        <v>44208</v>
      </c>
      <c r="G103" s="14">
        <v>44217</v>
      </c>
      <c r="H103" s="3" t="s">
        <v>525</v>
      </c>
      <c r="I103" s="15" t="s">
        <v>551</v>
      </c>
      <c r="J103" s="15" t="s">
        <v>908</v>
      </c>
      <c r="K103" s="15" t="s">
        <v>909</v>
      </c>
      <c r="L103" s="3"/>
      <c r="M103" s="1"/>
      <c r="N103" s="1"/>
      <c r="O103" s="1"/>
      <c r="P103" s="1"/>
      <c r="Q103" s="1"/>
      <c r="R103" s="1"/>
      <c r="S103" s="1"/>
      <c r="T103" s="1"/>
      <c r="U103" s="1"/>
      <c r="V103" s="1"/>
    </row>
    <row r="104" spans="1:22" ht="136" hidden="1">
      <c r="A104" s="9" t="s">
        <v>239</v>
      </c>
      <c r="B104" s="3" t="s">
        <v>552</v>
      </c>
      <c r="C104" s="3" t="s">
        <v>532</v>
      </c>
      <c r="D104" s="3" t="s">
        <v>910</v>
      </c>
      <c r="E104" s="3" t="s">
        <v>533</v>
      </c>
      <c r="F104" s="14">
        <v>44208</v>
      </c>
      <c r="G104" s="14">
        <v>44222</v>
      </c>
      <c r="H104" s="3" t="s">
        <v>525</v>
      </c>
      <c r="I104" s="15" t="s">
        <v>553</v>
      </c>
      <c r="J104" s="3" t="s">
        <v>911</v>
      </c>
      <c r="K104" s="15" t="s">
        <v>912</v>
      </c>
      <c r="L104" s="3" t="s">
        <v>673</v>
      </c>
      <c r="M104" s="1"/>
      <c r="N104" s="1"/>
      <c r="O104" s="1"/>
      <c r="P104" s="1"/>
      <c r="Q104" s="1"/>
      <c r="R104" s="1"/>
      <c r="S104" s="1"/>
      <c r="T104" s="1"/>
      <c r="U104" s="1"/>
      <c r="V104" s="1"/>
    </row>
    <row r="105" spans="1:22" ht="187">
      <c r="A105" s="13" t="s">
        <v>240</v>
      </c>
      <c r="B105" s="3" t="s">
        <v>913</v>
      </c>
      <c r="C105" s="3" t="s">
        <v>51</v>
      </c>
      <c r="D105" s="3" t="s">
        <v>651</v>
      </c>
      <c r="E105" s="3" t="s">
        <v>21</v>
      </c>
      <c r="F105" s="14">
        <v>44208</v>
      </c>
      <c r="G105" s="14">
        <v>44222</v>
      </c>
      <c r="H105" s="3" t="s">
        <v>241</v>
      </c>
      <c r="I105" s="15" t="s">
        <v>914</v>
      </c>
      <c r="J105" s="15" t="s">
        <v>674</v>
      </c>
      <c r="K105" s="3"/>
      <c r="L105" s="3"/>
      <c r="M105" s="1"/>
      <c r="N105" s="1"/>
      <c r="O105" s="1"/>
      <c r="P105" s="1"/>
      <c r="Q105" s="1"/>
      <c r="R105" s="1"/>
      <c r="S105" s="1"/>
      <c r="T105" s="1"/>
      <c r="U105" s="1"/>
      <c r="V105" s="1"/>
    </row>
    <row r="106" spans="1:22" ht="409.6">
      <c r="A106" s="13" t="s">
        <v>242</v>
      </c>
      <c r="B106" s="3" t="s">
        <v>915</v>
      </c>
      <c r="C106" s="3" t="s">
        <v>62</v>
      </c>
      <c r="D106" s="3" t="s">
        <v>668</v>
      </c>
      <c r="E106" s="3" t="s">
        <v>21</v>
      </c>
      <c r="F106" s="14">
        <v>44208</v>
      </c>
      <c r="G106" s="14">
        <v>44222</v>
      </c>
      <c r="H106" s="3" t="s">
        <v>22</v>
      </c>
      <c r="I106" s="15" t="s">
        <v>916</v>
      </c>
      <c r="J106" s="3" t="s">
        <v>917</v>
      </c>
      <c r="K106" s="15" t="s">
        <v>918</v>
      </c>
      <c r="L106" s="3" t="s">
        <v>215</v>
      </c>
      <c r="M106" s="1"/>
      <c r="N106" s="1"/>
      <c r="O106" s="1"/>
      <c r="P106" s="1"/>
      <c r="Q106" s="1"/>
      <c r="R106" s="1"/>
      <c r="S106" s="1"/>
      <c r="T106" s="1"/>
      <c r="U106" s="1"/>
      <c r="V106" s="1"/>
    </row>
    <row r="107" spans="1:22" ht="187">
      <c r="A107" s="13" t="s">
        <v>243</v>
      </c>
      <c r="B107" s="3" t="s">
        <v>675</v>
      </c>
      <c r="C107" s="3" t="s">
        <v>470</v>
      </c>
      <c r="D107" s="3"/>
      <c r="E107" s="3" t="s">
        <v>477</v>
      </c>
      <c r="F107" s="14">
        <v>44208</v>
      </c>
      <c r="G107" s="3"/>
      <c r="H107" s="3" t="s">
        <v>22</v>
      </c>
      <c r="I107" s="15" t="s">
        <v>676</v>
      </c>
      <c r="J107" s="3"/>
      <c r="K107" s="3"/>
      <c r="L107" s="3"/>
      <c r="M107" s="1"/>
      <c r="N107" s="1"/>
      <c r="O107" s="1"/>
      <c r="P107" s="1"/>
      <c r="Q107" s="1"/>
      <c r="R107" s="1"/>
      <c r="S107" s="1"/>
      <c r="T107" s="1"/>
      <c r="U107" s="1"/>
      <c r="V107" s="1"/>
    </row>
    <row r="108" spans="1:22" ht="372">
      <c r="A108" s="13" t="s">
        <v>244</v>
      </c>
      <c r="B108" s="3" t="s">
        <v>677</v>
      </c>
      <c r="C108" s="3" t="s">
        <v>62</v>
      </c>
      <c r="D108" s="3" t="s">
        <v>668</v>
      </c>
      <c r="E108" s="3" t="s">
        <v>21</v>
      </c>
      <c r="F108" s="14">
        <v>44208</v>
      </c>
      <c r="G108" s="14">
        <v>44222</v>
      </c>
      <c r="H108" s="3" t="s">
        <v>22</v>
      </c>
      <c r="I108" s="15" t="s">
        <v>678</v>
      </c>
      <c r="J108" s="3" t="s">
        <v>495</v>
      </c>
      <c r="K108" s="3" t="s">
        <v>496</v>
      </c>
      <c r="L108" s="3" t="s">
        <v>497</v>
      </c>
      <c r="M108" s="1"/>
      <c r="N108" s="1"/>
      <c r="O108" s="1"/>
      <c r="P108" s="1"/>
      <c r="Q108" s="1"/>
      <c r="R108" s="1"/>
      <c r="S108" s="1"/>
      <c r="T108" s="1"/>
      <c r="U108" s="1"/>
      <c r="V108" s="1"/>
    </row>
    <row r="109" spans="1:22" ht="68">
      <c r="A109" s="13" t="s">
        <v>245</v>
      </c>
      <c r="B109" s="3" t="s">
        <v>498</v>
      </c>
      <c r="C109" s="3" t="s">
        <v>470</v>
      </c>
      <c r="D109" s="3" t="s">
        <v>775</v>
      </c>
      <c r="E109" s="3" t="s">
        <v>477</v>
      </c>
      <c r="F109" s="14">
        <v>44208</v>
      </c>
      <c r="G109" s="3"/>
      <c r="H109" s="3" t="s">
        <v>22</v>
      </c>
      <c r="I109" s="15" t="s">
        <v>499</v>
      </c>
      <c r="J109" s="3"/>
      <c r="K109" s="3"/>
      <c r="L109" s="3"/>
      <c r="M109" s="1"/>
      <c r="N109" s="1"/>
      <c r="O109" s="1"/>
      <c r="P109" s="1"/>
      <c r="Q109" s="1"/>
      <c r="R109" s="1"/>
      <c r="S109" s="1"/>
      <c r="T109" s="1"/>
      <c r="U109" s="1"/>
      <c r="V109" s="1"/>
    </row>
    <row r="110" spans="1:22" ht="153">
      <c r="A110" s="13" t="s">
        <v>246</v>
      </c>
      <c r="B110" s="3" t="s">
        <v>919</v>
      </c>
      <c r="C110" s="3" t="s">
        <v>62</v>
      </c>
      <c r="D110" s="3" t="s">
        <v>665</v>
      </c>
      <c r="E110" s="3" t="s">
        <v>21</v>
      </c>
      <c r="F110" s="14">
        <v>44208</v>
      </c>
      <c r="G110" s="14">
        <v>44209</v>
      </c>
      <c r="H110" s="3" t="s">
        <v>52</v>
      </c>
      <c r="I110" s="15" t="s">
        <v>920</v>
      </c>
      <c r="J110" s="3"/>
      <c r="K110" s="3"/>
      <c r="L110" s="3" t="s">
        <v>921</v>
      </c>
      <c r="M110" s="1"/>
      <c r="N110" s="1"/>
      <c r="O110" s="1"/>
      <c r="P110" s="1"/>
      <c r="Q110" s="1"/>
      <c r="R110" s="1"/>
      <c r="S110" s="1"/>
      <c r="T110" s="1"/>
      <c r="U110" s="1"/>
      <c r="V110" s="1"/>
    </row>
    <row r="111" spans="1:22" ht="204" hidden="1">
      <c r="A111" s="9" t="s">
        <v>247</v>
      </c>
      <c r="B111" s="3" t="s">
        <v>922</v>
      </c>
      <c r="C111" s="3" t="s">
        <v>532</v>
      </c>
      <c r="D111" s="3" t="s">
        <v>923</v>
      </c>
      <c r="E111" s="3" t="s">
        <v>533</v>
      </c>
      <c r="F111" s="14">
        <v>44208</v>
      </c>
      <c r="G111" s="14">
        <v>44209</v>
      </c>
      <c r="H111" s="3" t="s">
        <v>544</v>
      </c>
      <c r="I111" s="15" t="s">
        <v>924</v>
      </c>
      <c r="J111" s="15"/>
      <c r="K111" s="15"/>
      <c r="L111" s="3" t="s">
        <v>673</v>
      </c>
      <c r="M111" s="1"/>
      <c r="N111" s="1"/>
      <c r="O111" s="1"/>
      <c r="P111" s="1"/>
      <c r="Q111" s="1"/>
      <c r="R111" s="1"/>
      <c r="S111" s="1"/>
      <c r="T111" s="1"/>
      <c r="U111" s="1"/>
      <c r="V111" s="1"/>
    </row>
    <row r="112" spans="1:22" ht="238" hidden="1">
      <c r="A112" s="9" t="s">
        <v>248</v>
      </c>
      <c r="B112" s="3" t="s">
        <v>555</v>
      </c>
      <c r="C112" s="3" t="s">
        <v>532</v>
      </c>
      <c r="D112" s="3" t="s">
        <v>923</v>
      </c>
      <c r="E112" s="3" t="s">
        <v>533</v>
      </c>
      <c r="F112" s="14">
        <v>44208</v>
      </c>
      <c r="G112" s="14">
        <v>44209</v>
      </c>
      <c r="H112" s="3" t="s">
        <v>544</v>
      </c>
      <c r="I112" s="15" t="s">
        <v>556</v>
      </c>
      <c r="J112" s="15"/>
      <c r="K112" s="3"/>
      <c r="L112" s="3" t="s">
        <v>673</v>
      </c>
      <c r="M112" s="1"/>
      <c r="N112" s="1"/>
      <c r="O112" s="1"/>
      <c r="P112" s="1"/>
      <c r="Q112" s="1"/>
      <c r="R112" s="1"/>
      <c r="S112" s="1"/>
      <c r="T112" s="1"/>
      <c r="U112" s="1"/>
      <c r="V112" s="1"/>
    </row>
    <row r="113" spans="1:22" ht="136">
      <c r="A113" s="13" t="s">
        <v>249</v>
      </c>
      <c r="B113" s="3" t="s">
        <v>925</v>
      </c>
      <c r="C113" s="3" t="s">
        <v>62</v>
      </c>
      <c r="D113" s="3" t="s">
        <v>668</v>
      </c>
      <c r="E113" s="3" t="s">
        <v>21</v>
      </c>
      <c r="F113" s="14">
        <v>44208</v>
      </c>
      <c r="G113" s="14">
        <v>44223</v>
      </c>
      <c r="H113" s="3" t="s">
        <v>22</v>
      </c>
      <c r="I113" s="3" t="s">
        <v>926</v>
      </c>
      <c r="J113" s="3" t="s">
        <v>500</v>
      </c>
      <c r="K113" s="15" t="s">
        <v>927</v>
      </c>
      <c r="L113" s="3" t="s">
        <v>215</v>
      </c>
      <c r="M113" s="1"/>
      <c r="N113" s="1"/>
      <c r="O113" s="1"/>
      <c r="P113" s="1"/>
      <c r="Q113" s="1"/>
      <c r="R113" s="1"/>
      <c r="S113" s="1"/>
      <c r="T113" s="1"/>
      <c r="U113" s="1"/>
      <c r="V113" s="1"/>
    </row>
    <row r="114" spans="1:22" ht="272">
      <c r="A114" s="13" t="s">
        <v>250</v>
      </c>
      <c r="B114" s="3" t="s">
        <v>928</v>
      </c>
      <c r="C114" s="3" t="s">
        <v>62</v>
      </c>
      <c r="D114" s="3" t="s">
        <v>665</v>
      </c>
      <c r="E114" s="3" t="s">
        <v>21</v>
      </c>
      <c r="F114" s="14">
        <v>44208</v>
      </c>
      <c r="G114" s="14">
        <v>44209</v>
      </c>
      <c r="H114" s="3" t="s">
        <v>52</v>
      </c>
      <c r="I114" s="15" t="s">
        <v>929</v>
      </c>
      <c r="J114" s="3"/>
      <c r="K114" s="3"/>
      <c r="L114" s="3" t="s">
        <v>215</v>
      </c>
      <c r="M114" s="1"/>
      <c r="N114" s="1"/>
      <c r="O114" s="1"/>
      <c r="P114" s="1"/>
      <c r="Q114" s="1"/>
      <c r="R114" s="1"/>
      <c r="S114" s="1"/>
      <c r="T114" s="1"/>
      <c r="U114" s="1"/>
      <c r="V114" s="1"/>
    </row>
    <row r="115" spans="1:22" ht="68">
      <c r="A115" s="13" t="s">
        <v>251</v>
      </c>
      <c r="B115" s="3" t="s">
        <v>679</v>
      </c>
      <c r="C115" s="3" t="s">
        <v>163</v>
      </c>
      <c r="D115" s="3"/>
      <c r="E115" s="3" t="s">
        <v>20</v>
      </c>
      <c r="F115" s="14">
        <v>44208</v>
      </c>
      <c r="G115" s="3"/>
      <c r="H115" s="3" t="s">
        <v>22</v>
      </c>
      <c r="I115" s="3" t="s">
        <v>680</v>
      </c>
      <c r="J115" s="3"/>
      <c r="K115" s="15" t="s">
        <v>681</v>
      </c>
      <c r="L115" s="3"/>
      <c r="M115" s="1"/>
      <c r="N115" s="1"/>
      <c r="O115" s="1"/>
      <c r="P115" s="1"/>
      <c r="Q115" s="1"/>
      <c r="R115" s="1"/>
      <c r="S115" s="1"/>
      <c r="T115" s="1"/>
      <c r="U115" s="1"/>
      <c r="V115" s="1"/>
    </row>
    <row r="116" spans="1:22" ht="238">
      <c r="A116" s="13" t="s">
        <v>252</v>
      </c>
      <c r="B116" s="3" t="s">
        <v>682</v>
      </c>
      <c r="C116" s="3" t="s">
        <v>62</v>
      </c>
      <c r="D116" s="3" t="s">
        <v>668</v>
      </c>
      <c r="E116" s="3" t="s">
        <v>21</v>
      </c>
      <c r="F116" s="14">
        <v>44208</v>
      </c>
      <c r="G116" s="14">
        <v>44222</v>
      </c>
      <c r="H116" s="3" t="s">
        <v>22</v>
      </c>
      <c r="I116" s="15" t="s">
        <v>683</v>
      </c>
      <c r="J116" s="3" t="s">
        <v>501</v>
      </c>
      <c r="K116" s="15" t="s">
        <v>502</v>
      </c>
      <c r="L116" s="3" t="s">
        <v>215</v>
      </c>
      <c r="M116" s="1"/>
      <c r="N116" s="1"/>
      <c r="O116" s="1"/>
      <c r="P116" s="1"/>
      <c r="Q116" s="1"/>
      <c r="R116" s="1"/>
      <c r="S116" s="1"/>
      <c r="T116" s="1"/>
      <c r="U116" s="1"/>
      <c r="V116" s="1"/>
    </row>
    <row r="117" spans="1:22" ht="102">
      <c r="A117" s="13" t="s">
        <v>253</v>
      </c>
      <c r="B117" s="3" t="s">
        <v>503</v>
      </c>
      <c r="C117" s="3" t="s">
        <v>470</v>
      </c>
      <c r="D117" s="3"/>
      <c r="E117" s="3" t="s">
        <v>477</v>
      </c>
      <c r="F117" s="14">
        <v>44207</v>
      </c>
      <c r="G117" s="14">
        <v>44225</v>
      </c>
      <c r="H117" s="3" t="s">
        <v>22</v>
      </c>
      <c r="I117" s="15" t="s">
        <v>504</v>
      </c>
      <c r="J117" s="3"/>
      <c r="K117" s="3"/>
      <c r="L117" s="3"/>
      <c r="M117" s="1"/>
      <c r="N117" s="1"/>
      <c r="O117" s="1"/>
      <c r="P117" s="1"/>
      <c r="Q117" s="1"/>
      <c r="R117" s="1"/>
      <c r="S117" s="1"/>
      <c r="T117" s="1"/>
      <c r="U117" s="1"/>
      <c r="V117" s="1"/>
    </row>
    <row r="118" spans="1:22">
      <c r="A118" s="13" t="s">
        <v>254</v>
      </c>
      <c r="B118" s="3" t="s">
        <v>255</v>
      </c>
      <c r="C118" s="3" t="s">
        <v>37</v>
      </c>
      <c r="D118" s="3" t="s">
        <v>618</v>
      </c>
      <c r="E118" s="3" t="s">
        <v>21</v>
      </c>
      <c r="F118" s="14">
        <v>44207</v>
      </c>
      <c r="G118" s="14">
        <v>44214</v>
      </c>
      <c r="H118" s="3" t="s">
        <v>22</v>
      </c>
      <c r="I118" s="3" t="s">
        <v>256</v>
      </c>
      <c r="J118" s="3"/>
      <c r="K118" s="3" t="s">
        <v>257</v>
      </c>
      <c r="L118" s="3" t="s">
        <v>94</v>
      </c>
      <c r="M118" s="1"/>
      <c r="N118" s="1"/>
      <c r="O118" s="1"/>
      <c r="P118" s="1"/>
      <c r="Q118" s="1"/>
      <c r="R118" s="1"/>
      <c r="S118" s="1"/>
      <c r="T118" s="1"/>
      <c r="U118" s="1"/>
      <c r="V118" s="1"/>
    </row>
    <row r="119" spans="1:22">
      <c r="A119" s="13" t="s">
        <v>258</v>
      </c>
      <c r="B119" s="3" t="s">
        <v>259</v>
      </c>
      <c r="C119" s="3" t="s">
        <v>70</v>
      </c>
      <c r="D119" s="3" t="s">
        <v>609</v>
      </c>
      <c r="E119" s="3" t="s">
        <v>21</v>
      </c>
      <c r="F119" s="14">
        <v>44207</v>
      </c>
      <c r="G119" s="14">
        <v>44209</v>
      </c>
      <c r="H119" s="3" t="s">
        <v>23</v>
      </c>
      <c r="I119" s="3" t="s">
        <v>260</v>
      </c>
      <c r="J119" s="3"/>
      <c r="K119" s="3"/>
      <c r="L119" s="3" t="s">
        <v>94</v>
      </c>
      <c r="M119" s="1"/>
      <c r="N119" s="1"/>
      <c r="O119" s="1"/>
      <c r="P119" s="1"/>
      <c r="Q119" s="1"/>
      <c r="R119" s="1"/>
      <c r="S119" s="1"/>
      <c r="T119" s="1"/>
      <c r="U119" s="1"/>
      <c r="V119" s="1"/>
    </row>
    <row r="120" spans="1:22">
      <c r="A120" s="13" t="s">
        <v>261</v>
      </c>
      <c r="B120" s="3" t="s">
        <v>262</v>
      </c>
      <c r="C120" s="3" t="s">
        <v>163</v>
      </c>
      <c r="D120" s="3" t="s">
        <v>684</v>
      </c>
      <c r="E120" s="3" t="s">
        <v>21</v>
      </c>
      <c r="F120" s="14">
        <v>44207</v>
      </c>
      <c r="G120" s="14">
        <v>44215</v>
      </c>
      <c r="H120" s="3" t="s">
        <v>23</v>
      </c>
      <c r="I120" s="3" t="s">
        <v>263</v>
      </c>
      <c r="J120" s="3"/>
      <c r="K120" s="3"/>
      <c r="L120" s="3"/>
      <c r="M120" s="1"/>
      <c r="N120" s="1"/>
      <c r="O120" s="1"/>
      <c r="P120" s="1"/>
      <c r="Q120" s="1"/>
      <c r="R120" s="1"/>
      <c r="S120" s="1"/>
      <c r="T120" s="1"/>
      <c r="U120" s="1"/>
      <c r="V120" s="1"/>
    </row>
    <row r="121" spans="1:22" ht="102">
      <c r="A121" s="13" t="s">
        <v>264</v>
      </c>
      <c r="B121" s="3" t="s">
        <v>930</v>
      </c>
      <c r="C121" s="3" t="s">
        <v>37</v>
      </c>
      <c r="D121" s="3" t="s">
        <v>618</v>
      </c>
      <c r="E121" s="3" t="s">
        <v>21</v>
      </c>
      <c r="F121" s="14">
        <v>44207</v>
      </c>
      <c r="G121" s="14">
        <v>44214</v>
      </c>
      <c r="H121" s="3" t="s">
        <v>22</v>
      </c>
      <c r="I121" s="15" t="s">
        <v>931</v>
      </c>
      <c r="J121" s="3" t="s">
        <v>932</v>
      </c>
      <c r="K121" s="3" t="s">
        <v>933</v>
      </c>
      <c r="L121" s="3" t="s">
        <v>934</v>
      </c>
      <c r="M121" s="1"/>
      <c r="N121" s="1"/>
      <c r="O121" s="1"/>
      <c r="P121" s="1"/>
      <c r="Q121" s="1"/>
      <c r="R121" s="1"/>
      <c r="S121" s="1"/>
      <c r="T121" s="1"/>
      <c r="U121" s="1"/>
      <c r="V121" s="1"/>
    </row>
    <row r="122" spans="1:22" ht="68">
      <c r="A122" s="13" t="s">
        <v>265</v>
      </c>
      <c r="B122" s="3" t="s">
        <v>935</v>
      </c>
      <c r="C122" s="3" t="s">
        <v>37</v>
      </c>
      <c r="D122" s="3" t="s">
        <v>618</v>
      </c>
      <c r="E122" s="3" t="s">
        <v>21</v>
      </c>
      <c r="F122" s="14">
        <v>44207</v>
      </c>
      <c r="G122" s="14">
        <v>44214</v>
      </c>
      <c r="H122" s="3" t="s">
        <v>22</v>
      </c>
      <c r="I122" s="15" t="s">
        <v>936</v>
      </c>
      <c r="J122" s="15" t="s">
        <v>266</v>
      </c>
      <c r="K122" s="3" t="s">
        <v>267</v>
      </c>
      <c r="L122" s="3" t="s">
        <v>268</v>
      </c>
      <c r="M122" s="1"/>
      <c r="N122" s="1"/>
      <c r="O122" s="1"/>
      <c r="P122" s="1"/>
      <c r="Q122" s="1"/>
      <c r="R122" s="1"/>
      <c r="S122" s="1"/>
      <c r="T122" s="1"/>
      <c r="U122" s="1"/>
      <c r="V122" s="1"/>
    </row>
    <row r="123" spans="1:22" ht="153">
      <c r="A123" s="13" t="s">
        <v>269</v>
      </c>
      <c r="B123" s="3" t="s">
        <v>685</v>
      </c>
      <c r="C123" s="3" t="s">
        <v>270</v>
      </c>
      <c r="D123" s="3" t="s">
        <v>686</v>
      </c>
      <c r="E123" s="3" t="s">
        <v>21</v>
      </c>
      <c r="F123" s="14">
        <v>44207</v>
      </c>
      <c r="G123" s="14">
        <v>44208</v>
      </c>
      <c r="H123" s="3" t="s">
        <v>22</v>
      </c>
      <c r="I123" s="3" t="s">
        <v>687</v>
      </c>
      <c r="J123" s="15" t="s">
        <v>271</v>
      </c>
      <c r="K123" s="15" t="s">
        <v>272</v>
      </c>
      <c r="L123" s="3" t="s">
        <v>688</v>
      </c>
      <c r="M123" s="1"/>
      <c r="N123" s="1"/>
      <c r="O123" s="1"/>
      <c r="P123" s="1"/>
      <c r="Q123" s="1"/>
      <c r="R123" s="1"/>
      <c r="S123" s="1"/>
      <c r="T123" s="1"/>
      <c r="U123" s="1"/>
      <c r="V123" s="1"/>
    </row>
    <row r="124" spans="1:22" ht="409.6">
      <c r="A124" s="13" t="s">
        <v>273</v>
      </c>
      <c r="B124" s="3" t="s">
        <v>689</v>
      </c>
      <c r="C124" s="3" t="s">
        <v>167</v>
      </c>
      <c r="D124" s="3"/>
      <c r="E124" s="3" t="s">
        <v>477</v>
      </c>
      <c r="F124" s="14">
        <v>44206</v>
      </c>
      <c r="G124" s="3"/>
      <c r="H124" s="3" t="s">
        <v>23</v>
      </c>
      <c r="I124" s="15" t="s">
        <v>690</v>
      </c>
      <c r="J124" s="3" t="s">
        <v>691</v>
      </c>
      <c r="K124" s="15" t="s">
        <v>692</v>
      </c>
      <c r="L124" s="3" t="s">
        <v>580</v>
      </c>
      <c r="M124" s="1"/>
      <c r="N124" s="1"/>
      <c r="O124" s="1"/>
      <c r="P124" s="1"/>
      <c r="Q124" s="1"/>
      <c r="R124" s="1"/>
      <c r="S124" s="1"/>
      <c r="T124" s="1"/>
      <c r="U124" s="1"/>
      <c r="V124" s="1"/>
    </row>
    <row r="125" spans="1:22" ht="34" hidden="1">
      <c r="A125" s="9" t="s">
        <v>274</v>
      </c>
      <c r="B125" s="3" t="s">
        <v>937</v>
      </c>
      <c r="C125" s="3" t="s">
        <v>851</v>
      </c>
      <c r="D125" s="3"/>
      <c r="E125" s="3" t="s">
        <v>524</v>
      </c>
      <c r="F125" s="14">
        <v>44206</v>
      </c>
      <c r="G125" s="14"/>
      <c r="H125" s="3" t="s">
        <v>744</v>
      </c>
      <c r="I125" s="15" t="s">
        <v>938</v>
      </c>
      <c r="J125" s="15"/>
      <c r="K125" s="15"/>
      <c r="L125" s="3"/>
      <c r="M125" s="1"/>
      <c r="N125" s="1"/>
      <c r="O125" s="1"/>
      <c r="P125" s="1"/>
      <c r="Q125" s="1"/>
      <c r="R125" s="1"/>
      <c r="S125" s="1"/>
      <c r="T125" s="1"/>
      <c r="U125" s="1"/>
      <c r="V125" s="1"/>
    </row>
    <row r="126" spans="1:22">
      <c r="A126" s="13" t="s">
        <v>275</v>
      </c>
      <c r="B126" s="3" t="s">
        <v>276</v>
      </c>
      <c r="C126" s="3" t="s">
        <v>62</v>
      </c>
      <c r="D126" s="3" t="s">
        <v>609</v>
      </c>
      <c r="E126" s="3" t="s">
        <v>21</v>
      </c>
      <c r="F126" s="14">
        <v>44206</v>
      </c>
      <c r="G126" s="14">
        <v>44207</v>
      </c>
      <c r="H126" s="3" t="s">
        <v>22</v>
      </c>
      <c r="I126" s="3" t="s">
        <v>277</v>
      </c>
      <c r="J126" s="3"/>
      <c r="K126" s="3"/>
      <c r="L126" s="3"/>
      <c r="M126" s="1"/>
      <c r="N126" s="1"/>
      <c r="O126" s="1"/>
      <c r="P126" s="1"/>
      <c r="Q126" s="1"/>
      <c r="R126" s="1"/>
      <c r="S126" s="1"/>
      <c r="T126" s="1"/>
      <c r="U126" s="1"/>
      <c r="V126" s="1"/>
    </row>
    <row r="127" spans="1:22">
      <c r="A127" s="13" t="s">
        <v>278</v>
      </c>
      <c r="B127" s="3" t="s">
        <v>279</v>
      </c>
      <c r="C127" s="3" t="s">
        <v>29</v>
      </c>
      <c r="D127" s="3" t="s">
        <v>505</v>
      </c>
      <c r="E127" s="3" t="s">
        <v>21</v>
      </c>
      <c r="F127" s="14">
        <v>44206</v>
      </c>
      <c r="G127" s="14">
        <v>44208</v>
      </c>
      <c r="H127" s="3" t="s">
        <v>22</v>
      </c>
      <c r="I127" s="3" t="s">
        <v>34</v>
      </c>
      <c r="J127" s="3"/>
      <c r="K127" s="3"/>
      <c r="L127" s="3"/>
      <c r="M127" s="1"/>
      <c r="N127" s="1"/>
      <c r="O127" s="1"/>
      <c r="P127" s="1"/>
      <c r="Q127" s="1"/>
      <c r="R127" s="1"/>
      <c r="S127" s="1"/>
      <c r="T127" s="1"/>
      <c r="U127" s="1"/>
      <c r="V127" s="1"/>
    </row>
    <row r="128" spans="1:22" ht="68">
      <c r="A128" s="13" t="s">
        <v>280</v>
      </c>
      <c r="B128" s="3" t="s">
        <v>281</v>
      </c>
      <c r="C128" s="3" t="s">
        <v>163</v>
      </c>
      <c r="D128" s="3" t="s">
        <v>596</v>
      </c>
      <c r="E128" s="3" t="s">
        <v>21</v>
      </c>
      <c r="F128" s="14">
        <v>44206</v>
      </c>
      <c r="G128" s="14">
        <v>44207</v>
      </c>
      <c r="H128" s="3" t="s">
        <v>52</v>
      </c>
      <c r="I128" s="15" t="s">
        <v>282</v>
      </c>
      <c r="J128" s="3"/>
      <c r="K128" s="3"/>
      <c r="L128" s="3" t="s">
        <v>283</v>
      </c>
      <c r="M128" s="1"/>
      <c r="N128" s="1"/>
      <c r="O128" s="1"/>
      <c r="P128" s="1"/>
      <c r="Q128" s="1"/>
      <c r="R128" s="1"/>
      <c r="S128" s="1"/>
      <c r="T128" s="1"/>
      <c r="U128" s="1"/>
      <c r="V128" s="1"/>
    </row>
    <row r="129" spans="1:22" ht="102">
      <c r="A129" s="13" t="s">
        <v>284</v>
      </c>
      <c r="B129" s="3" t="s">
        <v>285</v>
      </c>
      <c r="C129" s="3" t="s">
        <v>62</v>
      </c>
      <c r="D129" s="3" t="s">
        <v>665</v>
      </c>
      <c r="E129" s="3" t="s">
        <v>21</v>
      </c>
      <c r="F129" s="14">
        <v>44206</v>
      </c>
      <c r="G129" s="14">
        <v>44215</v>
      </c>
      <c r="H129" s="3" t="s">
        <v>52</v>
      </c>
      <c r="I129" s="15" t="s">
        <v>286</v>
      </c>
      <c r="J129" s="3"/>
      <c r="K129" s="3"/>
      <c r="L129" s="3" t="s">
        <v>287</v>
      </c>
      <c r="M129" s="1"/>
      <c r="N129" s="1"/>
      <c r="O129" s="1"/>
      <c r="P129" s="1"/>
      <c r="Q129" s="1"/>
      <c r="R129" s="1"/>
      <c r="S129" s="1"/>
      <c r="T129" s="1"/>
      <c r="U129" s="1"/>
      <c r="V129" s="1"/>
    </row>
    <row r="130" spans="1:22" ht="51">
      <c r="A130" s="13" t="s">
        <v>288</v>
      </c>
      <c r="B130" s="3" t="s">
        <v>289</v>
      </c>
      <c r="C130" s="3" t="s">
        <v>270</v>
      </c>
      <c r="D130" s="3" t="s">
        <v>686</v>
      </c>
      <c r="E130" s="3" t="s">
        <v>21</v>
      </c>
      <c r="F130" s="3"/>
      <c r="G130" s="14">
        <v>44207</v>
      </c>
      <c r="H130" s="3" t="s">
        <v>22</v>
      </c>
      <c r="I130" s="15" t="s">
        <v>290</v>
      </c>
      <c r="J130" s="15" t="s">
        <v>291</v>
      </c>
      <c r="K130" s="3" t="s">
        <v>292</v>
      </c>
      <c r="L130" s="3" t="s">
        <v>293</v>
      </c>
      <c r="M130" s="1"/>
      <c r="N130" s="1"/>
      <c r="O130" s="1"/>
      <c r="P130" s="1"/>
      <c r="Q130" s="1"/>
      <c r="R130" s="1"/>
      <c r="S130" s="1"/>
      <c r="T130" s="1"/>
      <c r="U130" s="1"/>
      <c r="V130" s="1"/>
    </row>
    <row r="131" spans="1:22" ht="136">
      <c r="A131" s="13" t="s">
        <v>294</v>
      </c>
      <c r="B131" s="3" t="s">
        <v>295</v>
      </c>
      <c r="C131" s="3" t="s">
        <v>270</v>
      </c>
      <c r="D131" s="3" t="s">
        <v>686</v>
      </c>
      <c r="E131" s="3" t="s">
        <v>21</v>
      </c>
      <c r="F131" s="14">
        <v>44206</v>
      </c>
      <c r="G131" s="14">
        <v>44207</v>
      </c>
      <c r="H131" s="3" t="s">
        <v>22</v>
      </c>
      <c r="I131" s="15" t="s">
        <v>296</v>
      </c>
      <c r="J131" s="3" t="s">
        <v>297</v>
      </c>
      <c r="K131" s="3" t="s">
        <v>298</v>
      </c>
      <c r="L131" s="3" t="s">
        <v>293</v>
      </c>
      <c r="M131" s="1"/>
      <c r="N131" s="1"/>
      <c r="O131" s="1"/>
      <c r="P131" s="1"/>
      <c r="Q131" s="1"/>
      <c r="R131" s="1"/>
      <c r="S131" s="1"/>
      <c r="T131" s="1"/>
      <c r="U131" s="1"/>
      <c r="V131" s="1"/>
    </row>
    <row r="132" spans="1:22" ht="68">
      <c r="A132" s="13" t="s">
        <v>299</v>
      </c>
      <c r="B132" s="3" t="s">
        <v>300</v>
      </c>
      <c r="C132" s="3" t="s">
        <v>270</v>
      </c>
      <c r="D132" s="3" t="s">
        <v>686</v>
      </c>
      <c r="E132" s="3" t="s">
        <v>21</v>
      </c>
      <c r="F132" s="14">
        <v>44207</v>
      </c>
      <c r="G132" s="14">
        <v>44207</v>
      </c>
      <c r="H132" s="3" t="s">
        <v>22</v>
      </c>
      <c r="I132" s="3" t="s">
        <v>301</v>
      </c>
      <c r="J132" s="15" t="s">
        <v>302</v>
      </c>
      <c r="K132" s="15" t="s">
        <v>303</v>
      </c>
      <c r="L132" s="3" t="s">
        <v>293</v>
      </c>
      <c r="M132" s="1"/>
      <c r="N132" s="1"/>
      <c r="O132" s="1"/>
      <c r="P132" s="1"/>
      <c r="Q132" s="1"/>
      <c r="R132" s="1"/>
      <c r="S132" s="1"/>
      <c r="T132" s="1"/>
      <c r="U132" s="1"/>
      <c r="V132" s="1"/>
    </row>
    <row r="133" spans="1:22">
      <c r="A133" s="13" t="s">
        <v>304</v>
      </c>
      <c r="B133" s="3" t="s">
        <v>305</v>
      </c>
      <c r="C133" s="3" t="s">
        <v>62</v>
      </c>
      <c r="D133" s="3" t="s">
        <v>665</v>
      </c>
      <c r="E133" s="3" t="s">
        <v>21</v>
      </c>
      <c r="F133" s="14">
        <v>44206</v>
      </c>
      <c r="G133" s="14">
        <v>44215</v>
      </c>
      <c r="H133" s="3" t="s">
        <v>52</v>
      </c>
      <c r="I133" s="3" t="s">
        <v>306</v>
      </c>
      <c r="J133" s="3"/>
      <c r="K133" s="3"/>
      <c r="L133" s="3" t="s">
        <v>283</v>
      </c>
      <c r="M133" s="1"/>
      <c r="N133" s="1"/>
      <c r="O133" s="1"/>
      <c r="P133" s="1"/>
      <c r="Q133" s="1"/>
      <c r="R133" s="1"/>
      <c r="S133" s="1"/>
      <c r="T133" s="1"/>
      <c r="U133" s="1"/>
      <c r="V133" s="1"/>
    </row>
    <row r="134" spans="1:22" ht="102">
      <c r="A134" s="13" t="s">
        <v>307</v>
      </c>
      <c r="B134" s="3" t="s">
        <v>308</v>
      </c>
      <c r="C134" s="3" t="s">
        <v>29</v>
      </c>
      <c r="D134" s="3" t="s">
        <v>505</v>
      </c>
      <c r="E134" s="3" t="s">
        <v>21</v>
      </c>
      <c r="F134" s="14">
        <v>44206</v>
      </c>
      <c r="G134" s="14">
        <v>44209</v>
      </c>
      <c r="H134" s="3" t="s">
        <v>22</v>
      </c>
      <c r="I134" s="15" t="s">
        <v>309</v>
      </c>
      <c r="J134" s="3"/>
      <c r="K134" s="3"/>
      <c r="L134" s="3"/>
      <c r="M134" s="1"/>
      <c r="N134" s="1"/>
      <c r="O134" s="1"/>
      <c r="P134" s="1"/>
      <c r="Q134" s="1"/>
      <c r="R134" s="1"/>
      <c r="S134" s="1"/>
      <c r="T134" s="1"/>
      <c r="U134" s="1"/>
      <c r="V134" s="1"/>
    </row>
    <row r="135" spans="1:22" ht="136">
      <c r="A135" s="13" t="s">
        <v>310</v>
      </c>
      <c r="B135" s="3" t="s">
        <v>939</v>
      </c>
      <c r="C135" s="3" t="s">
        <v>62</v>
      </c>
      <c r="D135" s="3" t="s">
        <v>505</v>
      </c>
      <c r="E135" s="3" t="s">
        <v>21</v>
      </c>
      <c r="F135" s="14">
        <v>44206</v>
      </c>
      <c r="G135" s="14">
        <v>44208</v>
      </c>
      <c r="H135" s="3" t="s">
        <v>22</v>
      </c>
      <c r="I135" s="15" t="s">
        <v>940</v>
      </c>
      <c r="J135" s="3"/>
      <c r="K135" s="3"/>
      <c r="L135" s="3"/>
      <c r="M135" s="1"/>
      <c r="N135" s="1"/>
      <c r="O135" s="1"/>
      <c r="P135" s="1"/>
      <c r="Q135" s="1"/>
      <c r="R135" s="1"/>
      <c r="S135" s="1"/>
      <c r="T135" s="1"/>
      <c r="U135" s="1"/>
      <c r="V135" s="1"/>
    </row>
    <row r="136" spans="1:22">
      <c r="A136" s="13" t="s">
        <v>311</v>
      </c>
      <c r="B136" s="3" t="s">
        <v>312</v>
      </c>
      <c r="C136" s="3" t="s">
        <v>67</v>
      </c>
      <c r="D136" s="3" t="s">
        <v>618</v>
      </c>
      <c r="E136" s="3" t="s">
        <v>21</v>
      </c>
      <c r="F136" s="14">
        <v>44205</v>
      </c>
      <c r="G136" s="14">
        <v>44214</v>
      </c>
      <c r="H136" s="3" t="s">
        <v>22</v>
      </c>
      <c r="I136" s="3" t="s">
        <v>34</v>
      </c>
      <c r="J136" s="3"/>
      <c r="K136" s="3"/>
      <c r="L136" s="3" t="s">
        <v>188</v>
      </c>
      <c r="M136" s="1"/>
      <c r="N136" s="1"/>
      <c r="O136" s="1"/>
      <c r="P136" s="1"/>
      <c r="Q136" s="1"/>
      <c r="R136" s="1"/>
      <c r="S136" s="1"/>
      <c r="T136" s="1"/>
      <c r="U136" s="1"/>
      <c r="V136" s="1"/>
    </row>
    <row r="137" spans="1:22" ht="306">
      <c r="A137" s="13" t="s">
        <v>313</v>
      </c>
      <c r="B137" s="3" t="s">
        <v>693</v>
      </c>
      <c r="C137" s="3" t="s">
        <v>560</v>
      </c>
      <c r="D137" s="3" t="s">
        <v>609</v>
      </c>
      <c r="E137" s="3" t="s">
        <v>21</v>
      </c>
      <c r="F137" s="14">
        <v>44205</v>
      </c>
      <c r="G137" s="14">
        <v>44211</v>
      </c>
      <c r="H137" s="3" t="s">
        <v>111</v>
      </c>
      <c r="I137" s="3" t="s">
        <v>694</v>
      </c>
      <c r="J137" s="3"/>
      <c r="K137" s="15" t="s">
        <v>695</v>
      </c>
      <c r="L137" s="3" t="s">
        <v>234</v>
      </c>
      <c r="M137" s="1"/>
      <c r="N137" s="1"/>
      <c r="O137" s="1"/>
      <c r="P137" s="1"/>
      <c r="Q137" s="1"/>
      <c r="R137" s="1"/>
      <c r="S137" s="1"/>
      <c r="T137" s="1"/>
      <c r="U137" s="1"/>
      <c r="V137" s="1"/>
    </row>
    <row r="138" spans="1:22" ht="409.6">
      <c r="A138" s="13" t="s">
        <v>314</v>
      </c>
      <c r="B138" s="3" t="s">
        <v>506</v>
      </c>
      <c r="C138" s="3" t="s">
        <v>476</v>
      </c>
      <c r="D138" s="3"/>
      <c r="E138" s="3" t="s">
        <v>477</v>
      </c>
      <c r="F138" s="14">
        <v>44205</v>
      </c>
      <c r="G138" s="3"/>
      <c r="H138" s="3" t="s">
        <v>22</v>
      </c>
      <c r="I138" s="3" t="s">
        <v>507</v>
      </c>
      <c r="J138" s="15" t="s">
        <v>508</v>
      </c>
      <c r="K138" s="15" t="s">
        <v>509</v>
      </c>
      <c r="L138" s="3" t="s">
        <v>510</v>
      </c>
      <c r="M138" s="1"/>
      <c r="N138" s="1"/>
      <c r="O138" s="1"/>
      <c r="P138" s="1"/>
      <c r="Q138" s="1"/>
      <c r="R138" s="1"/>
      <c r="S138" s="1"/>
      <c r="T138" s="1"/>
      <c r="U138" s="1"/>
      <c r="V138" s="1"/>
    </row>
    <row r="139" spans="1:22">
      <c r="A139" s="13" t="s">
        <v>27</v>
      </c>
      <c r="B139" s="3" t="s">
        <v>28</v>
      </c>
      <c r="C139" s="3" t="s">
        <v>62</v>
      </c>
      <c r="D139" s="3" t="s">
        <v>696</v>
      </c>
      <c r="E139" s="3" t="s">
        <v>21</v>
      </c>
      <c r="F139" s="14">
        <v>44205</v>
      </c>
      <c r="G139" s="14">
        <v>44207</v>
      </c>
      <c r="H139" s="3" t="s">
        <v>22</v>
      </c>
      <c r="I139" s="3" t="s">
        <v>30</v>
      </c>
      <c r="J139" s="3"/>
      <c r="K139" s="3"/>
      <c r="L139" s="3" t="s">
        <v>31</v>
      </c>
      <c r="M139" s="1"/>
      <c r="N139" s="1"/>
      <c r="O139" s="1"/>
      <c r="P139" s="1"/>
      <c r="Q139" s="1"/>
      <c r="R139" s="1"/>
      <c r="S139" s="1"/>
      <c r="T139" s="1"/>
      <c r="U139" s="1"/>
      <c r="V139" s="1"/>
    </row>
    <row r="140" spans="1:22">
      <c r="A140" s="13" t="s">
        <v>32</v>
      </c>
      <c r="B140" s="3" t="s">
        <v>33</v>
      </c>
      <c r="C140" s="3" t="s">
        <v>62</v>
      </c>
      <c r="D140" s="3" t="s">
        <v>505</v>
      </c>
      <c r="E140" s="3" t="s">
        <v>21</v>
      </c>
      <c r="F140" s="14">
        <v>44205</v>
      </c>
      <c r="G140" s="14">
        <v>44207</v>
      </c>
      <c r="H140" s="3" t="s">
        <v>22</v>
      </c>
      <c r="I140" s="3" t="s">
        <v>34</v>
      </c>
      <c r="J140" s="3"/>
      <c r="K140" s="3"/>
      <c r="L140" s="3" t="s">
        <v>35</v>
      </c>
      <c r="M140" s="1"/>
      <c r="N140" s="1"/>
      <c r="O140" s="1"/>
      <c r="P140" s="1"/>
      <c r="Q140" s="1"/>
      <c r="R140" s="1"/>
      <c r="S140" s="1"/>
      <c r="T140" s="1"/>
      <c r="U140" s="1"/>
      <c r="V140" s="1"/>
    </row>
    <row r="141" spans="1:22" ht="34" hidden="1">
      <c r="A141" s="9" t="s">
        <v>36</v>
      </c>
      <c r="B141" s="3" t="s">
        <v>941</v>
      </c>
      <c r="C141" s="3" t="s">
        <v>541</v>
      </c>
      <c r="D141" s="3" t="s">
        <v>942</v>
      </c>
      <c r="E141" s="3" t="s">
        <v>533</v>
      </c>
      <c r="F141" s="14">
        <v>44205</v>
      </c>
      <c r="G141" s="14">
        <v>44216</v>
      </c>
      <c r="H141" s="3" t="s">
        <v>525</v>
      </c>
      <c r="I141" s="15" t="s">
        <v>943</v>
      </c>
      <c r="J141" s="15"/>
      <c r="K141" s="15"/>
      <c r="L141" s="3"/>
      <c r="M141" s="1"/>
      <c r="N141" s="1"/>
      <c r="O141" s="1"/>
      <c r="P141" s="1"/>
      <c r="Q141" s="1"/>
      <c r="R141" s="1"/>
      <c r="S141" s="1"/>
      <c r="T141" s="1"/>
      <c r="U141" s="1"/>
      <c r="V141" s="1"/>
    </row>
    <row r="142" spans="1:22" ht="119">
      <c r="A142" s="13" t="s">
        <v>38</v>
      </c>
      <c r="B142" s="3" t="s">
        <v>39</v>
      </c>
      <c r="C142" s="3" t="s">
        <v>67</v>
      </c>
      <c r="D142" s="3" t="s">
        <v>618</v>
      </c>
      <c r="E142" s="3" t="s">
        <v>21</v>
      </c>
      <c r="F142" s="14">
        <v>44205</v>
      </c>
      <c r="G142" s="14">
        <v>44216</v>
      </c>
      <c r="H142" s="3" t="s">
        <v>22</v>
      </c>
      <c r="I142" s="15" t="s">
        <v>40</v>
      </c>
      <c r="J142" s="3"/>
      <c r="K142" s="3"/>
      <c r="L142" s="3"/>
      <c r="M142" s="1"/>
      <c r="N142" s="1"/>
      <c r="O142" s="1"/>
      <c r="P142" s="1"/>
      <c r="Q142" s="1"/>
      <c r="R142" s="1"/>
      <c r="S142" s="1"/>
      <c r="T142" s="1"/>
      <c r="U142" s="1"/>
    </row>
    <row r="143" spans="1:22">
      <c r="A143" s="13" t="s">
        <v>44</v>
      </c>
      <c r="B143" s="3" t="s">
        <v>45</v>
      </c>
      <c r="C143" s="3" t="s">
        <v>51</v>
      </c>
      <c r="D143" s="3" t="s">
        <v>505</v>
      </c>
      <c r="E143" s="3" t="s">
        <v>21</v>
      </c>
      <c r="F143" s="14">
        <v>44203</v>
      </c>
      <c r="G143" s="14">
        <v>44204</v>
      </c>
      <c r="H143" s="3" t="s">
        <v>22</v>
      </c>
      <c r="I143" s="3" t="s">
        <v>46</v>
      </c>
      <c r="J143" s="3" t="s">
        <v>47</v>
      </c>
      <c r="K143" s="3" t="s">
        <v>48</v>
      </c>
      <c r="L143" s="3"/>
      <c r="M143" s="1"/>
      <c r="N143" s="1"/>
      <c r="O143" s="1"/>
      <c r="P143" s="1"/>
      <c r="Q143" s="1"/>
      <c r="R143" s="1"/>
      <c r="S143" s="1"/>
      <c r="T143" s="1"/>
      <c r="U143" s="1"/>
    </row>
    <row r="144" spans="1:22" ht="85">
      <c r="A144" s="13" t="s">
        <v>49</v>
      </c>
      <c r="B144" s="3" t="s">
        <v>50</v>
      </c>
      <c r="C144" s="3" t="s">
        <v>51</v>
      </c>
      <c r="D144" s="3" t="s">
        <v>505</v>
      </c>
      <c r="E144" s="3" t="s">
        <v>21</v>
      </c>
      <c r="F144" s="14">
        <v>44203</v>
      </c>
      <c r="G144" s="14">
        <v>44204</v>
      </c>
      <c r="H144" s="3" t="s">
        <v>52</v>
      </c>
      <c r="I144" s="15" t="s">
        <v>53</v>
      </c>
      <c r="J144" s="3" t="s">
        <v>54</v>
      </c>
      <c r="K144" s="3" t="s">
        <v>55</v>
      </c>
      <c r="L144" s="15" t="s">
        <v>315</v>
      </c>
      <c r="M144" s="1"/>
      <c r="N144" s="1"/>
      <c r="O144" s="1"/>
      <c r="P144" s="1"/>
      <c r="Q144" s="1"/>
      <c r="R144" s="1"/>
      <c r="S144" s="1"/>
      <c r="T144" s="1"/>
      <c r="U144" s="1"/>
    </row>
    <row r="145" spans="1:21" ht="51">
      <c r="A145" s="13" t="s">
        <v>56</v>
      </c>
      <c r="B145" s="3" t="s">
        <v>57</v>
      </c>
      <c r="C145" s="3" t="s">
        <v>51</v>
      </c>
      <c r="D145" s="3" t="s">
        <v>609</v>
      </c>
      <c r="E145" s="3" t="s">
        <v>21</v>
      </c>
      <c r="F145" s="14">
        <v>44203</v>
      </c>
      <c r="G145" s="14">
        <v>44204</v>
      </c>
      <c r="H145" s="3" t="s">
        <v>22</v>
      </c>
      <c r="I145" s="3" t="s">
        <v>316</v>
      </c>
      <c r="J145" s="15" t="s">
        <v>58</v>
      </c>
      <c r="K145" s="3" t="s">
        <v>43</v>
      </c>
      <c r="L145" s="3"/>
      <c r="M145" s="1"/>
      <c r="N145" s="1"/>
      <c r="O145" s="1"/>
      <c r="P145" s="1"/>
      <c r="Q145" s="1"/>
      <c r="R145" s="1"/>
      <c r="S145" s="1"/>
      <c r="T145" s="1"/>
      <c r="U145" s="1"/>
    </row>
    <row r="146" spans="1:21" ht="323">
      <c r="A146" s="13" t="s">
        <v>59</v>
      </c>
      <c r="B146" s="3" t="s">
        <v>317</v>
      </c>
      <c r="C146" s="3" t="s">
        <v>62</v>
      </c>
      <c r="D146" s="3" t="s">
        <v>698</v>
      </c>
      <c r="E146" s="3" t="s">
        <v>21</v>
      </c>
      <c r="F146" s="14">
        <v>44210</v>
      </c>
      <c r="G146" s="14">
        <v>44211</v>
      </c>
      <c r="H146" s="3" t="s">
        <v>52</v>
      </c>
      <c r="I146" s="15" t="s">
        <v>318</v>
      </c>
      <c r="J146" s="15" t="s">
        <v>319</v>
      </c>
      <c r="K146" s="3" t="s">
        <v>320</v>
      </c>
      <c r="L146" s="3"/>
      <c r="M146" s="1"/>
      <c r="N146" s="1"/>
      <c r="O146" s="1"/>
      <c r="P146" s="1"/>
      <c r="Q146" s="1"/>
      <c r="R146" s="1"/>
      <c r="S146" s="1"/>
      <c r="T146" s="1"/>
      <c r="U146" s="1"/>
    </row>
    <row r="147" spans="1:21" ht="323">
      <c r="A147" s="13" t="s">
        <v>60</v>
      </c>
      <c r="B147" s="3" t="s">
        <v>61</v>
      </c>
      <c r="C147" s="3" t="s">
        <v>62</v>
      </c>
      <c r="D147" s="3" t="s">
        <v>557</v>
      </c>
      <c r="E147" s="3" t="s">
        <v>21</v>
      </c>
      <c r="F147" s="14">
        <v>44202</v>
      </c>
      <c r="G147" s="14">
        <v>44203</v>
      </c>
      <c r="H147" s="3" t="s">
        <v>22</v>
      </c>
      <c r="I147" s="15" t="s">
        <v>321</v>
      </c>
      <c r="J147" s="3" t="s">
        <v>63</v>
      </c>
      <c r="K147" s="15" t="s">
        <v>64</v>
      </c>
      <c r="L147" s="3"/>
      <c r="M147" s="1"/>
      <c r="N147" s="1"/>
      <c r="O147" s="1"/>
      <c r="P147" s="1"/>
      <c r="Q147" s="1"/>
      <c r="R147" s="1"/>
      <c r="S147" s="1"/>
      <c r="T147" s="1"/>
      <c r="U147" s="1"/>
    </row>
    <row r="148" spans="1:21">
      <c r="A148" s="13" t="s">
        <v>65</v>
      </c>
      <c r="B148" s="3" t="s">
        <v>66</v>
      </c>
      <c r="C148" s="3" t="s">
        <v>67</v>
      </c>
      <c r="D148" s="3" t="s">
        <v>697</v>
      </c>
      <c r="E148" s="3" t="s">
        <v>21</v>
      </c>
      <c r="F148" s="14">
        <v>44202</v>
      </c>
      <c r="G148" s="14">
        <v>44203</v>
      </c>
      <c r="H148" s="3" t="s">
        <v>22</v>
      </c>
      <c r="I148" s="3" t="s">
        <v>322</v>
      </c>
      <c r="J148" s="3" t="s">
        <v>323</v>
      </c>
      <c r="K148" s="3" t="s">
        <v>324</v>
      </c>
      <c r="L148" s="3"/>
      <c r="M148" s="1"/>
      <c r="N148" s="1"/>
      <c r="O148" s="1"/>
      <c r="P148" s="1"/>
      <c r="Q148" s="1"/>
      <c r="R148" s="1"/>
      <c r="S148" s="1"/>
      <c r="T148" s="1"/>
      <c r="U148" s="1"/>
    </row>
    <row r="149" spans="1:21" ht="102">
      <c r="A149" s="13" t="s">
        <v>68</v>
      </c>
      <c r="B149" s="3" t="s">
        <v>69</v>
      </c>
      <c r="C149" s="3" t="s">
        <v>70</v>
      </c>
      <c r="D149" s="3" t="s">
        <v>447</v>
      </c>
      <c r="E149" s="3" t="s">
        <v>21</v>
      </c>
      <c r="F149" s="14">
        <v>44202</v>
      </c>
      <c r="G149" s="14">
        <v>44202</v>
      </c>
      <c r="H149" s="3" t="s">
        <v>22</v>
      </c>
      <c r="I149" s="3" t="s">
        <v>325</v>
      </c>
      <c r="J149" s="15" t="s">
        <v>326</v>
      </c>
      <c r="K149" s="3" t="s">
        <v>42</v>
      </c>
      <c r="L149" s="3"/>
      <c r="M149" s="1"/>
      <c r="N149" s="1"/>
      <c r="O149" s="1"/>
      <c r="P149" s="1"/>
      <c r="Q149" s="1"/>
      <c r="R149" s="1"/>
      <c r="S149" s="1"/>
      <c r="T149" s="1"/>
      <c r="U149" s="1"/>
    </row>
    <row r="150" spans="1:21">
      <c r="A150" s="13" t="s">
        <v>71</v>
      </c>
      <c r="B150" s="3" t="s">
        <v>327</v>
      </c>
      <c r="C150" s="3" t="s">
        <v>70</v>
      </c>
      <c r="D150" s="3" t="s">
        <v>505</v>
      </c>
      <c r="E150" s="3" t="s">
        <v>21</v>
      </c>
      <c r="F150" s="14">
        <v>44202</v>
      </c>
      <c r="G150" s="14">
        <v>44208</v>
      </c>
      <c r="H150" s="3" t="s">
        <v>22</v>
      </c>
      <c r="I150" s="3" t="s">
        <v>328</v>
      </c>
      <c r="J150" s="3" t="s">
        <v>42</v>
      </c>
      <c r="K150" s="3" t="s">
        <v>42</v>
      </c>
      <c r="L150" s="3"/>
      <c r="M150" s="1"/>
      <c r="N150" s="1"/>
      <c r="O150" s="1"/>
      <c r="P150" s="1"/>
      <c r="Q150" s="1"/>
      <c r="R150" s="1"/>
      <c r="S150" s="1"/>
      <c r="T150" s="1"/>
      <c r="U150" s="1"/>
    </row>
    <row r="151" spans="1:21" ht="170">
      <c r="A151" s="13" t="s">
        <v>72</v>
      </c>
      <c r="B151" s="3" t="s">
        <v>944</v>
      </c>
      <c r="C151" s="3" t="s">
        <v>70</v>
      </c>
      <c r="D151" s="3" t="s">
        <v>447</v>
      </c>
      <c r="E151" s="3" t="s">
        <v>21</v>
      </c>
      <c r="F151" s="14">
        <v>44202</v>
      </c>
      <c r="G151" s="14">
        <v>44216</v>
      </c>
      <c r="H151" s="3" t="s">
        <v>22</v>
      </c>
      <c r="I151" s="3" t="s">
        <v>945</v>
      </c>
      <c r="J151" s="15" t="s">
        <v>946</v>
      </c>
      <c r="K151" s="3" t="s">
        <v>42</v>
      </c>
      <c r="L151" s="3"/>
      <c r="M151" s="1"/>
      <c r="N151" s="1"/>
      <c r="O151" s="1"/>
      <c r="P151" s="1"/>
      <c r="Q151" s="1"/>
      <c r="R151" s="1"/>
      <c r="S151" s="1"/>
      <c r="T151" s="1"/>
      <c r="U151" s="1"/>
    </row>
    <row r="152" spans="1:21" ht="85">
      <c r="A152" s="13" t="s">
        <v>73</v>
      </c>
      <c r="B152" s="3" t="s">
        <v>74</v>
      </c>
      <c r="C152" s="3" t="s">
        <v>29</v>
      </c>
      <c r="D152" s="3" t="s">
        <v>505</v>
      </c>
      <c r="E152" s="3" t="s">
        <v>21</v>
      </c>
      <c r="F152" s="14">
        <v>44202</v>
      </c>
      <c r="G152" s="14">
        <v>44207</v>
      </c>
      <c r="H152" s="3" t="s">
        <v>22</v>
      </c>
      <c r="I152" s="15" t="s">
        <v>75</v>
      </c>
      <c r="J152" s="3"/>
      <c r="K152" s="3"/>
      <c r="L152" s="3"/>
      <c r="M152" s="1"/>
      <c r="N152" s="1"/>
      <c r="O152" s="1"/>
      <c r="P152" s="1"/>
      <c r="Q152" s="1"/>
      <c r="R152" s="1"/>
      <c r="S152" s="1"/>
      <c r="T152" s="1"/>
      <c r="U152" s="1"/>
    </row>
    <row r="153" spans="1:21" ht="409.6">
      <c r="A153" s="13" t="s">
        <v>76</v>
      </c>
      <c r="B153" s="3" t="s">
        <v>699</v>
      </c>
      <c r="C153" s="3" t="s">
        <v>37</v>
      </c>
      <c r="D153" s="3" t="s">
        <v>618</v>
      </c>
      <c r="E153" s="3" t="s">
        <v>21</v>
      </c>
      <c r="F153" s="14">
        <v>44202</v>
      </c>
      <c r="G153" s="14">
        <v>44204</v>
      </c>
      <c r="H153" s="3" t="s">
        <v>22</v>
      </c>
      <c r="I153" s="3" t="s">
        <v>700</v>
      </c>
      <c r="J153" s="15" t="s">
        <v>701</v>
      </c>
      <c r="K153" s="3" t="s">
        <v>702</v>
      </c>
      <c r="L153" s="3"/>
      <c r="M153" s="1"/>
      <c r="N153" s="1"/>
      <c r="O153" s="1"/>
      <c r="P153" s="1"/>
      <c r="Q153" s="1"/>
      <c r="R153" s="1"/>
      <c r="S153" s="1"/>
      <c r="T153" s="1"/>
      <c r="U153" s="1"/>
    </row>
    <row r="154" spans="1:21" ht="409.6">
      <c r="A154" s="13" t="s">
        <v>77</v>
      </c>
      <c r="B154" s="3" t="s">
        <v>511</v>
      </c>
      <c r="C154" s="3" t="s">
        <v>167</v>
      </c>
      <c r="D154" s="3" t="s">
        <v>447</v>
      </c>
      <c r="E154" s="3" t="s">
        <v>151</v>
      </c>
      <c r="F154" s="14">
        <v>44202</v>
      </c>
      <c r="G154" s="3"/>
      <c r="H154" s="3" t="s">
        <v>22</v>
      </c>
      <c r="I154" s="15" t="s">
        <v>512</v>
      </c>
      <c r="J154" s="15" t="s">
        <v>513</v>
      </c>
      <c r="K154" s="15" t="s">
        <v>514</v>
      </c>
      <c r="L154" s="3"/>
      <c r="M154" s="1"/>
      <c r="N154" s="1"/>
      <c r="O154" s="1"/>
      <c r="P154" s="1"/>
      <c r="Q154" s="1"/>
      <c r="R154" s="1"/>
      <c r="S154" s="1"/>
      <c r="T154" s="1"/>
      <c r="U154" s="1"/>
    </row>
    <row r="155" spans="1:21">
      <c r="A155" s="3"/>
      <c r="B155" s="3"/>
      <c r="C155" s="3"/>
      <c r="D155" s="3"/>
      <c r="E155" s="3"/>
      <c r="F155" s="3"/>
      <c r="G155" s="3"/>
      <c r="H155" s="3"/>
      <c r="I155" s="3"/>
      <c r="J155" s="3"/>
      <c r="K155" s="3"/>
      <c r="L155" s="3"/>
      <c r="M155" s="1"/>
      <c r="N155" s="1"/>
      <c r="O155" s="1"/>
      <c r="P155" s="1"/>
      <c r="Q155" s="1"/>
      <c r="R155" s="1"/>
      <c r="S155" s="1"/>
      <c r="T155" s="1"/>
      <c r="U155" s="1"/>
    </row>
    <row r="156" spans="1:21">
      <c r="I156"/>
      <c r="J156"/>
      <c r="K156"/>
    </row>
    <row r="157" spans="1:21">
      <c r="I157"/>
      <c r="J157"/>
      <c r="K157"/>
    </row>
    <row r="158" spans="1:21">
      <c r="I158"/>
      <c r="J158"/>
      <c r="K158"/>
    </row>
    <row r="159" spans="1:21">
      <c r="I159"/>
      <c r="J159"/>
      <c r="K159"/>
    </row>
    <row r="160" spans="1:21">
      <c r="I160"/>
      <c r="J160"/>
      <c r="K160"/>
    </row>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autoFilter ref="A5:V141" xr:uid="{74DFAF9E-0219-45F1-9849-259CB8942152}">
    <filterColumn colId="4">
      <filters>
        <filter val="完了"/>
      </filters>
    </filterColumn>
  </autoFilter>
  <mergeCells count="2">
    <mergeCell ref="B1:C1"/>
    <mergeCell ref="B2:C2"/>
  </mergeCells>
  <phoneticPr fontId="3"/>
  <hyperlinks>
    <hyperlink ref="A6" r:id="rId1" xr:uid="{B87BAF40-0463-4421-80DD-CADCA06313CE}"/>
    <hyperlink ref="A7" r:id="rId2" xr:uid="{6C9D25B1-48E5-4E9B-A3B4-2766191521D9}"/>
    <hyperlink ref="A8" r:id="rId3" xr:uid="{29C9767A-C937-49A4-B30C-0ABC8E42F116}"/>
    <hyperlink ref="A9" r:id="rId4" xr:uid="{5145F892-03B5-40FB-8692-BF8B273C1BB5}"/>
    <hyperlink ref="A13" r:id="rId5" xr:uid="{FAE8E787-7033-4B04-9CEE-56E306839BD8}"/>
    <hyperlink ref="A14" r:id="rId6" xr:uid="{E4195255-2E78-45B5-ACAF-EB617BAAF48D}"/>
    <hyperlink ref="A15" r:id="rId7" xr:uid="{8C305CD6-F56F-4559-8B8C-9D8E13EBC434}"/>
    <hyperlink ref="A17" r:id="rId8" xr:uid="{8D7DF8A0-AD03-4570-A215-3C23E4CEF5F3}"/>
    <hyperlink ref="A18" r:id="rId9" xr:uid="{92C81CFA-A546-480C-B318-CFE8F4650AB8}"/>
    <hyperlink ref="A23" r:id="rId10" xr:uid="{8FE3D319-6444-4665-A819-AB2C5911F4D0}"/>
    <hyperlink ref="A25" r:id="rId11" xr:uid="{74B7FCB4-1B50-4294-B225-73C4E408D296}"/>
    <hyperlink ref="A27" r:id="rId12" xr:uid="{D434F2C5-9642-415F-AD45-44EBF5099D84}"/>
    <hyperlink ref="A28" r:id="rId13" xr:uid="{E372F7AD-065E-471E-97B4-4B014AE91BDA}"/>
    <hyperlink ref="A31" r:id="rId14" xr:uid="{5DCAA400-6B37-4E69-910B-7DDAE48F2DCB}"/>
    <hyperlink ref="A32" r:id="rId15" xr:uid="{10A886EF-16AA-4E45-BA6E-07E9A1FF6E76}"/>
    <hyperlink ref="A34" r:id="rId16" xr:uid="{18458C5E-7984-4D4F-B6EC-9111F2BAD35B}"/>
    <hyperlink ref="A35" r:id="rId17" xr:uid="{192A2786-21A2-4CC9-ACB1-E881D6A30EEF}"/>
    <hyperlink ref="A37" r:id="rId18" xr:uid="{EC612F13-9828-4CAC-BFEE-45DDD81A6877}"/>
    <hyperlink ref="A41" r:id="rId19" xr:uid="{5C7B40B2-C902-47A1-B89C-03AE595B826A}"/>
    <hyperlink ref="A45" r:id="rId20" xr:uid="{1BC32CDE-5632-405E-AC9D-A10898A70C6D}"/>
    <hyperlink ref="A46" r:id="rId21" xr:uid="{B7C91D12-379E-4A30-A6B3-167A9B94C33A}"/>
    <hyperlink ref="A51" r:id="rId22" xr:uid="{D4B8C1DF-6ECA-4D5F-90B6-0875582B23E6}"/>
    <hyperlink ref="A54" r:id="rId23" xr:uid="{E8AA9CFF-9D64-4103-9D56-9F5310157C02}"/>
    <hyperlink ref="A56" r:id="rId24" xr:uid="{42913A89-BF1D-44B2-9FEE-4A6F3DFFF7D8}"/>
    <hyperlink ref="A59" r:id="rId25" xr:uid="{9A318E5F-4704-4D2E-89A0-5D1C2B30E0C8}"/>
    <hyperlink ref="A60" r:id="rId26" xr:uid="{0769D633-1902-4BA7-8B8A-A7DD27E6C3BC}"/>
    <hyperlink ref="A70" r:id="rId27" xr:uid="{77A88BF8-6ED8-4F7F-B2DC-FF0A2560E628}"/>
    <hyperlink ref="A73" r:id="rId28" xr:uid="{888FFD2C-6867-46CB-A0AF-E68265A20A36}"/>
    <hyperlink ref="A74" r:id="rId29" xr:uid="{F19FA2C7-5776-465E-A906-9B09D7EFCAF5}"/>
    <hyperlink ref="A78" r:id="rId30" xr:uid="{BBCDE702-A74C-4271-BCE1-9F70F18F7CEA}"/>
    <hyperlink ref="A79" r:id="rId31" xr:uid="{9E87C92D-49EF-4ADC-BD8E-AC8EF2290269}"/>
    <hyperlink ref="A81" r:id="rId32" xr:uid="{83ACC4E7-F333-4D9E-B641-BF27664D88D3}"/>
    <hyperlink ref="A88" r:id="rId33" xr:uid="{76B6C7DF-B22C-4D67-8676-C018B39EE6B4}"/>
    <hyperlink ref="A91" r:id="rId34" xr:uid="{073F3F68-E511-48EF-A3BE-4FC8241DEBEB}"/>
    <hyperlink ref="A92" r:id="rId35" xr:uid="{0948E677-38BE-43E4-AC55-84C53126BEB3}"/>
    <hyperlink ref="A93" r:id="rId36" xr:uid="{73D7F436-BCE2-47F1-9259-13285D856DC4}"/>
    <hyperlink ref="A94" r:id="rId37" xr:uid="{79A7590C-9C17-474C-8E4E-8AC75C1F2B78}"/>
    <hyperlink ref="A95" r:id="rId38" xr:uid="{37AE221B-C8F5-4676-BC16-FFBBC88C5BF6}"/>
    <hyperlink ref="A96" r:id="rId39" xr:uid="{764BE1F1-B93F-404C-A98A-F8B4D9C641C5}"/>
    <hyperlink ref="A100" r:id="rId40" xr:uid="{40DC4D0F-564D-44F3-B6CF-10490E44EC88}"/>
    <hyperlink ref="A102" r:id="rId41" xr:uid="{653379D7-7C1E-4868-BA31-1D28DAE9890B}"/>
    <hyperlink ref="A103" r:id="rId42" xr:uid="{C1D44E0A-B25C-41DA-8FC0-EEE242EE2684}"/>
    <hyperlink ref="A104" r:id="rId43" xr:uid="{347B7057-E86D-4FC4-8996-F3E7873937D4}"/>
    <hyperlink ref="A111" r:id="rId44" xr:uid="{E73F8D0D-2EE8-469D-9975-C7AD40EB3A13}"/>
    <hyperlink ref="A112" r:id="rId45" xr:uid="{EAA18312-FA76-40B1-B137-652258B9FF93}"/>
    <hyperlink ref="A125" r:id="rId46" xr:uid="{F53BCA76-F526-40B2-B7AB-35E1529C67F1}"/>
    <hyperlink ref="A141" r:id="rId47" xr:uid="{35803575-C04B-4112-BFFF-02ED8E735C0D}"/>
    <hyperlink ref="A10" r:id="rId48" xr:uid="{E41C49B5-3CBB-4ED6-8C6F-05F3B370F295}"/>
    <hyperlink ref="A11" r:id="rId49" xr:uid="{363D825F-EA2B-4853-B128-10FA7CCC180D}"/>
    <hyperlink ref="A12" r:id="rId50" xr:uid="{D2ED149B-0222-46F2-95A5-F7413726AF9F}"/>
    <hyperlink ref="A16" r:id="rId51" xr:uid="{BF2AA426-E10A-4AE3-917A-028E1C998631}"/>
    <hyperlink ref="A19" r:id="rId52" xr:uid="{D87B4B43-9489-4511-955D-A9A5E8E3C614}"/>
    <hyperlink ref="A20" r:id="rId53" xr:uid="{C6521EAC-0752-4FFF-99CE-FF6BC2D85AFA}"/>
    <hyperlink ref="A21" r:id="rId54" xr:uid="{EDBFE5C8-C5ED-4874-9BA2-84A7A4A1A4D6}"/>
    <hyperlink ref="A22" r:id="rId55" xr:uid="{DB0EB2CF-08B4-4F19-A34C-2DB113434774}"/>
    <hyperlink ref="A24" r:id="rId56" xr:uid="{9D046040-F60B-4D39-A7D8-F31C2920E93F}"/>
    <hyperlink ref="A26" r:id="rId57" xr:uid="{F16CD505-057C-42E7-9C69-05C61BE440BE}"/>
    <hyperlink ref="A29" r:id="rId58" xr:uid="{4BC33D64-F2A6-409E-A60F-C8C94234E9AE}"/>
    <hyperlink ref="A30" r:id="rId59" xr:uid="{A8CC5E19-479A-4E64-BD4F-D6FA5E5B1040}"/>
    <hyperlink ref="A33" r:id="rId60" xr:uid="{4A21F4E5-5DAA-438A-AB91-B5706683142F}"/>
    <hyperlink ref="A36" r:id="rId61" xr:uid="{E4E46580-EE02-4E74-92FE-5C430B0B8A91}"/>
    <hyperlink ref="A38" r:id="rId62" xr:uid="{985A364A-8728-411D-BA11-87DFF2E7CE91}"/>
    <hyperlink ref="A39" r:id="rId63" xr:uid="{EDE24778-AE33-454A-ABD8-49EEF34CF161}"/>
    <hyperlink ref="A40" r:id="rId64" xr:uid="{C73AE547-9488-45B4-802C-046D80E24395}"/>
    <hyperlink ref="A42" r:id="rId65" xr:uid="{2FB3B52C-C155-4895-8B52-8EDACD9ED92A}"/>
    <hyperlink ref="A43" r:id="rId66" xr:uid="{183D5066-0EF4-452B-8D6F-5F00A348CBED}"/>
    <hyperlink ref="A44" r:id="rId67" xr:uid="{6ECCAC08-A6D5-42AE-8672-6FE5DEE14DB6}"/>
    <hyperlink ref="A47" r:id="rId68" xr:uid="{93F664B0-49DD-4839-8549-280B5F3FBE42}"/>
    <hyperlink ref="A48" r:id="rId69" xr:uid="{719F1CC2-0E90-437C-8274-971D070A1942}"/>
    <hyperlink ref="A49" r:id="rId70" xr:uid="{9681F996-46DF-4B5E-8CED-351D9A0259A8}"/>
    <hyperlink ref="A50" r:id="rId71" xr:uid="{E543B011-E5B2-4F06-87F8-B8580D46175D}"/>
    <hyperlink ref="A52" r:id="rId72" xr:uid="{8A464DE7-B0BA-4B05-9669-50922BB5AD92}"/>
    <hyperlink ref="A53" r:id="rId73" xr:uid="{BA1E2893-AC24-42E5-9D4C-6D9A509B0B36}"/>
    <hyperlink ref="A55" r:id="rId74" xr:uid="{70E9BF88-3CB1-49C6-8899-CCCEF9707DD3}"/>
    <hyperlink ref="A57" r:id="rId75" xr:uid="{CB354C15-D5AC-48C8-B766-F229C4D0E3D7}"/>
    <hyperlink ref="A58" r:id="rId76" xr:uid="{7E65CD3F-E2AD-4229-AC34-7E0E0C380131}"/>
    <hyperlink ref="A61" r:id="rId77" xr:uid="{45F090BD-B188-451D-9341-B6E10AEA7F78}"/>
    <hyperlink ref="A62" r:id="rId78" xr:uid="{EFE4AAE0-2D41-441B-93FC-F9D6C012460D}"/>
    <hyperlink ref="A63" r:id="rId79" xr:uid="{BC27077D-AE4B-43FB-AF1C-97CF99ACE287}"/>
    <hyperlink ref="A64" r:id="rId80" xr:uid="{1B9A12B8-5A30-40B9-A95C-D5A71C896332}"/>
    <hyperlink ref="A65" r:id="rId81" xr:uid="{F2AA3379-0C59-45DB-B71E-1ECCF47B2AB3}"/>
    <hyperlink ref="A66" r:id="rId82" xr:uid="{A5E23793-276C-4919-BEA6-72A991DBBFC8}"/>
    <hyperlink ref="A67" r:id="rId83" xr:uid="{FF5DB0C9-605B-42B7-B350-21BB1D93D01A}"/>
    <hyperlink ref="A68" r:id="rId84" xr:uid="{71792329-58FA-4258-8700-AD10C27C9506}"/>
    <hyperlink ref="A69" r:id="rId85" xr:uid="{22255CE0-E421-4FC2-9D80-2A2D29C24B86}"/>
    <hyperlink ref="A71" r:id="rId86" xr:uid="{BBECE0BD-CFA2-4DF9-AF14-51E4F1E0399C}"/>
    <hyperlink ref="A72" r:id="rId87" xr:uid="{6B3A90E4-33DD-4E91-812B-294385B2E76D}"/>
    <hyperlink ref="A75" r:id="rId88" xr:uid="{14B27947-68F6-46BF-97FC-F828BDF76887}"/>
    <hyperlink ref="A76" r:id="rId89" xr:uid="{0990EB8C-5379-41E9-BE94-EF8684825B55}"/>
    <hyperlink ref="A77" r:id="rId90" xr:uid="{EF5FB161-5598-413E-91C4-D1492460746F}"/>
    <hyperlink ref="A80" r:id="rId91" xr:uid="{C2DFB8FD-86DB-4718-9D83-8632038F30EE}"/>
    <hyperlink ref="A82" r:id="rId92" xr:uid="{13976DF9-FAE7-4847-9FBD-3FD18604B49F}"/>
    <hyperlink ref="A83" r:id="rId93" xr:uid="{86075417-F690-488A-AF07-BD95B6318774}"/>
    <hyperlink ref="A84" r:id="rId94" xr:uid="{E683B555-54D1-4E9E-8057-B6C68DBF0551}"/>
    <hyperlink ref="A85" r:id="rId95" xr:uid="{D24E75A9-E115-48A9-9EB4-9E38D766CC04}"/>
    <hyperlink ref="A86" r:id="rId96" xr:uid="{BDBB7808-C014-4CE4-9DA1-58BEF5B7E4D7}"/>
    <hyperlink ref="A87" r:id="rId97" xr:uid="{E51321CE-3F54-4297-B3F9-C341A55CA6F7}"/>
    <hyperlink ref="A89" r:id="rId98" xr:uid="{29A28CB4-C90E-4DDA-9ABE-DB739DE184D5}"/>
    <hyperlink ref="A90" r:id="rId99" xr:uid="{42333ABE-4FCD-4813-A10E-D2790B860BE9}"/>
    <hyperlink ref="A97" r:id="rId100" xr:uid="{8747F412-3952-484E-96A7-C66740CF34DD}"/>
    <hyperlink ref="A98" r:id="rId101" xr:uid="{6649D85F-0D26-4257-914C-80F443777D76}"/>
    <hyperlink ref="A99" r:id="rId102" xr:uid="{CB8C1491-57FC-47C6-BDE3-855587C2C3DC}"/>
    <hyperlink ref="A101" r:id="rId103" xr:uid="{453232B6-AC34-4966-8D04-473D67C82FE7}"/>
    <hyperlink ref="A105" r:id="rId104" xr:uid="{1A78CCDF-1435-4D88-8AE6-11BD79B177B6}"/>
    <hyperlink ref="A106" r:id="rId105" xr:uid="{75D06E45-E75A-4B9E-9734-06F57889D92A}"/>
    <hyperlink ref="A107" r:id="rId106" xr:uid="{F004F2C4-982E-473A-A094-69E17A9AEA3A}"/>
    <hyperlink ref="A108" r:id="rId107" xr:uid="{30035CD7-571A-4C6B-9167-2937BDCEB2FA}"/>
    <hyperlink ref="A109" r:id="rId108" xr:uid="{B6747596-2FAB-4C19-90C3-9A99D16C3DC6}"/>
    <hyperlink ref="A110" r:id="rId109" xr:uid="{1F7BC59B-0BBB-4454-BBB0-0A8027CC45F1}"/>
    <hyperlink ref="A113" r:id="rId110" xr:uid="{F5554C4F-9331-4AFA-B047-DF25BE31902F}"/>
    <hyperlink ref="A114" r:id="rId111" xr:uid="{68CF2DBC-5374-491B-9322-723427813B33}"/>
    <hyperlink ref="A115" r:id="rId112" xr:uid="{D680E353-D102-40A3-AFD2-4311588FCE4C}"/>
    <hyperlink ref="A116" r:id="rId113" xr:uid="{45173CE8-DD90-4F06-8185-05A138C0E8B3}"/>
    <hyperlink ref="A117" r:id="rId114" xr:uid="{9B2E8FBC-355A-4760-BA9C-E24D2EE03E93}"/>
    <hyperlink ref="A118" r:id="rId115" xr:uid="{2C6C6680-44CB-4879-A2E4-EF705B5B7C56}"/>
    <hyperlink ref="A119" r:id="rId116" xr:uid="{2DD51F0A-E2F8-4740-B1E1-DC50F3DB5339}"/>
    <hyperlink ref="A120" r:id="rId117" xr:uid="{EDCA55EC-2986-4682-81A0-075898B04F7F}"/>
    <hyperlink ref="A121" r:id="rId118" xr:uid="{1415510B-AD70-412E-BE86-A5F94A58549A}"/>
    <hyperlink ref="A122" r:id="rId119" xr:uid="{080FBF86-4DDE-41AC-8DA9-82C6B5CF4EEB}"/>
    <hyperlink ref="A123" r:id="rId120" xr:uid="{56970B14-0DE0-4D2A-94DC-9FDA37DBEEC7}"/>
    <hyperlink ref="A124" r:id="rId121" xr:uid="{B768A9A2-90DE-4D80-B7CD-A5E01DF00295}"/>
    <hyperlink ref="A126" r:id="rId122" xr:uid="{143F3CD7-518A-4855-B6C7-FB5F3F8C960B}"/>
    <hyperlink ref="A127" r:id="rId123" xr:uid="{090129D2-F683-475B-A5A0-E0CED83C7E66}"/>
    <hyperlink ref="A128" r:id="rId124" xr:uid="{C7E5EEEA-3D44-45C6-BCED-B5A8894D1059}"/>
    <hyperlink ref="A129" r:id="rId125" xr:uid="{F5AB0D66-DF68-4317-A66C-895365FECDE4}"/>
    <hyperlink ref="A130" r:id="rId126" xr:uid="{A0FC8A79-5BB7-4551-AEB0-8D9256A8B6A4}"/>
    <hyperlink ref="A131" r:id="rId127" xr:uid="{AC3F2261-060A-4F07-8B1D-E39D4459AC40}"/>
    <hyperlink ref="A132" r:id="rId128" xr:uid="{3F6F4F08-226A-4E0C-8BAF-F260076BF214}"/>
    <hyperlink ref="A133" r:id="rId129" xr:uid="{5F67351B-CAE4-4457-BD6F-6600ECBA6F78}"/>
    <hyperlink ref="A134" r:id="rId130" xr:uid="{278B2CF4-3E04-4AB1-8F31-9C44C1F2904B}"/>
    <hyperlink ref="A135" r:id="rId131" xr:uid="{3062F7F8-3B61-4812-80BC-8F09F3AEADC3}"/>
    <hyperlink ref="A136" r:id="rId132" xr:uid="{0FA55A1F-6166-46ED-A37F-7CC8E400653D}"/>
    <hyperlink ref="A137" r:id="rId133" xr:uid="{72EDA088-864F-4B88-9AB9-14EF5DCE9E98}"/>
    <hyperlink ref="A138" r:id="rId134" xr:uid="{792A3A48-22AD-496C-805F-1C49A37964B4}"/>
    <hyperlink ref="A139" r:id="rId135" xr:uid="{DF0505C1-E733-4CBA-9194-BABDC558AEAE}"/>
    <hyperlink ref="A140" r:id="rId136" xr:uid="{0AC615BD-3F99-4D4E-BFAD-E07F157C4144}"/>
    <hyperlink ref="A142" r:id="rId137" xr:uid="{D02B884C-F040-4A81-AD7D-363ECF42889E}"/>
    <hyperlink ref="A143" r:id="rId138" xr:uid="{ED8C6B5C-36EE-470D-93E7-B92D6F93B813}"/>
    <hyperlink ref="A144" r:id="rId139" xr:uid="{1D3BB8A1-72FE-4EC2-A345-3287AB67F4BE}"/>
    <hyperlink ref="A145" r:id="rId140" xr:uid="{2AB9FE3F-4560-4432-B1A1-7E066485506C}"/>
    <hyperlink ref="A146" r:id="rId141" xr:uid="{D1DFB7A9-01B6-4855-B5B8-2569C55FBE47}"/>
    <hyperlink ref="A147" r:id="rId142" xr:uid="{83F170E8-1636-45B6-B980-66F2F7DB29B2}"/>
    <hyperlink ref="A148" r:id="rId143" xr:uid="{0A98283A-3AA9-465E-9BB8-3B1A58E80805}"/>
    <hyperlink ref="A149" r:id="rId144" xr:uid="{315D5938-2E12-4271-B52D-EB3E28210DE7}"/>
    <hyperlink ref="A150" r:id="rId145" xr:uid="{110EE0C6-0197-48D1-87FE-63A7DD798F81}"/>
    <hyperlink ref="A151" r:id="rId146" xr:uid="{BE8C166F-53C6-4314-A626-3F5B84047E28}"/>
    <hyperlink ref="A152" r:id="rId147" xr:uid="{ACF537AC-1CFD-4A98-A8C8-3250791FD303}"/>
    <hyperlink ref="A153" r:id="rId148" xr:uid="{A003F352-77F1-4839-89AF-0F28768FB937}"/>
    <hyperlink ref="A154" r:id="rId149" xr:uid="{41C4B60A-337F-4CA7-A269-0C87A8CFA231}"/>
  </hyperlinks>
  <pageMargins left="0.7" right="0.7" top="0.75" bottom="0.75" header="0.3" footer="0.3"/>
  <pageSetup paperSize="9" orientation="portrait" r:id="rId150"/>
  <drawing r:id="rId151"/>
  <legacyDrawing r:id="rId152"/>
  <mc:AlternateContent xmlns:mc="http://schemas.openxmlformats.org/markup-compatibility/2006">
    <mc:Choice Requires="x14">
      <controls>
        <mc:AlternateContent xmlns:mc="http://schemas.openxmlformats.org/markup-compatibility/2006">
          <mc:Choice Requires="x14">
            <control shapeId="18433" r:id="rId153" name="Button 1">
              <controlPr defaultSize="0" print="0" autoFill="0" autoPict="0" macro="[0]!Action_TaskMng2.backlog">
                <anchor moveWithCells="1" sizeWithCells="1">
                  <from>
                    <xdr:col>4</xdr:col>
                    <xdr:colOff>25400</xdr:colOff>
                    <xdr:row>0</xdr:row>
                    <xdr:rowOff>25400</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565B182-612B-4F68-9097-52240A48B038}">
          <x14:formula1>
            <xm:f>親課題リスト!$D$4:$D$13</xm:f>
          </x14:formula1>
          <xm:sqref>B1:D1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5197C-2258-4016-AF2C-77A0102D22F1}">
  <sheetPr codeName="Sheet6">
    <tabColor theme="9" tint="0.79998168889431442"/>
  </sheetPr>
  <dimension ref="A1:V1000"/>
  <sheetViews>
    <sheetView showGridLines="0" zoomScale="72" zoomScaleNormal="55" workbookViewId="0"/>
  </sheetViews>
  <sheetFormatPr baseColWidth="10" defaultColWidth="8.83203125" defaultRowHeight="18"/>
  <cols>
    <col min="1" max="1" width="20.6640625" customWidth="1"/>
    <col min="2" max="2" width="34.6640625" bestFit="1" customWidth="1"/>
    <col min="3" max="3" width="9.1640625" bestFit="1" customWidth="1"/>
    <col min="4" max="4" width="9.1640625" customWidth="1"/>
    <col min="5" max="5" width="11.1640625" bestFit="1" customWidth="1"/>
    <col min="6" max="6" width="10" bestFit="1" customWidth="1"/>
    <col min="7" max="7" width="10.1640625" bestFit="1" customWidth="1"/>
    <col min="8" max="8" width="10.1640625" customWidth="1"/>
    <col min="9" max="11" width="34.83203125" style="11" customWidth="1"/>
    <col min="12" max="12" width="40.6640625" customWidth="1"/>
  </cols>
  <sheetData>
    <row r="1" spans="1:22">
      <c r="A1" s="10" t="s">
        <v>8</v>
      </c>
      <c r="B1" s="103" t="s">
        <v>82</v>
      </c>
      <c r="C1" s="103"/>
      <c r="D1" s="52"/>
    </row>
    <row r="2" spans="1:22">
      <c r="A2" s="10" t="s">
        <v>2</v>
      </c>
      <c r="B2" s="103">
        <f>VLOOKUP(B1,親課題リスト!D4:E6,2)</f>
        <v>10929022</v>
      </c>
      <c r="C2" s="103"/>
      <c r="D2" s="52"/>
    </row>
    <row r="3" spans="1:22">
      <c r="A3" s="12" t="s">
        <v>947</v>
      </c>
      <c r="B3" s="12"/>
    </row>
    <row r="4" spans="1:22" ht="6.75" customHeight="1"/>
    <row r="5" spans="1:22" ht="40.5" customHeight="1">
      <c r="A5" s="17" t="s">
        <v>11</v>
      </c>
      <c r="B5" s="17" t="s">
        <v>3</v>
      </c>
      <c r="C5" s="17" t="s">
        <v>12</v>
      </c>
      <c r="D5" s="16" t="s">
        <v>446</v>
      </c>
      <c r="E5" s="17" t="s">
        <v>13</v>
      </c>
      <c r="F5" s="17" t="s">
        <v>14</v>
      </c>
      <c r="G5" s="17" t="s">
        <v>15</v>
      </c>
      <c r="H5" s="16" t="s">
        <v>19</v>
      </c>
      <c r="I5" s="17" t="s">
        <v>16</v>
      </c>
      <c r="J5" s="16" t="s">
        <v>17</v>
      </c>
      <c r="K5" s="16" t="s">
        <v>18</v>
      </c>
      <c r="L5" s="16" t="s">
        <v>25</v>
      </c>
    </row>
    <row r="6" spans="1:22" ht="68">
      <c r="A6" s="13" t="s">
        <v>948</v>
      </c>
      <c r="B6" s="3" t="s">
        <v>949</v>
      </c>
      <c r="C6" s="3" t="s">
        <v>88</v>
      </c>
      <c r="D6" s="3" t="s">
        <v>950</v>
      </c>
      <c r="E6" s="3" t="s">
        <v>21</v>
      </c>
      <c r="F6" s="14">
        <v>44222</v>
      </c>
      <c r="G6" s="3"/>
      <c r="H6" s="3" t="s">
        <v>23</v>
      </c>
      <c r="I6" s="15" t="s">
        <v>951</v>
      </c>
      <c r="J6" s="3"/>
      <c r="K6" s="3"/>
      <c r="L6" s="3"/>
      <c r="M6" s="1"/>
      <c r="N6" s="1"/>
      <c r="O6" s="1"/>
      <c r="P6" s="1"/>
      <c r="Q6" s="1"/>
      <c r="R6" s="1"/>
      <c r="S6" s="1"/>
      <c r="T6" s="1"/>
      <c r="U6" s="1"/>
      <c r="V6" s="1"/>
    </row>
    <row r="7" spans="1:22" ht="409.6">
      <c r="A7" s="13" t="s">
        <v>329</v>
      </c>
      <c r="B7" s="3" t="s">
        <v>98</v>
      </c>
      <c r="C7" s="3" t="s">
        <v>88</v>
      </c>
      <c r="D7" s="3"/>
      <c r="E7" s="3" t="s">
        <v>20</v>
      </c>
      <c r="F7" s="14">
        <v>44216</v>
      </c>
      <c r="G7" s="3"/>
      <c r="H7" s="3" t="s">
        <v>22</v>
      </c>
      <c r="I7" s="15" t="s">
        <v>330</v>
      </c>
      <c r="J7" s="3"/>
      <c r="K7" s="3"/>
      <c r="L7" s="3"/>
      <c r="M7" s="1"/>
      <c r="N7" s="1"/>
      <c r="O7" s="1"/>
      <c r="P7" s="1"/>
      <c r="Q7" s="1"/>
      <c r="R7" s="1"/>
      <c r="S7" s="1"/>
      <c r="T7" s="1"/>
      <c r="U7" s="1"/>
      <c r="V7" s="1"/>
    </row>
    <row r="8" spans="1:22" ht="119">
      <c r="A8" s="13" t="s">
        <v>331</v>
      </c>
      <c r="B8" s="3" t="s">
        <v>332</v>
      </c>
      <c r="C8" s="3" t="s">
        <v>62</v>
      </c>
      <c r="D8" s="3" t="s">
        <v>557</v>
      </c>
      <c r="E8" s="3" t="s">
        <v>21</v>
      </c>
      <c r="F8" s="14">
        <v>44215</v>
      </c>
      <c r="G8" s="14">
        <v>44217</v>
      </c>
      <c r="H8" s="3" t="s">
        <v>22</v>
      </c>
      <c r="I8" s="15" t="s">
        <v>333</v>
      </c>
      <c r="J8" s="3"/>
      <c r="K8" s="3"/>
      <c r="L8" s="3"/>
      <c r="M8" s="1"/>
      <c r="N8" s="1"/>
      <c r="O8" s="1"/>
      <c r="P8" s="1"/>
      <c r="Q8" s="1"/>
      <c r="R8" s="1"/>
      <c r="S8" s="1"/>
      <c r="T8" s="1"/>
      <c r="U8" s="1"/>
      <c r="V8" s="1"/>
    </row>
    <row r="9" spans="1:22" ht="119">
      <c r="A9" s="13" t="s">
        <v>334</v>
      </c>
      <c r="B9" s="3" t="s">
        <v>335</v>
      </c>
      <c r="C9" s="3" t="s">
        <v>167</v>
      </c>
      <c r="D9" s="3"/>
      <c r="E9" s="3" t="s">
        <v>20</v>
      </c>
      <c r="F9" s="14">
        <v>44215</v>
      </c>
      <c r="G9" s="3"/>
      <c r="H9" s="3" t="s">
        <v>52</v>
      </c>
      <c r="I9" s="15" t="s">
        <v>333</v>
      </c>
      <c r="J9" s="3"/>
      <c r="K9" s="3"/>
      <c r="L9" s="3" t="s">
        <v>336</v>
      </c>
      <c r="M9" s="1"/>
      <c r="N9" s="1"/>
      <c r="O9" s="1"/>
      <c r="P9" s="1"/>
      <c r="Q9" s="1"/>
      <c r="R9" s="1"/>
      <c r="S9" s="1"/>
      <c r="T9" s="1"/>
      <c r="U9" s="1"/>
      <c r="V9" s="1"/>
    </row>
    <row r="10" spans="1:22" ht="372">
      <c r="A10" s="13" t="s">
        <v>337</v>
      </c>
      <c r="B10" s="3" t="s">
        <v>338</v>
      </c>
      <c r="C10" s="3" t="s">
        <v>167</v>
      </c>
      <c r="D10" s="3"/>
      <c r="E10" s="3" t="s">
        <v>20</v>
      </c>
      <c r="F10" s="14">
        <v>44216</v>
      </c>
      <c r="G10" s="3"/>
      <c r="H10" s="3" t="s">
        <v>22</v>
      </c>
      <c r="I10" s="15" t="s">
        <v>339</v>
      </c>
      <c r="J10" s="3"/>
      <c r="K10" s="3"/>
      <c r="L10" s="3"/>
      <c r="M10" s="1"/>
      <c r="N10" s="1"/>
      <c r="O10" s="1"/>
      <c r="P10" s="1"/>
      <c r="Q10" s="1"/>
      <c r="R10" s="1"/>
      <c r="S10" s="1"/>
      <c r="T10" s="1"/>
      <c r="U10" s="1"/>
      <c r="V10" s="1"/>
    </row>
    <row r="11" spans="1:22" ht="170">
      <c r="A11" s="13" t="s">
        <v>340</v>
      </c>
      <c r="B11" s="3" t="s">
        <v>341</v>
      </c>
      <c r="C11" s="3" t="s">
        <v>88</v>
      </c>
      <c r="D11" s="3"/>
      <c r="E11" s="3" t="s">
        <v>20</v>
      </c>
      <c r="F11" s="14">
        <v>44216</v>
      </c>
      <c r="G11" s="3"/>
      <c r="H11" s="3" t="s">
        <v>22</v>
      </c>
      <c r="I11" s="15" t="s">
        <v>342</v>
      </c>
      <c r="J11" s="3"/>
      <c r="K11" s="3"/>
      <c r="L11" s="3"/>
      <c r="M11" s="1"/>
      <c r="N11" s="1"/>
      <c r="O11" s="1"/>
      <c r="P11" s="1"/>
      <c r="Q11" s="1"/>
      <c r="R11" s="1"/>
      <c r="S11" s="1"/>
      <c r="T11" s="1"/>
      <c r="U11" s="1"/>
      <c r="V11" s="1"/>
    </row>
    <row r="12" spans="1:22" ht="187">
      <c r="A12" s="13" t="s">
        <v>343</v>
      </c>
      <c r="B12" s="3" t="s">
        <v>344</v>
      </c>
      <c r="C12" s="3" t="s">
        <v>62</v>
      </c>
      <c r="D12" s="3" t="s">
        <v>557</v>
      </c>
      <c r="E12" s="3" t="s">
        <v>21</v>
      </c>
      <c r="F12" s="14">
        <v>44215</v>
      </c>
      <c r="G12" s="14">
        <v>44217</v>
      </c>
      <c r="H12" s="3" t="s">
        <v>22</v>
      </c>
      <c r="I12" s="15" t="s">
        <v>345</v>
      </c>
      <c r="J12" s="3"/>
      <c r="K12" s="3"/>
      <c r="L12" s="3"/>
      <c r="M12" s="1"/>
      <c r="N12" s="1"/>
      <c r="O12" s="1"/>
      <c r="P12" s="1"/>
      <c r="Q12" s="1"/>
      <c r="R12" s="1"/>
      <c r="S12" s="1"/>
      <c r="T12" s="1"/>
      <c r="U12" s="1"/>
      <c r="V12" s="1"/>
    </row>
    <row r="13" spans="1:22" ht="153">
      <c r="A13" s="13" t="s">
        <v>346</v>
      </c>
      <c r="B13" s="3" t="s">
        <v>347</v>
      </c>
      <c r="C13" s="3" t="s">
        <v>167</v>
      </c>
      <c r="D13" s="3"/>
      <c r="E13" s="3" t="s">
        <v>20</v>
      </c>
      <c r="F13" s="14">
        <v>44215</v>
      </c>
      <c r="G13" s="3"/>
      <c r="H13" s="3" t="s">
        <v>52</v>
      </c>
      <c r="I13" s="15" t="s">
        <v>348</v>
      </c>
      <c r="J13" s="3"/>
      <c r="K13" s="3"/>
      <c r="L13" s="3" t="s">
        <v>349</v>
      </c>
      <c r="M13" s="1"/>
      <c r="N13" s="1"/>
      <c r="O13" s="1"/>
      <c r="P13" s="1"/>
      <c r="Q13" s="1"/>
      <c r="R13" s="1"/>
      <c r="S13" s="1"/>
      <c r="T13" s="1"/>
      <c r="U13" s="1"/>
      <c r="V13" s="1"/>
    </row>
    <row r="14" spans="1:22" ht="409.6">
      <c r="A14" s="13" t="s">
        <v>350</v>
      </c>
      <c r="B14" s="3" t="s">
        <v>351</v>
      </c>
      <c r="C14" s="3" t="s">
        <v>210</v>
      </c>
      <c r="D14" s="3" t="s">
        <v>653</v>
      </c>
      <c r="E14" s="3" t="s">
        <v>21</v>
      </c>
      <c r="F14" s="14">
        <v>44215</v>
      </c>
      <c r="G14" s="14">
        <v>44216</v>
      </c>
      <c r="H14" s="3" t="s">
        <v>52</v>
      </c>
      <c r="I14" s="15" t="s">
        <v>352</v>
      </c>
      <c r="J14" s="15" t="s">
        <v>353</v>
      </c>
      <c r="K14" s="15" t="s">
        <v>354</v>
      </c>
      <c r="L14" s="3" t="s">
        <v>355</v>
      </c>
      <c r="M14" s="1"/>
      <c r="N14" s="1"/>
      <c r="O14" s="1"/>
      <c r="P14" s="1"/>
      <c r="Q14" s="1"/>
      <c r="R14" s="1"/>
      <c r="S14" s="1"/>
      <c r="T14" s="1"/>
      <c r="U14" s="1"/>
      <c r="V14" s="1"/>
    </row>
    <row r="15" spans="1:22">
      <c r="A15" s="3"/>
      <c r="B15" s="3"/>
      <c r="C15" s="3"/>
      <c r="D15" s="3"/>
      <c r="E15" s="3"/>
      <c r="F15" s="3"/>
      <c r="G15" s="3"/>
      <c r="H15" s="3"/>
      <c r="I15" s="3"/>
      <c r="J15" s="3"/>
      <c r="K15" s="3"/>
      <c r="L15" s="3"/>
      <c r="M15" s="1"/>
      <c r="N15" s="1"/>
      <c r="O15" s="1"/>
      <c r="P15" s="1"/>
      <c r="Q15" s="1"/>
      <c r="R15" s="1"/>
      <c r="S15" s="1"/>
      <c r="T15" s="1"/>
      <c r="U15" s="1"/>
    </row>
    <row r="16" spans="1:22">
      <c r="I16"/>
      <c r="J16"/>
      <c r="K16"/>
    </row>
    <row r="17" customFormat="1"/>
    <row r="18" customFormat="1"/>
    <row r="19" customFormat="1"/>
    <row r="20" customFormat="1"/>
    <row r="21" customFormat="1"/>
    <row r="22" customFormat="1"/>
    <row r="23" customFormat="1"/>
    <row r="24" customFormat="1"/>
    <row r="25" customFormat="1"/>
    <row r="26" customFormat="1"/>
    <row r="27" customFormat="1"/>
    <row r="28" customFormat="1"/>
    <row r="29" customFormat="1"/>
    <row r="30" customFormat="1"/>
    <row r="31" customFormat="1"/>
    <row r="32"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mergeCells count="2">
    <mergeCell ref="B1:C1"/>
    <mergeCell ref="B2:C2"/>
  </mergeCells>
  <phoneticPr fontId="3"/>
  <hyperlinks>
    <hyperlink ref="A6" r:id="rId1" xr:uid="{15B899CE-B2E7-4411-9EA9-ECED0FFCD2B6}"/>
    <hyperlink ref="A7" r:id="rId2" xr:uid="{03B13228-BE00-475C-9406-354E5726A2CA}"/>
    <hyperlink ref="A8" r:id="rId3" xr:uid="{A7B7C316-7969-4F2D-BEBA-D639CC2A7A16}"/>
    <hyperlink ref="A9" r:id="rId4" xr:uid="{6ECDD521-D908-4BE1-BE54-43C6B3792381}"/>
    <hyperlink ref="A10" r:id="rId5" xr:uid="{17C2E8B8-5AF5-4C60-A5B6-A2DF55E879F3}"/>
    <hyperlink ref="A11" r:id="rId6" xr:uid="{339EECA7-F9BE-449B-AB7C-0381333F2607}"/>
    <hyperlink ref="A12" r:id="rId7" xr:uid="{552D8FCB-3E3A-436A-BCCB-D0FEC14B59D2}"/>
    <hyperlink ref="A13" r:id="rId8" xr:uid="{4A5D7674-3349-4D48-8A4A-4E919709BEB1}"/>
    <hyperlink ref="A14" r:id="rId9" xr:uid="{BDA99CC0-F1BA-4AD6-BB05-284EE7A318C2}"/>
  </hyperlinks>
  <pageMargins left="0.7" right="0.7" top="0.75" bottom="0.75" header="0.3" footer="0.3"/>
  <pageSetup paperSize="9" orientation="portrait" r:id="rId10"/>
  <drawing r:id="rId11"/>
  <legacyDrawing r:id="rId12"/>
  <mc:AlternateContent xmlns:mc="http://schemas.openxmlformats.org/markup-compatibility/2006">
    <mc:Choice Requires="x14">
      <controls>
        <mc:AlternateContent xmlns:mc="http://schemas.openxmlformats.org/markup-compatibility/2006">
          <mc:Choice Requires="x14">
            <control shapeId="20481" r:id="rId13" name="Button 1">
              <controlPr defaultSize="0" print="0" autoFill="0" autoPict="0" macro="[0]!Action_TaskMng2.backlog">
                <anchor moveWithCells="1" sizeWithCells="1">
                  <from>
                    <xdr:col>4</xdr:col>
                    <xdr:colOff>25400</xdr:colOff>
                    <xdr:row>0</xdr:row>
                    <xdr:rowOff>25400</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E3E7C34-7833-4416-9FCA-453C96D1FCB6}">
          <x14:formula1>
            <xm:f>親課題リスト!$D$4:$D$13</xm:f>
          </x14:formula1>
          <xm:sqref>B1:D1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180AC-4AC5-45E6-98AD-B6862CD830FB}">
  <sheetPr codeName="Sheet7">
    <tabColor theme="9" tint="0.79998168889431442"/>
  </sheetPr>
  <dimension ref="A1:V1000"/>
  <sheetViews>
    <sheetView showGridLines="0" zoomScale="72" zoomScaleNormal="55" workbookViewId="0"/>
  </sheetViews>
  <sheetFormatPr baseColWidth="10" defaultColWidth="8.83203125" defaultRowHeight="18"/>
  <cols>
    <col min="1" max="1" width="20.6640625" customWidth="1"/>
    <col min="2" max="2" width="34.6640625" bestFit="1" customWidth="1"/>
    <col min="3" max="3" width="9.1640625" bestFit="1" customWidth="1"/>
    <col min="4" max="4" width="9.1640625" customWidth="1"/>
    <col min="5" max="5" width="11.1640625" bestFit="1" customWidth="1"/>
    <col min="6" max="6" width="10" bestFit="1" customWidth="1"/>
    <col min="7" max="7" width="10.1640625" bestFit="1" customWidth="1"/>
    <col min="8" max="8" width="10.1640625" customWidth="1"/>
    <col min="9" max="11" width="34.83203125" style="11" customWidth="1"/>
    <col min="12" max="12" width="40.6640625" customWidth="1"/>
  </cols>
  <sheetData>
    <row r="1" spans="1:22">
      <c r="A1" s="10" t="s">
        <v>8</v>
      </c>
      <c r="B1" s="103" t="s">
        <v>83</v>
      </c>
      <c r="C1" s="103"/>
      <c r="D1" s="52"/>
    </row>
    <row r="2" spans="1:22">
      <c r="A2" s="10" t="s">
        <v>2</v>
      </c>
      <c r="B2" s="103">
        <v>10971683</v>
      </c>
      <c r="C2" s="103"/>
      <c r="D2" s="52"/>
    </row>
    <row r="3" spans="1:22">
      <c r="A3" s="12" t="s">
        <v>952</v>
      </c>
      <c r="B3" s="12"/>
    </row>
    <row r="4" spans="1:22" ht="6.75" customHeight="1"/>
    <row r="5" spans="1:22" ht="40.5" customHeight="1">
      <c r="A5" s="17" t="s">
        <v>11</v>
      </c>
      <c r="B5" s="17" t="s">
        <v>3</v>
      </c>
      <c r="C5" s="17" t="s">
        <v>12</v>
      </c>
      <c r="D5" s="16" t="s">
        <v>446</v>
      </c>
      <c r="E5" s="17" t="s">
        <v>13</v>
      </c>
      <c r="F5" s="17" t="s">
        <v>14</v>
      </c>
      <c r="G5" s="17" t="s">
        <v>15</v>
      </c>
      <c r="H5" s="16" t="s">
        <v>19</v>
      </c>
      <c r="I5" s="17" t="s">
        <v>16</v>
      </c>
      <c r="J5" s="16" t="s">
        <v>17</v>
      </c>
      <c r="K5" s="16" t="s">
        <v>18</v>
      </c>
      <c r="L5" s="16" t="s">
        <v>25</v>
      </c>
    </row>
    <row r="6" spans="1:22">
      <c r="A6" s="13" t="s">
        <v>515</v>
      </c>
      <c r="B6" s="3" t="s">
        <v>516</v>
      </c>
      <c r="C6" s="3" t="s">
        <v>167</v>
      </c>
      <c r="D6" s="3"/>
      <c r="E6" s="3" t="s">
        <v>20</v>
      </c>
      <c r="F6" s="14">
        <v>44228</v>
      </c>
      <c r="G6" s="14">
        <v>44229</v>
      </c>
      <c r="H6" s="3"/>
      <c r="I6" s="3"/>
      <c r="J6" s="3"/>
      <c r="K6" s="3"/>
      <c r="L6" s="3"/>
      <c r="M6" s="1"/>
      <c r="N6" s="1"/>
      <c r="O6" s="1"/>
      <c r="P6" s="1"/>
      <c r="Q6" s="1"/>
      <c r="R6" s="1"/>
      <c r="S6" s="1"/>
      <c r="T6" s="1"/>
      <c r="U6" s="1"/>
      <c r="V6" s="1"/>
    </row>
    <row r="7" spans="1:22" ht="119">
      <c r="A7" s="13" t="s">
        <v>356</v>
      </c>
      <c r="B7" s="3" t="s">
        <v>357</v>
      </c>
      <c r="C7" s="3" t="s">
        <v>238</v>
      </c>
      <c r="D7" s="3"/>
      <c r="E7" s="3" t="s">
        <v>20</v>
      </c>
      <c r="F7" s="14">
        <v>44214</v>
      </c>
      <c r="G7" s="3"/>
      <c r="H7" s="3" t="s">
        <v>23</v>
      </c>
      <c r="I7" s="15" t="s">
        <v>358</v>
      </c>
      <c r="J7" s="3"/>
      <c r="K7" s="3"/>
      <c r="L7" s="3"/>
      <c r="M7" s="1"/>
      <c r="N7" s="1"/>
      <c r="O7" s="1"/>
      <c r="P7" s="1"/>
      <c r="Q7" s="1"/>
      <c r="R7" s="1"/>
      <c r="S7" s="1"/>
      <c r="T7" s="1"/>
      <c r="U7" s="1"/>
      <c r="V7" s="1"/>
    </row>
    <row r="8" spans="1:22" ht="238">
      <c r="A8" s="13" t="s">
        <v>359</v>
      </c>
      <c r="B8" s="3" t="s">
        <v>360</v>
      </c>
      <c r="C8" s="3" t="s">
        <v>62</v>
      </c>
      <c r="D8" s="3" t="s">
        <v>570</v>
      </c>
      <c r="E8" s="3" t="s">
        <v>21</v>
      </c>
      <c r="F8" s="14">
        <v>44216</v>
      </c>
      <c r="G8" s="14">
        <v>44223</v>
      </c>
      <c r="H8" s="3" t="s">
        <v>22</v>
      </c>
      <c r="I8" s="15" t="s">
        <v>361</v>
      </c>
      <c r="J8" s="3" t="s">
        <v>953</v>
      </c>
      <c r="K8" s="3" t="s">
        <v>954</v>
      </c>
      <c r="L8" s="3" t="s">
        <v>955</v>
      </c>
      <c r="M8" s="1"/>
      <c r="N8" s="1"/>
      <c r="O8" s="1"/>
      <c r="P8" s="1"/>
      <c r="Q8" s="1"/>
      <c r="R8" s="1"/>
      <c r="S8" s="1"/>
      <c r="T8" s="1"/>
      <c r="U8" s="1"/>
      <c r="V8" s="1"/>
    </row>
    <row r="9" spans="1:22" ht="272">
      <c r="A9" s="13" t="s">
        <v>362</v>
      </c>
      <c r="B9" s="3" t="s">
        <v>363</v>
      </c>
      <c r="C9" s="3" t="s">
        <v>88</v>
      </c>
      <c r="D9" s="3"/>
      <c r="E9" s="3" t="s">
        <v>20</v>
      </c>
      <c r="F9" s="14">
        <v>44214</v>
      </c>
      <c r="G9" s="3"/>
      <c r="H9" s="3" t="s">
        <v>23</v>
      </c>
      <c r="I9" s="15" t="s">
        <v>956</v>
      </c>
      <c r="J9" s="3"/>
      <c r="K9" s="3"/>
      <c r="L9" s="3"/>
      <c r="M9" s="1"/>
      <c r="N9" s="1"/>
      <c r="O9" s="1"/>
      <c r="P9" s="1"/>
      <c r="Q9" s="1"/>
      <c r="R9" s="1"/>
      <c r="S9" s="1"/>
      <c r="T9" s="1"/>
      <c r="U9" s="1"/>
      <c r="V9" s="1"/>
    </row>
    <row r="10" spans="1:22" ht="85">
      <c r="A10" s="13" t="s">
        <v>364</v>
      </c>
      <c r="B10" s="3" t="s">
        <v>365</v>
      </c>
      <c r="C10" s="3" t="s">
        <v>163</v>
      </c>
      <c r="D10" s="3"/>
      <c r="E10" s="3" t="s">
        <v>20</v>
      </c>
      <c r="F10" s="14">
        <v>44211</v>
      </c>
      <c r="G10" s="3"/>
      <c r="H10" s="3" t="s">
        <v>23</v>
      </c>
      <c r="I10" s="15" t="s">
        <v>366</v>
      </c>
      <c r="J10" s="3"/>
      <c r="K10" s="3"/>
      <c r="L10" s="3"/>
      <c r="M10" s="1"/>
      <c r="N10" s="1"/>
      <c r="O10" s="1"/>
      <c r="P10" s="1"/>
      <c r="Q10" s="1"/>
      <c r="R10" s="1"/>
      <c r="S10" s="1"/>
      <c r="T10" s="1"/>
      <c r="U10" s="1"/>
      <c r="V10" s="1"/>
    </row>
    <row r="11" spans="1:22">
      <c r="A11" s="13" t="s">
        <v>367</v>
      </c>
      <c r="B11" s="3" t="s">
        <v>368</v>
      </c>
      <c r="C11" s="3" t="s">
        <v>163</v>
      </c>
      <c r="D11" s="3"/>
      <c r="E11" s="3" t="s">
        <v>20</v>
      </c>
      <c r="F11" s="14">
        <v>44211</v>
      </c>
      <c r="G11" s="3"/>
      <c r="H11" s="3" t="s">
        <v>22</v>
      </c>
      <c r="I11" s="3"/>
      <c r="J11" s="3"/>
      <c r="K11" s="3"/>
      <c r="L11" s="3"/>
      <c r="M11" s="1"/>
      <c r="N11" s="1"/>
      <c r="O11" s="1"/>
      <c r="P11" s="1"/>
      <c r="Q11" s="1"/>
      <c r="R11" s="1"/>
      <c r="S11" s="1"/>
      <c r="T11" s="1"/>
      <c r="U11" s="1"/>
      <c r="V11" s="1"/>
    </row>
    <row r="12" spans="1:22" ht="68">
      <c r="A12" s="13" t="s">
        <v>369</v>
      </c>
      <c r="B12" s="3" t="s">
        <v>370</v>
      </c>
      <c r="C12" s="3" t="s">
        <v>163</v>
      </c>
      <c r="D12" s="3"/>
      <c r="E12" s="3" t="s">
        <v>20</v>
      </c>
      <c r="F12" s="14">
        <v>44208</v>
      </c>
      <c r="G12" s="3"/>
      <c r="H12" s="3" t="s">
        <v>111</v>
      </c>
      <c r="I12" s="15" t="s">
        <v>371</v>
      </c>
      <c r="J12" s="3"/>
      <c r="K12" s="3"/>
      <c r="L12" s="3"/>
      <c r="M12" s="1"/>
      <c r="N12" s="1"/>
      <c r="O12" s="1"/>
      <c r="P12" s="1"/>
      <c r="Q12" s="1"/>
      <c r="R12" s="1"/>
      <c r="S12" s="1"/>
      <c r="T12" s="1"/>
      <c r="U12" s="1"/>
      <c r="V12" s="1"/>
    </row>
    <row r="13" spans="1:22" ht="68">
      <c r="A13" s="13" t="s">
        <v>372</v>
      </c>
      <c r="B13" s="3" t="s">
        <v>373</v>
      </c>
      <c r="C13" s="3" t="s">
        <v>37</v>
      </c>
      <c r="D13" s="3"/>
      <c r="E13" s="3" t="s">
        <v>20</v>
      </c>
      <c r="F13" s="14">
        <v>44207</v>
      </c>
      <c r="G13" s="3"/>
      <c r="H13" s="3" t="s">
        <v>23</v>
      </c>
      <c r="I13" s="15" t="s">
        <v>374</v>
      </c>
      <c r="J13" s="3"/>
      <c r="K13" s="3"/>
      <c r="L13" s="3" t="s">
        <v>94</v>
      </c>
      <c r="M13" s="1"/>
      <c r="N13" s="1"/>
      <c r="O13" s="1"/>
      <c r="P13" s="1"/>
      <c r="Q13" s="1"/>
      <c r="R13" s="1"/>
      <c r="S13" s="1"/>
      <c r="T13" s="1"/>
      <c r="U13" s="1"/>
      <c r="V13" s="1"/>
    </row>
    <row r="14" spans="1:22" ht="187">
      <c r="A14" s="13" t="s">
        <v>375</v>
      </c>
      <c r="B14" s="3" t="s">
        <v>376</v>
      </c>
      <c r="C14" s="3" t="s">
        <v>163</v>
      </c>
      <c r="D14" s="3"/>
      <c r="E14" s="3" t="s">
        <v>20</v>
      </c>
      <c r="F14" s="14">
        <v>44207</v>
      </c>
      <c r="G14" s="3"/>
      <c r="H14" s="3" t="s">
        <v>106</v>
      </c>
      <c r="I14" s="15" t="s">
        <v>377</v>
      </c>
      <c r="J14" s="3"/>
      <c r="K14" s="3"/>
      <c r="L14" s="3" t="s">
        <v>94</v>
      </c>
      <c r="M14" s="1"/>
      <c r="N14" s="1"/>
      <c r="O14" s="1"/>
      <c r="P14" s="1"/>
      <c r="Q14" s="1"/>
      <c r="R14" s="1"/>
      <c r="S14" s="1"/>
      <c r="T14" s="1"/>
      <c r="U14" s="1"/>
      <c r="V14" s="1"/>
    </row>
    <row r="15" spans="1:22">
      <c r="A15" s="13" t="s">
        <v>378</v>
      </c>
      <c r="B15" s="3" t="s">
        <v>379</v>
      </c>
      <c r="C15" s="3" t="s">
        <v>163</v>
      </c>
      <c r="D15" s="3"/>
      <c r="E15" s="3" t="s">
        <v>20</v>
      </c>
      <c r="F15" s="14">
        <v>44207</v>
      </c>
      <c r="G15" s="3"/>
      <c r="H15" s="3" t="s">
        <v>23</v>
      </c>
      <c r="I15" s="3" t="s">
        <v>380</v>
      </c>
      <c r="J15" s="3"/>
      <c r="K15" s="3"/>
      <c r="L15" s="3"/>
      <c r="M15" s="1"/>
      <c r="N15" s="1"/>
      <c r="O15" s="1"/>
      <c r="P15" s="1"/>
      <c r="Q15" s="1"/>
      <c r="R15" s="1"/>
      <c r="S15" s="1"/>
      <c r="T15" s="1"/>
      <c r="U15" s="1"/>
      <c r="V15" s="1"/>
    </row>
    <row r="16" spans="1:22" ht="85">
      <c r="A16" s="13" t="s">
        <v>381</v>
      </c>
      <c r="B16" s="3" t="s">
        <v>382</v>
      </c>
      <c r="C16" s="3" t="s">
        <v>163</v>
      </c>
      <c r="D16" s="3"/>
      <c r="E16" s="3" t="s">
        <v>20</v>
      </c>
      <c r="F16" s="14">
        <v>44207</v>
      </c>
      <c r="G16" s="3"/>
      <c r="H16" s="3" t="s">
        <v>22</v>
      </c>
      <c r="I16" s="15" t="s">
        <v>383</v>
      </c>
      <c r="J16" s="3"/>
      <c r="K16" s="3"/>
      <c r="L16" s="3" t="s">
        <v>268</v>
      </c>
      <c r="M16" s="1"/>
      <c r="N16" s="1"/>
      <c r="O16" s="1"/>
      <c r="P16" s="1"/>
      <c r="Q16" s="1"/>
      <c r="R16" s="1"/>
      <c r="S16" s="1"/>
      <c r="T16" s="1"/>
      <c r="U16" s="1"/>
      <c r="V16" s="1"/>
    </row>
    <row r="17" spans="1:22" ht="221">
      <c r="A17" s="13" t="s">
        <v>384</v>
      </c>
      <c r="B17" s="3" t="s">
        <v>385</v>
      </c>
      <c r="C17" s="3" t="s">
        <v>386</v>
      </c>
      <c r="D17" s="3"/>
      <c r="E17" s="3" t="s">
        <v>20</v>
      </c>
      <c r="F17" s="14">
        <v>44206</v>
      </c>
      <c r="G17" s="3"/>
      <c r="H17" s="3" t="s">
        <v>23</v>
      </c>
      <c r="I17" s="15" t="s">
        <v>387</v>
      </c>
      <c r="J17" s="15" t="s">
        <v>388</v>
      </c>
      <c r="K17" s="15" t="s">
        <v>389</v>
      </c>
      <c r="L17" s="3"/>
      <c r="M17" s="1"/>
      <c r="N17" s="1"/>
      <c r="O17" s="1"/>
      <c r="P17" s="1"/>
      <c r="Q17" s="1"/>
      <c r="R17" s="1"/>
      <c r="S17" s="1"/>
      <c r="T17" s="1"/>
      <c r="U17" s="1"/>
      <c r="V17" s="1"/>
    </row>
    <row r="18" spans="1:22" ht="153">
      <c r="A18" s="13" t="s">
        <v>390</v>
      </c>
      <c r="B18" s="3" t="s">
        <v>391</v>
      </c>
      <c r="C18" s="3" t="s">
        <v>163</v>
      </c>
      <c r="D18" s="3"/>
      <c r="E18" s="3" t="s">
        <v>20</v>
      </c>
      <c r="F18" s="14">
        <v>44206</v>
      </c>
      <c r="G18" s="3"/>
      <c r="H18" s="3" t="s">
        <v>23</v>
      </c>
      <c r="I18" s="3" t="s">
        <v>392</v>
      </c>
      <c r="J18" s="3" t="s">
        <v>90</v>
      </c>
      <c r="K18" s="15" t="s">
        <v>393</v>
      </c>
      <c r="L18" s="3"/>
      <c r="M18" s="1"/>
      <c r="N18" s="1"/>
      <c r="O18" s="1"/>
      <c r="P18" s="1"/>
      <c r="Q18" s="1"/>
      <c r="R18" s="1"/>
      <c r="S18" s="1"/>
      <c r="T18" s="1"/>
      <c r="U18" s="1"/>
      <c r="V18" s="1"/>
    </row>
    <row r="19" spans="1:22" ht="51">
      <c r="A19" s="13" t="s">
        <v>394</v>
      </c>
      <c r="B19" s="3" t="s">
        <v>395</v>
      </c>
      <c r="C19" s="3" t="s">
        <v>163</v>
      </c>
      <c r="D19" s="3"/>
      <c r="E19" s="3" t="s">
        <v>20</v>
      </c>
      <c r="F19" s="14">
        <v>44206</v>
      </c>
      <c r="G19" s="3"/>
      <c r="H19" s="3" t="s">
        <v>23</v>
      </c>
      <c r="I19" s="15" t="s">
        <v>396</v>
      </c>
      <c r="J19" s="3"/>
      <c r="K19" s="3"/>
      <c r="L19" s="3"/>
      <c r="M19" s="1"/>
      <c r="N19" s="1"/>
      <c r="O19" s="1"/>
      <c r="P19" s="1"/>
      <c r="Q19" s="1"/>
      <c r="R19" s="1"/>
      <c r="S19" s="1"/>
      <c r="T19" s="1"/>
      <c r="U19" s="1"/>
      <c r="V19" s="1"/>
    </row>
    <row r="20" spans="1:22">
      <c r="A20" s="13" t="s">
        <v>397</v>
      </c>
      <c r="B20" s="3" t="s">
        <v>398</v>
      </c>
      <c r="C20" s="3" t="s">
        <v>163</v>
      </c>
      <c r="D20" s="3"/>
      <c r="E20" s="3" t="s">
        <v>20</v>
      </c>
      <c r="F20" s="14">
        <v>44206</v>
      </c>
      <c r="G20" s="3"/>
      <c r="H20" s="3" t="s">
        <v>23</v>
      </c>
      <c r="I20" s="3" t="s">
        <v>399</v>
      </c>
      <c r="J20" s="3"/>
      <c r="K20" s="3"/>
      <c r="L20" s="3"/>
      <c r="M20" s="1"/>
      <c r="N20" s="1"/>
      <c r="O20" s="1"/>
      <c r="P20" s="1"/>
      <c r="Q20" s="1"/>
      <c r="R20" s="1"/>
      <c r="S20" s="1"/>
      <c r="T20" s="1"/>
      <c r="U20" s="1"/>
      <c r="V20" s="1"/>
    </row>
    <row r="21" spans="1:22">
      <c r="A21" s="13" t="s">
        <v>400</v>
      </c>
      <c r="B21" s="3" t="s">
        <v>401</v>
      </c>
      <c r="C21" s="3" t="s">
        <v>163</v>
      </c>
      <c r="D21" s="3"/>
      <c r="E21" s="3" t="s">
        <v>20</v>
      </c>
      <c r="F21" s="14">
        <v>44206</v>
      </c>
      <c r="G21" s="3"/>
      <c r="H21" s="3" t="s">
        <v>23</v>
      </c>
      <c r="I21" s="3"/>
      <c r="J21" s="3"/>
      <c r="K21" s="3"/>
      <c r="L21" s="3"/>
      <c r="M21" s="1"/>
      <c r="N21" s="1"/>
      <c r="O21" s="1"/>
      <c r="P21" s="1"/>
      <c r="Q21" s="1"/>
      <c r="R21" s="1"/>
      <c r="S21" s="1"/>
      <c r="T21" s="1"/>
      <c r="U21" s="1"/>
      <c r="V21" s="1"/>
    </row>
    <row r="22" spans="1:22" ht="85">
      <c r="A22" s="13" t="s">
        <v>402</v>
      </c>
      <c r="B22" s="3" t="s">
        <v>403</v>
      </c>
      <c r="C22" s="3" t="s">
        <v>163</v>
      </c>
      <c r="D22" s="3"/>
      <c r="E22" s="3" t="s">
        <v>20</v>
      </c>
      <c r="F22" s="14">
        <v>44206</v>
      </c>
      <c r="G22" s="3"/>
      <c r="H22" s="3" t="s">
        <v>22</v>
      </c>
      <c r="I22" s="15" t="s">
        <v>404</v>
      </c>
      <c r="J22" s="3"/>
      <c r="K22" s="3"/>
      <c r="L22" s="3"/>
      <c r="M22" s="1"/>
      <c r="N22" s="1"/>
      <c r="O22" s="1"/>
      <c r="P22" s="1"/>
      <c r="Q22" s="1"/>
      <c r="R22" s="1"/>
      <c r="S22" s="1"/>
      <c r="T22" s="1"/>
      <c r="U22" s="1"/>
      <c r="V22" s="1"/>
    </row>
    <row r="23" spans="1:22" ht="51">
      <c r="A23" s="13" t="s">
        <v>405</v>
      </c>
      <c r="B23" s="3" t="s">
        <v>406</v>
      </c>
      <c r="C23" s="3" t="s">
        <v>163</v>
      </c>
      <c r="D23" s="3"/>
      <c r="E23" s="3" t="s">
        <v>20</v>
      </c>
      <c r="F23" s="14">
        <v>44206</v>
      </c>
      <c r="G23" s="3"/>
      <c r="H23" s="3" t="s">
        <v>111</v>
      </c>
      <c r="I23" s="15" t="s">
        <v>407</v>
      </c>
      <c r="J23" s="3"/>
      <c r="K23" s="3"/>
      <c r="L23" s="3" t="s">
        <v>408</v>
      </c>
      <c r="M23" s="1"/>
      <c r="N23" s="1"/>
      <c r="O23" s="1"/>
      <c r="P23" s="1"/>
      <c r="Q23" s="1"/>
      <c r="R23" s="1"/>
      <c r="S23" s="1"/>
      <c r="T23" s="1"/>
      <c r="U23" s="1"/>
      <c r="V23" s="1"/>
    </row>
    <row r="24" spans="1:22" ht="153">
      <c r="A24" s="13" t="s">
        <v>409</v>
      </c>
      <c r="B24" s="3" t="s">
        <v>410</v>
      </c>
      <c r="C24" s="3" t="s">
        <v>163</v>
      </c>
      <c r="D24" s="3"/>
      <c r="E24" s="3" t="s">
        <v>20</v>
      </c>
      <c r="F24" s="14">
        <v>44206</v>
      </c>
      <c r="G24" s="3"/>
      <c r="H24" s="3" t="s">
        <v>111</v>
      </c>
      <c r="I24" s="15" t="s">
        <v>411</v>
      </c>
      <c r="J24" s="3"/>
      <c r="K24" s="3"/>
      <c r="L24" s="3" t="s">
        <v>408</v>
      </c>
      <c r="M24" s="1"/>
      <c r="N24" s="1"/>
      <c r="O24" s="1"/>
      <c r="P24" s="1"/>
      <c r="Q24" s="1"/>
      <c r="R24" s="1"/>
      <c r="S24" s="1"/>
      <c r="T24" s="1"/>
      <c r="U24" s="1"/>
      <c r="V24" s="1"/>
    </row>
    <row r="25" spans="1:22" ht="119">
      <c r="A25" s="13" t="s">
        <v>412</v>
      </c>
      <c r="B25" s="3" t="s">
        <v>413</v>
      </c>
      <c r="C25" s="3" t="s">
        <v>163</v>
      </c>
      <c r="D25" s="3"/>
      <c r="E25" s="3" t="s">
        <v>20</v>
      </c>
      <c r="F25" s="14">
        <v>44206</v>
      </c>
      <c r="G25" s="3"/>
      <c r="H25" s="3" t="s">
        <v>22</v>
      </c>
      <c r="I25" s="15" t="s">
        <v>414</v>
      </c>
      <c r="J25" s="3"/>
      <c r="K25" s="3"/>
      <c r="L25" s="3"/>
      <c r="M25" s="1"/>
      <c r="N25" s="1"/>
      <c r="O25" s="1"/>
      <c r="P25" s="1"/>
      <c r="Q25" s="1"/>
      <c r="R25" s="1"/>
      <c r="S25" s="1"/>
      <c r="T25" s="1"/>
      <c r="U25" s="1"/>
      <c r="V25" s="1"/>
    </row>
    <row r="26" spans="1:22">
      <c r="A26" s="13" t="s">
        <v>41</v>
      </c>
      <c r="B26" s="3" t="s">
        <v>415</v>
      </c>
      <c r="C26" s="3" t="s">
        <v>163</v>
      </c>
      <c r="D26" s="3"/>
      <c r="E26" s="3" t="s">
        <v>20</v>
      </c>
      <c r="F26" s="14">
        <v>44204</v>
      </c>
      <c r="G26" s="3"/>
      <c r="H26" s="3" t="s">
        <v>22</v>
      </c>
      <c r="I26" s="3" t="s">
        <v>416</v>
      </c>
      <c r="J26" s="3" t="s">
        <v>42</v>
      </c>
      <c r="K26" s="3" t="s">
        <v>43</v>
      </c>
      <c r="L26" s="3"/>
      <c r="M26" s="1"/>
      <c r="N26" s="1"/>
      <c r="O26" s="1"/>
      <c r="P26" s="1"/>
      <c r="Q26" s="1"/>
      <c r="R26" s="1"/>
      <c r="S26" s="1"/>
      <c r="T26" s="1"/>
      <c r="U26" s="1"/>
      <c r="V26" s="1"/>
    </row>
    <row r="27" spans="1:22">
      <c r="A27" s="3"/>
      <c r="B27" s="3"/>
      <c r="C27" s="3"/>
      <c r="D27" s="3"/>
      <c r="E27" s="3"/>
      <c r="F27" s="3"/>
      <c r="G27" s="3"/>
      <c r="H27" s="3"/>
      <c r="I27" s="3"/>
      <c r="J27" s="3"/>
      <c r="K27" s="3"/>
      <c r="L27" s="3"/>
      <c r="M27" s="1"/>
      <c r="N27" s="1"/>
      <c r="O27" s="1"/>
      <c r="P27" s="1"/>
      <c r="Q27" s="1"/>
      <c r="R27" s="1"/>
      <c r="S27" s="1"/>
      <c r="T27" s="1"/>
      <c r="U27" s="1"/>
    </row>
    <row r="28" spans="1:22">
      <c r="I28"/>
      <c r="J28"/>
      <c r="K28"/>
    </row>
    <row r="29" spans="1:22">
      <c r="I29"/>
      <c r="J29"/>
      <c r="K29"/>
    </row>
    <row r="30" spans="1:22">
      <c r="I30"/>
      <c r="J30"/>
      <c r="K30"/>
    </row>
    <row r="31" spans="1:22">
      <c r="I31"/>
      <c r="J31"/>
      <c r="K31"/>
    </row>
    <row r="32" spans="1:22">
      <c r="I32"/>
      <c r="J32"/>
      <c r="K32"/>
    </row>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mergeCells count="2">
    <mergeCell ref="B1:C1"/>
    <mergeCell ref="B2:C2"/>
  </mergeCells>
  <phoneticPr fontId="3"/>
  <hyperlinks>
    <hyperlink ref="A6" r:id="rId1" xr:uid="{FB19E689-1247-47E6-83F6-1A6C1777B050}"/>
    <hyperlink ref="A7" r:id="rId2" xr:uid="{1589AD25-292A-4F79-8E9C-0AF3222E66BC}"/>
    <hyperlink ref="A8" r:id="rId3" xr:uid="{411D53DA-4290-43EC-A88F-EF4A07DAB7E0}"/>
    <hyperlink ref="A9" r:id="rId4" xr:uid="{4790168D-C2DE-42E1-84FA-08E42913E039}"/>
    <hyperlink ref="A10" r:id="rId5" xr:uid="{A6521036-41EC-4E48-9334-8E6E3761FB74}"/>
    <hyperlink ref="A11" r:id="rId6" xr:uid="{CCFBFDEF-730E-4BD1-A741-7341D34783BE}"/>
    <hyperlink ref="A12" r:id="rId7" xr:uid="{0A4F70D4-44C1-4A20-8336-0CEC9736FC0D}"/>
    <hyperlink ref="A13" r:id="rId8" xr:uid="{5891727B-B5E8-47CA-ACF3-3FFEC58C2F63}"/>
    <hyperlink ref="A14" r:id="rId9" xr:uid="{725DB2B2-6E80-4EFC-A250-39D62FAA7E44}"/>
    <hyperlink ref="A15" r:id="rId10" xr:uid="{593D89F4-1CCE-4BD1-8845-749DAE9F62B4}"/>
    <hyperlink ref="A16" r:id="rId11" xr:uid="{BAA8A78F-F2AF-4BB1-873E-CE4D8C8771E8}"/>
    <hyperlink ref="A17" r:id="rId12" xr:uid="{B251ED9E-9C9C-487A-BC62-69285D1C65AB}"/>
    <hyperlink ref="A18" r:id="rId13" xr:uid="{7B6ADA5C-D078-4551-BFD6-875ABE2BA37B}"/>
    <hyperlink ref="A19" r:id="rId14" xr:uid="{08A56159-9433-452B-AFD3-E59FF3F1DBF8}"/>
    <hyperlink ref="A20" r:id="rId15" xr:uid="{E5AD3BD3-89F8-4DA2-BAD6-9DDBCA05D686}"/>
    <hyperlink ref="A21" r:id="rId16" xr:uid="{2D964FBC-1A4C-4525-AFC3-B263278A579D}"/>
    <hyperlink ref="A22" r:id="rId17" xr:uid="{50B4E127-EEB6-4295-8FDA-EB6D0782EC9A}"/>
    <hyperlink ref="A23" r:id="rId18" xr:uid="{06E41E88-1F3E-44CE-9604-32DA30E746E6}"/>
    <hyperlink ref="A24" r:id="rId19" xr:uid="{49F0DFD4-1394-4C8B-97D0-8F6EE4952C5D}"/>
    <hyperlink ref="A25" r:id="rId20" xr:uid="{6CDABA46-E72F-419E-B13B-08CCBB4E97EB}"/>
    <hyperlink ref="A26" r:id="rId21" xr:uid="{47479AB1-F849-4836-A197-205D89DE966D}"/>
  </hyperlinks>
  <pageMargins left="0.7" right="0.7" top="0.75" bottom="0.75" header="0.3" footer="0.3"/>
  <pageSetup paperSize="9" orientation="portrait" r:id="rId22"/>
  <drawing r:id="rId23"/>
  <legacyDrawing r:id="rId24"/>
  <mc:AlternateContent xmlns:mc="http://schemas.openxmlformats.org/markup-compatibility/2006">
    <mc:Choice Requires="x14">
      <controls>
        <mc:AlternateContent xmlns:mc="http://schemas.openxmlformats.org/markup-compatibility/2006">
          <mc:Choice Requires="x14">
            <control shapeId="21505" r:id="rId25" name="Button 1">
              <controlPr defaultSize="0" print="0" autoFill="0" autoPict="0" macro="[0]!Action_TaskMng2.backlog">
                <anchor moveWithCells="1" sizeWithCells="1">
                  <from>
                    <xdr:col>4</xdr:col>
                    <xdr:colOff>25400</xdr:colOff>
                    <xdr:row>0</xdr:row>
                    <xdr:rowOff>25400</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591DEBD-914B-4F9D-B77B-1F5ABF10377C}">
          <x14:formula1>
            <xm:f>親課題リスト!$D$4:$D$13</xm:f>
          </x14:formula1>
          <xm:sqref>B1:D1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8D3269-21DE-4C23-A5BD-94ABDB6D7CBB}">
  <sheetPr codeName="Sheet5"/>
  <dimension ref="B1:E13"/>
  <sheetViews>
    <sheetView showGridLines="0" workbookViewId="0">
      <selection activeCell="D36" sqref="D36"/>
    </sheetView>
  </sheetViews>
  <sheetFormatPr baseColWidth="10" defaultColWidth="9" defaultRowHeight="16"/>
  <cols>
    <col min="1" max="1" width="2" style="1" customWidth="1"/>
    <col min="2" max="2" width="21.6640625" style="1" bestFit="1" customWidth="1"/>
    <col min="3" max="3" width="10.33203125" style="1" customWidth="1"/>
    <col min="4" max="4" width="49.83203125" style="1" bestFit="1" customWidth="1"/>
    <col min="5" max="5" width="14.5" style="1" customWidth="1"/>
    <col min="6" max="16384" width="9" style="1"/>
  </cols>
  <sheetData>
    <row r="1" spans="2:5" ht="18">
      <c r="B1" s="5"/>
    </row>
    <row r="3" spans="2:5">
      <c r="B3" s="8" t="s">
        <v>9</v>
      </c>
      <c r="C3" s="4" t="s">
        <v>1</v>
      </c>
      <c r="D3" s="4" t="s">
        <v>3</v>
      </c>
      <c r="E3" s="4" t="s">
        <v>2</v>
      </c>
    </row>
    <row r="4" spans="2:5" ht="18">
      <c r="B4" s="3" t="s">
        <v>26</v>
      </c>
      <c r="C4" s="9" t="s">
        <v>7</v>
      </c>
      <c r="D4" s="3" t="s">
        <v>81</v>
      </c>
      <c r="E4" s="3">
        <v>10597942</v>
      </c>
    </row>
    <row r="5" spans="2:5" ht="18">
      <c r="B5" s="3" t="s">
        <v>78</v>
      </c>
      <c r="C5" s="9" t="s">
        <v>7</v>
      </c>
      <c r="D5" s="3" t="s">
        <v>84</v>
      </c>
      <c r="E5" s="3">
        <v>10929022</v>
      </c>
    </row>
    <row r="6" spans="2:5" ht="18">
      <c r="B6" s="3" t="s">
        <v>79</v>
      </c>
      <c r="C6" s="9" t="s">
        <v>7</v>
      </c>
      <c r="D6" s="3" t="s">
        <v>85</v>
      </c>
      <c r="E6" s="3">
        <v>10971683</v>
      </c>
    </row>
    <row r="7" spans="2:5">
      <c r="B7" s="3"/>
      <c r="C7" s="3"/>
      <c r="D7" s="3"/>
      <c r="E7" s="3"/>
    </row>
    <row r="8" spans="2:5">
      <c r="B8" s="3"/>
      <c r="C8" s="3"/>
      <c r="D8" s="3"/>
      <c r="E8" s="3"/>
    </row>
    <row r="9" spans="2:5">
      <c r="B9" s="3"/>
      <c r="C9" s="3"/>
      <c r="D9" s="3"/>
      <c r="E9" s="3"/>
    </row>
    <row r="10" spans="2:5">
      <c r="B10" s="3"/>
      <c r="C10" s="3"/>
      <c r="D10" s="3"/>
      <c r="E10" s="3"/>
    </row>
    <row r="11" spans="2:5">
      <c r="B11" s="3"/>
      <c r="C11" s="3"/>
      <c r="D11" s="3"/>
      <c r="E11" s="3"/>
    </row>
    <row r="12" spans="2:5">
      <c r="B12" s="3"/>
      <c r="C12" s="3"/>
      <c r="D12" s="3"/>
      <c r="E12" s="3"/>
    </row>
    <row r="13" spans="2:5">
      <c r="B13" s="3"/>
      <c r="C13" s="3"/>
      <c r="D13" s="3"/>
      <c r="E13" s="3"/>
    </row>
  </sheetData>
  <phoneticPr fontId="3"/>
  <hyperlinks>
    <hyperlink ref="C4" r:id="rId1" xr:uid="{7D09D1DB-DA5C-4712-B7A2-7DD5F60D6764}"/>
    <hyperlink ref="C5" r:id="rId2" xr:uid="{243C879B-5E76-4251-864F-2203C90CBC14}"/>
    <hyperlink ref="C6" r:id="rId3" xr:uid="{B221FD35-85EC-4947-8CB9-69FCCE261848}"/>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defaultSize="0" print="0" autoFill="0" autoPict="0" macro="[0]!getIssueId">
                <anchor moveWithCells="1" sizeWithCells="1">
                  <from>
                    <xdr:col>1</xdr:col>
                    <xdr:colOff>0</xdr:colOff>
                    <xdr:row>0</xdr:row>
                    <xdr:rowOff>101600</xdr:rowOff>
                  </from>
                  <to>
                    <xdr:col>2</xdr:col>
                    <xdr:colOff>114300</xdr:colOff>
                    <xdr:row>1</xdr:row>
                    <xdr:rowOff>139700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3"/>
  <sheetViews>
    <sheetView topLeftCell="E1" workbookViewId="0">
      <selection activeCell="F1" sqref="F1"/>
    </sheetView>
  </sheetViews>
  <sheetFormatPr baseColWidth="10" defaultColWidth="9" defaultRowHeight="16"/>
  <cols>
    <col min="1" max="2" width="7.5" style="1" hidden="1" customWidth="1"/>
    <col min="3" max="3" width="14.6640625" style="1" hidden="1" customWidth="1"/>
    <col min="4" max="4" width="0" style="1" hidden="1" customWidth="1"/>
    <col min="5" max="5" width="15.33203125" style="1" customWidth="1"/>
    <col min="6" max="6" width="63.1640625" style="1" bestFit="1" customWidth="1"/>
    <col min="7" max="16384" width="9" style="1"/>
  </cols>
  <sheetData>
    <row r="1" spans="5:6">
      <c r="E1" s="7" t="s">
        <v>0</v>
      </c>
      <c r="F1" s="2" t="s">
        <v>24</v>
      </c>
    </row>
    <row r="2" spans="5:6" ht="18">
      <c r="E2" s="7" t="s">
        <v>6</v>
      </c>
      <c r="F2" s="6" t="s">
        <v>5</v>
      </c>
    </row>
    <row r="3" spans="5:6" ht="18">
      <c r="E3" s="7" t="s">
        <v>4</v>
      </c>
      <c r="F3" s="6" t="s">
        <v>10</v>
      </c>
    </row>
  </sheetData>
  <phoneticPr fontId="3"/>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11</vt:i4>
      </vt:variant>
    </vt:vector>
  </HeadingPairs>
  <TitlesOfParts>
    <vt:vector size="11" baseType="lpstr">
      <vt:lpstr>報告用</vt:lpstr>
      <vt:lpstr>発生・消化曲線</vt:lpstr>
      <vt:lpstr>ステータス</vt:lpstr>
      <vt:lpstr>消化原因</vt:lpstr>
      <vt:lpstr>担当別消化数</vt:lpstr>
      <vt:lpstr>旧サマリ</vt:lpstr>
      <vt:lpstr>SP1～SP5</vt:lpstr>
      <vt:lpstr>SP6</vt:lpstr>
      <vt:lpstr>優先度低</vt:lpstr>
      <vt:lpstr>親課題リスト</vt:lpstr>
      <vt:lpstr>設定</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白石 一郎</dc:creator>
  <cp:lastModifiedBy>木部</cp:lastModifiedBy>
  <dcterms:created xsi:type="dcterms:W3CDTF">2015-06-05T18:19:34Z</dcterms:created>
  <dcterms:modified xsi:type="dcterms:W3CDTF">2021-01-27T08:58:07Z</dcterms:modified>
</cp:coreProperties>
</file>