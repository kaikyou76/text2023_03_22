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108" codeName="{6BE1CDB9-6C1C-A5B6-3FC1-E231EC3C600E}"/>
  <workbookPr codeName="ThisWorkbook"/>
  <mc:AlternateContent xmlns:mc="http://schemas.openxmlformats.org/markup-compatibility/2006">
    <mc:Choice Requires="x15">
      <x15ac:absPath xmlns:x15ac="http://schemas.microsoft.com/office/spreadsheetml/2010/11/ac" url="/Volumes/GoogleDrive/共有ドライブ/31_B2B案件/02_はなさく生命/WEBダイレクト販売/10_PJ管理/10_MTG議事/01_外部MTG/01_定例MTG/98_サスケはなさく夕会/20210113/"/>
    </mc:Choice>
  </mc:AlternateContent>
  <xr:revisionPtr revIDLastSave="0" documentId="13_ncr:1_{CA6EAF8B-3B99-9F4C-8429-7A2F535F4FBA}" xr6:coauthVersionLast="45" xr6:coauthVersionMax="46" xr10:uidLastSave="{00000000-0000-0000-0000-000000000000}"/>
  <bookViews>
    <workbookView xWindow="0" yWindow="0" windowWidth="33600" windowHeight="21000" xr2:uid="{00000000-000D-0000-FFFF-FFFF00000000}"/>
  </bookViews>
  <sheets>
    <sheet name="サマリ" sheetId="10" r:id="rId1"/>
    <sheet name="障害一覧" sheetId="9" r:id="rId2"/>
    <sheet name="親課題リスト" sheetId="6" r:id="rId3"/>
    <sheet name="設定" sheetId="1"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1" i="10" l="1"/>
  <c r="G20" i="10"/>
  <c r="G19" i="10"/>
  <c r="G18" i="10"/>
  <c r="E10" i="10" l="1"/>
  <c r="B2" i="10"/>
  <c r="B11" i="10" s="1"/>
  <c r="B5" i="10"/>
  <c r="B4" i="10"/>
  <c r="B3" i="10"/>
  <c r="E9" i="10"/>
  <c r="E8" i="10"/>
  <c r="E7" i="10"/>
  <c r="E6" i="10"/>
  <c r="E5" i="10"/>
  <c r="E4" i="10"/>
  <c r="E3" i="10"/>
  <c r="E2" i="10"/>
  <c r="E11" i="10" l="1"/>
</calcChain>
</file>

<file path=xl/sharedStrings.xml><?xml version="1.0" encoding="utf-8"?>
<sst xmlns="http://schemas.openxmlformats.org/spreadsheetml/2006/main" count="598" uniqueCount="350">
  <si>
    <t>個人 API Key</t>
    <rPh sb="0" eb="2">
      <t>コジン</t>
    </rPh>
    <phoneticPr fontId="1"/>
  </si>
  <si>
    <t>リンク</t>
    <phoneticPr fontId="1"/>
  </si>
  <si>
    <t>IssueID</t>
    <phoneticPr fontId="1"/>
  </si>
  <si>
    <t>タイトル</t>
    <phoneticPr fontId="1"/>
  </si>
  <si>
    <t>Backlog API URL</t>
    <phoneticPr fontId="1"/>
  </si>
  <si>
    <t>https://sasuke-fl.backlog.com/view/</t>
    <phoneticPr fontId="1"/>
  </si>
  <si>
    <t>Backlog URL</t>
    <phoneticPr fontId="1"/>
  </si>
  <si>
    <t>OPEN</t>
  </si>
  <si>
    <t>親課題</t>
    <rPh sb="0" eb="1">
      <t>オヤ</t>
    </rPh>
    <rPh sb="1" eb="3">
      <t>カダイ</t>
    </rPh>
    <phoneticPr fontId="1"/>
  </si>
  <si>
    <t>バックログID</t>
    <phoneticPr fontId="1"/>
  </si>
  <si>
    <t>https://sasuke-fl.backlog.com/api/v2/issues</t>
    <phoneticPr fontId="1"/>
  </si>
  <si>
    <t>backlog</t>
    <phoneticPr fontId="1"/>
  </si>
  <si>
    <t>現担当者</t>
    <rPh sb="0" eb="4">
      <t>ゲンタントウシャ</t>
    </rPh>
    <phoneticPr fontId="1"/>
  </si>
  <si>
    <t>ステータス</t>
    <phoneticPr fontId="1"/>
  </si>
  <si>
    <t>開始日</t>
    <rPh sb="0" eb="3">
      <t>カイシビ</t>
    </rPh>
    <phoneticPr fontId="1"/>
  </si>
  <si>
    <t>終了日</t>
    <rPh sb="0" eb="3">
      <t>シュウリョウビ</t>
    </rPh>
    <phoneticPr fontId="1"/>
  </si>
  <si>
    <t>障害原因</t>
    <rPh sb="0" eb="2">
      <t>ショウガイ</t>
    </rPh>
    <rPh sb="2" eb="4">
      <t>ゲンイン</t>
    </rPh>
    <phoneticPr fontId="1"/>
  </si>
  <si>
    <t>対応内容</t>
    <rPh sb="0" eb="2">
      <t>タイオウ</t>
    </rPh>
    <rPh sb="2" eb="4">
      <t>ナイヨウ</t>
    </rPh>
    <phoneticPr fontId="1"/>
  </si>
  <si>
    <t>未対応</t>
  </si>
  <si>
    <t>完了</t>
  </si>
  <si>
    <t>実装不備</t>
  </si>
  <si>
    <t>処理中</t>
  </si>
  <si>
    <t>その他</t>
  </si>
  <si>
    <t xml:space="preserve">kz94UACQFS002bGiYmEjPb3lJHiLHOk1jig9Q1jtvOW2dk5OySaPDkWlOSAqoD9B </t>
    <phoneticPr fontId="1"/>
  </si>
  <si>
    <t>障害対象設計書</t>
    <phoneticPr fontId="1"/>
  </si>
  <si>
    <t>SASUKE_PROJ_H8739-511</t>
    <phoneticPr fontId="1"/>
  </si>
  <si>
    <t>【親課題】単体テストで発見された不具合・障害報告</t>
    <phoneticPr fontId="1"/>
  </si>
  <si>
    <t>SASUKE_PROJ_H8739-554</t>
  </si>
  <si>
    <t>【単体テスト・不具合】G0106 ご本人さま確認に関して画面 G0107個人情報入力画面からブラウザバックした際に進むボタンが非活性状態</t>
  </si>
  <si>
    <t>家塚晃慈</t>
  </si>
  <si>
    <t>進むボタンが非活性状態</t>
  </si>
  <si>
    <t>詳細設計書_G0106_ご本人さま確認に関して画面.xlsx</t>
  </si>
  <si>
    <t>SASUKE_PROJ_H8739-553</t>
  </si>
  <si>
    <t>【単体テスト・不具合】G0106 ご本人さま確認に関して画面 進むボタンを押下した際に二重押下防止の処理がなく、押下できてしまう</t>
  </si>
  <si>
    <t>二重押下防止の処理がなく、押下できてしまう</t>
  </si>
  <si>
    <t>詳細設計書_G0106_ご本人さま確認に関して画面</t>
  </si>
  <si>
    <t>SASUKE_PROJ_H8739-552</t>
  </si>
  <si>
    <t>【単体テスト・不具合】G0119_受取人・請求人入力画面_氏名に半角文字を入力した後フォーカスアウトで全角に変換されない</t>
  </si>
  <si>
    <t>中道信行</t>
  </si>
  <si>
    <t>・氏名入力欄に半角で文字を入力・フォーカスアウト後、全角に自動変換されない</t>
  </si>
  <si>
    <t>SASUKE_PROJ_H8739-551</t>
  </si>
  <si>
    <t>【単体テスト・不具合】G0119_受取人・請求人入力画面_figmaとデザインが異なる</t>
  </si>
  <si>
    <t xml:space="preserve"> 
・ 受取人、指定代理請求人についてのリンクがない（以前の指定代理請求人について等のリンクのまま）
・保険者から見た続柄に説明文がない
・保険者からみた続柄に本人、その他の選択肢が存在する</t>
  </si>
  <si>
    <t>SASUKE_PROJ_H8739-548</t>
  </si>
  <si>
    <t>ー</t>
  </si>
  <si>
    <t>要調査</t>
  </si>
  <si>
    <t>SASUKE_PROJ_H8739-543</t>
  </si>
  <si>
    <t>【単体テスト・不具合】G0105_申込前確認画面_ヘッダー部の表示内容</t>
  </si>
  <si>
    <t>ヘッダー部に電話番号が表示されていない。(Figmaと差異がある)</t>
  </si>
  <si>
    <t>Figmaのデザイン変更が取り込まれていないため</t>
  </si>
  <si>
    <t>デザインを正規のものに変更</t>
  </si>
  <si>
    <t>SASUKE_PROJ_H8739-542</t>
  </si>
  <si>
    <t>【単体テスト・不具合】G0105_申込前確認画面_画面URLに差異有</t>
  </si>
  <si>
    <t>tm-s_teramoto</t>
  </si>
  <si>
    <t>SS設計不備</t>
  </si>
  <si>
    <t>詳細設計書_G0105_申込前確認画面.xlsx＞プロセス概要＞URLの表記と、実際のURLに差異が生じている
・詳細設計書→/estimate/before-entry
・実際のURI→/estimate/before-apply</t>
  </si>
  <si>
    <t>SS設計不備のため</t>
  </si>
  <si>
    <t>SS設計を正規のURLに修正</t>
  </si>
  <si>
    <t>SASUKE_PROJ_H8739-541</t>
  </si>
  <si>
    <t>【単体テスト・不具合】G0105_申込前確認画面_ブラウザバックで遷移してきたときの挙動</t>
  </si>
  <si>
    <t>読み込み時に、キャッシュを使用しており、javascriptが再実行されないため
(iOSの仕様という記事を散見)</t>
  </si>
  <si>
    <t>SASUKE_PROJ_H8739-534</t>
  </si>
  <si>
    <t>【単体テスト・不具合】G0106 ご本人さま確認に関して画面_申込セッションが存在しないときG9990画面にリダイレクトされてしまう。</t>
  </si>
  <si>
    <t>SASUKE_PROJ_H8739-529</t>
  </si>
  <si>
    <t>【単体テスト・不具合】Karriere\JsonDecoder\ClassBindings参照エラー</t>
  </si>
  <si>
    <t>inouchi</t>
  </si>
  <si>
    <t>use の記述漏れ</t>
  </si>
  <si>
    <t>use Karriere\JsonDecoder\ClassBindings;
を追記する</t>
  </si>
  <si>
    <t>SASUKE_PROJ_H8739-528</t>
  </si>
  <si>
    <t>【単体テスト・不具合】商品情報のドメインバリュークラスで存在しないクラスを継承している</t>
  </si>
  <si>
    <t>t.taguchi</t>
  </si>
  <si>
    <t>SASUKE_PROJ_H8739-527</t>
  </si>
  <si>
    <t>【単体テスト・不具合】告知情報事前確認画面_戻るボタン押下時にエラーが表示される</t>
  </si>
  <si>
    <t>TM森山</t>
  </si>
  <si>
    <t>SASUKE_PROJ_H8739-526</t>
  </si>
  <si>
    <t>SASUKE_PROJ_H8739-525</t>
  </si>
  <si>
    <t>SASUKE_PROJ_H8739-524</t>
  </si>
  <si>
    <t>【単体テスト・不具合】G0106 ご本人さま確認に関して画面 IE11でモーダルが表示されない</t>
  </si>
  <si>
    <t>ボタン押下時にモーダルが表示されない。
　　　・インターネット保険サービス利用規約ボタン
　　　・個人情報の取り扱いボタン
　　　・電磁的方法による交付ボタン</t>
  </si>
  <si>
    <t>SASUKE_PROJ_H8739-522</t>
  </si>
  <si>
    <t>【単体テスト・不具合】受取人・請求人情報の入力画面　定期なしの際の条件分岐が行われていない</t>
  </si>
  <si>
    <t>定期なしの際の条件分岐が行われるように修正する</t>
  </si>
  <si>
    <t>SASUKE_PROJ_H8739-521</t>
  </si>
  <si>
    <t>App\Repository\SessionRepository の仕様変更対応漏れ</t>
  </si>
  <si>
    <t>App\Repository\SessionRepository
こちらの仕様が変更になったと思われるのですが
変更後の対応が漏れているソースがいくつか存在しているようです。
例）今回発覚のきっかけとなった部分
App\Domain\WebdRegisterBusinessLogic#execute
```
        // セッションを破棄する
        $this-&gt;sessionRepository-&gt;forgetAccountInfo($session);
        $this-&gt;sessionRepository-&gt;forgetApplyInfo($session);
```
App\Repository\SessionRepository
```
    public function forgetAccountInfo(): void
    {
        session()-&gt;forget(self::ACCOUNT_KEY);
    }
    public function forgetApplyInfo(): void
    {
        session()-&gt;forget(self::APPLY_KEY);
    }
```
セッションまわりはSessionRepositoryに集約されている前提になってしまいますが
コントローラからビジネスロジックにセッションを引数で渡している部分も不要と思われます。
（ビジネスロジックではSessionRepositoryが注入されているため）
■下記の調査・修正が発生すると思われます
・コントローラ→ビジネスロジックでセッションを引数で渡している部分の調査と修正
・ビジネスロジックでSessionRepositoryを使用している部分の引数調査と修正
■ロジックへの引数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</si>
  <si>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App\Repository\SessionRepository
の仕様変更対応漏れ</t>
  </si>
  <si>
    <t>■ロジックへの引数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</si>
  <si>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SASUKE_PROJ_H8739-596</t>
  </si>
  <si>
    <t>Koichi Kibe</t>
  </si>
  <si>
    <t>SASUKE_PROJ_H8739-594</t>
  </si>
  <si>
    <t>SASUKE_PROJ_H8739-593</t>
  </si>
  <si>
    <t>【単体テスト・不具合】G0119_受取人・請求人入力画面_コンソールにjsのエラーが出力される</t>
  </si>
  <si>
    <t>下記のエラーが開発者ツールのコンソールに表示される
Error in v-on handler:"TypeError: Cannot read property 'selected' of undefined"
TypeError: Cannot read property 'selected' of undefined</t>
  </si>
  <si>
    <t>SASUKE_PROJ_H8739-592</t>
  </si>
  <si>
    <t>【単体テスト・不具合】G0120_受取人・請求人確認画面_戻るを押下した際、プリセットで被保険者からみた続柄が選択されない</t>
  </si>
  <si>
    <t>プリセットで被保険者からみた続柄が選択されない
![image][No5.png]</t>
  </si>
  <si>
    <t>初期表示で続柄が表示されないことからセッションに情報が上手く保存されていないと考えられる</t>
  </si>
  <si>
    <t>SASUKE_PROJ_H8739-591</t>
  </si>
  <si>
    <t>【単体テスト・不具合】G0102_試算結果画面_申込内容確認画面からプラン修正ボタンを押下して遷移した際エラーになる</t>
  </si>
  <si>
    <t>松橋佑矢</t>
  </si>
  <si>
    <t>　試算結果画面が表示されずにシステムエラー画面へ遷移する</t>
  </si>
  <si>
    <t>　申込内容確認画面から遷移した際、セットされている情報を画面表示の方に渡す処理で
　参照の仕方が異なっていた</t>
  </si>
  <si>
    <t>　・申込内容確認画面から遷移した時の上記の部分の処理について、参照の仕方を修正する
　　※修正してローカル環境で画面を出そうとしても、ローカル環境ではAPIに接続できないためシステムエラー画面には
　　　なってしまう
　　　まずはローカル環境で計算機画面から遷移してきた時と同様にAPIのエラーで落ちる状態に合わせる</t>
  </si>
  <si>
    <t>詳細設計書_G0102_試算結果画面.xlsx</t>
  </si>
  <si>
    <t>SASUKE_PROJ_H8739-590</t>
  </si>
  <si>
    <t>1.配偶者が表示されない
![image][No1_2.png]
2.画面上部の文言がfigmaと異なる
![image][figmaと文言が異なる箇所.jpg]</t>
  </si>
  <si>
    <t>SASUKE_PROJ_H8739-587</t>
  </si>
  <si>
    <t>【単体テスト・不具合】ヘッダー誤り</t>
  </si>
  <si>
    <t>詳細設計書のファイル名を記載する。</t>
  </si>
  <si>
    <t>SASUKE_PROJ_H8739-586</t>
  </si>
  <si>
    <t>【単体テスト・不具合】再開時の承諾対象コード確認</t>
  </si>
  <si>
    <t>SASUKE_PROJ_H8739-585</t>
  </si>
  <si>
    <t>【単体テスト・不具合】遷移元制御処理</t>
  </si>
  <si>
    <t>SASUKE_PROJ_H8739-584</t>
  </si>
  <si>
    <t>【単体テスト・不具合】商品・特約などの並び順がソートされていない</t>
  </si>
  <si>
    <t>SASUKE_PROJ_H8739-583</t>
  </si>
  <si>
    <t>【単体テスト・不具合】二重ログイン防止</t>
  </si>
  <si>
    <t>SASUKE_PROJ_H8739-582</t>
  </si>
  <si>
    <t>【単体テスト・不具合】最初から始める際セッションに前回の申込情報がいる場合の考慮</t>
  </si>
  <si>
    <t>SASUKE_PROJ_H8739-581</t>
  </si>
  <si>
    <t>【単体テスト・不具合】二週目の申込情報の配列制御ができていない</t>
  </si>
  <si>
    <t>SASUKE_PROJ_H8739-580</t>
  </si>
  <si>
    <t>【単体テスト・不具合】G0111意向確認画面　戻るボタンで戻ってきた時にチェックがクリアされている</t>
  </si>
  <si>
    <t>チェックがクリアされていて、次へボタンが押せない</t>
  </si>
  <si>
    <t>SASUKE_PROJ_H8739-579</t>
  </si>
  <si>
    <t>【単体テスト・不具合】 ブラウザバックされた際に警告メッセージを表示する実装がされていない</t>
  </si>
  <si>
    <t>SASUKE_PROJ_H8739-578</t>
  </si>
  <si>
    <t>【単体テスト・不具合】G0111 意向確認画面「 次へ」ボタンを押下した際に二重押下防止の処理がなく、押下できてしまう</t>
  </si>
  <si>
    <t>SASUKE_PROJ_H8739-577</t>
  </si>
  <si>
    <t>【SA/UI設計不備】（PEND）G0111_意向確認画面_割増しされている　と　割増されていない　の表記揺れ　</t>
  </si>
  <si>
    <t>SA/UI設計不備</t>
  </si>
  <si>
    <t>デザイン</t>
  </si>
  <si>
    <t>SASUKE_PROJ_H8739-576</t>
  </si>
  <si>
    <t>【SA/UI設計不備】（PEND）G0111_意向確認画面_冒頭文言とチェックボックスの文言について</t>
  </si>
  <si>
    <t>SASUKE_PROJ_H8739-575</t>
  </si>
  <si>
    <t>詳細設計書_G0111_意向確認画面</t>
  </si>
  <si>
    <t>SASUKE_PROJ_H8739-574</t>
  </si>
  <si>
    <t>sunaga-natsuko</t>
  </si>
  <si>
    <t>処理済み</t>
  </si>
  <si>
    <t>詳細設計書_G0111_意向確認画面.xlsx</t>
  </si>
  <si>
    <t>SASUKE_PROJ_H8739-573</t>
  </si>
  <si>
    <t>【単体テスト・不具合】G0109_申込内容確認画面_お申込みプランを変更するボタンを押下しても遷移しない</t>
  </si>
  <si>
    <t>　お申込みプランを変更するボタンを押下しても、G0102.試算結果画面へ遷移することなく
　再度当画面が表示されてしまう。</t>
  </si>
  <si>
    <t>　vue.Jsでnpm run devで生成されるファイルの内容が古いものであったことが原因で
　最新のものが反映されていなかった</t>
  </si>
  <si>
    <t>　npm run devをローカル環境で実行して、そのソースをリポジトリ上にアップする</t>
  </si>
  <si>
    <t>詳細設計書_G0109_申込内容確認画面.xlsx</t>
  </si>
  <si>
    <t>SASUKE_PROJ_H8739-572</t>
  </si>
  <si>
    <t>【単体テスト・不具合】G0109_申込内容確認画面_Figmaのレイアウトと差異がある</t>
  </si>
  <si>
    <t>　・各商品の画像の下にある文言が右寄せで表示されている。
　　→figmaを見直していて、そもそも画像が想定されているものと異なるものを使用していることが
　　　確認できた
　・お支払い回数が表示されていない。（571で報告した内容、修正済み）</t>
  </si>
  <si>
    <t>　実装不備</t>
  </si>
  <si>
    <t>　・参照している画像を想定している画像の方に変更する</t>
  </si>
  <si>
    <t>SASUKE_PROJ_H8739-571</t>
  </si>
  <si>
    <t>【単体テスト・不具合】G0109_申込内容確認画面_支払情報のお支払い回数が表示されていない</t>
  </si>
  <si>
    <t>　お支払い回数が表示されていない。（figmaと差異がある）</t>
  </si>
  <si>
    <t>　・テストデータに判定のためのデータがセットできていなかった
　・表示の際も想定されている表示になるような実装がされていなかった</t>
  </si>
  <si>
    <t>　・お支払い回数の箇所に年払い・月払いの情報が表示されるよう修正
　・テストデータでお支払い回数の箇所のための判定用のデータをセット</t>
  </si>
  <si>
    <t>SASUKE_PROJ_H8739-570</t>
  </si>
  <si>
    <t>【単体テスト・不具合】（PEND）G0111_意向確認画面 意向変更された際のメッセージの文言に誤りがある</t>
  </si>
  <si>
    <t>SASUKE_PROJ_H8739-569</t>
  </si>
  <si>
    <t>SASUKE_PROJ_H8739-568</t>
  </si>
  <si>
    <t>【単体テスト・不具合】G0111意向確認画面 セッションの商品コード、もしくは商品付加バージョン3のデータがない場合に最終意向が空で表示される</t>
  </si>
  <si>
    <t>SASUKE_PROJ_H8739-567</t>
  </si>
  <si>
    <t>【単体テスト・不具合】G0111意向確認画面 当初意向→最終意向で同じ商品は残ったまま商品追加されている場合に変更確認メッセージが出ない</t>
  </si>
  <si>
    <t>SASUKE_PROJ_H8739-566</t>
  </si>
  <si>
    <t>【単体テスト・不具合】G0119_受取人・請求人入力画面_入力情報の確認へボタンが２重押下できる</t>
  </si>
  <si>
    <t>詳細設計書_G0119_受取人・請求人入力画面</t>
  </si>
  <si>
    <t>SASUKE_PROJ_H8739-565</t>
  </si>
  <si>
    <t>【単体テスト・不具合】G0119_受取人・請求人入力画面_氏名欄に合計35文字以上入力できる</t>
  </si>
  <si>
    <t>「氏名は姓と名の合計で34文字以内で入力してください」と表示されない</t>
  </si>
  <si>
    <t>受取人・請求人入力画面</t>
  </si>
  <si>
    <t>SASUKE_PROJ_H8739-558</t>
  </si>
  <si>
    <t>【単体テスト・不具合】ITAテスト開始画面_IEでJSエラーが起き初期画面表示が上手くいかない</t>
  </si>
  <si>
    <t>IE、Chromeで画面表示差異あり</t>
  </si>
  <si>
    <t>【単体テスト・不具合】（PEND）G0112_告知情報事前確認画面_表のレイアウトが異なる</t>
  </si>
  <si>
    <t>詳細設計書_G0105_申込前確認画面.xlsx＞プロセス概要
　→資料URL：https://docs.google.com/spreadsheets/d/1vfRgJpXYhrNNFllllc5LllSvjJFnepyQ/edit#gid=1646711699</t>
  </si>
  <si>
    <t>伊東 雅弘</t>
  </si>
  <si>
    <t>（必須）
　 ~~申込セッションが削除された状態で次へボタンを押下するとG9990エラー画面に遷移される。~~ 
　 ~~本来はG9991認証エラー画面に遷移されることが期待値である。~~ 
(2021/01/10)確認したところリダイレクト先がG9990が正しいことが判明
詳細設計に不備と発覚</t>
  </si>
  <si>
    <t xml:space="preserve"> ~~　helpers.phpのexecRequestメソッドにG9991画面にリダイレクトされる処理がないためだと考えられる。~~
　~~対処法</t>
  </si>
  <si>
    <t>【単体テスト・不具合】G0112_告知情報事前確認画面_次へボタン押下時の二重押下防止処理が未実装</t>
  </si>
  <si>
    <t xml:space="preserve"> 【単体テスト・不具合】G0112_告知情報事前確認画面_次へボタン押下時にエラー画面に遷移</t>
  </si>
  <si>
    <t>SASUKE_PROJ_H8739-601</t>
  </si>
  <si>
    <t>【未実装】G0128_Web申込み専用ページログイン画面（仮登録後）_外部認証ログイン機能</t>
  </si>
  <si>
    <t>TM有友</t>
  </si>
  <si>
    <t>SASUKE_PROJ_H8739-600</t>
  </si>
  <si>
    <t>【単体テスト・不具合】G0121_保険料払込方法選択画面_ボタンの二重押下防止が未実装</t>
  </si>
  <si>
    <t>★要件不備／SA/UI設計不備／SS設計不備／実装不備／テスト仕様書不備／テスト実施不備／テスト環境不備／その他</t>
  </si>
  <si>
    <t>・ボタン押下後にボタンが非活性化していない</t>
  </si>
  <si>
    <t>SASUKE_PROJ_H8739-599</t>
  </si>
  <si>
    <t>【単体テスト・不具合】G0121_保険料払込方法選択画面_支払方法未選択前にボタンが活性化していない</t>
  </si>
  <si>
    <t>・支払方法が未選択状態で活性状態であること</t>
  </si>
  <si>
    <t>SASUKE_PROJ_H8739-598</t>
  </si>
  <si>
    <t>・遷移先が「/xxx」となっている。
　1/11に中道さんに確認したところ、接続先情報について提供されていないため未実装とのことでした。</t>
  </si>
  <si>
    <t>SASUKE_PROJ_H8739-597</t>
  </si>
  <si>
    <t>・おすすめの支払方法の表示が無い（Figmaはクレジットカード支払いが推されている）
・支払方法の着色が異なる（Figmaは無色）
・次画面へ進むボタンの文言が「支払い入力を行う」）となっている（Figmaでは「次へ（収納代行サービス画面に遷移する」）
　...等
※Figmaは「遷移図(SPレイアウト)と比較」
■画面
G0121_保険料払込方法選択画面</t>
  </si>
  <si>
    <t>【SS設計不備】商品の表示順が未実装</t>
  </si>
  <si>
    <t>申込内容確認画面などにおいて、商品（主契約特約の約款含む）の表示順が担保されていない。</t>
  </si>
  <si>
    <t>【SS設計不備】キーボードのEnterによる挙動</t>
  </si>
  <si>
    <t>Enterにより次の画面に遷移させるかどうか</t>
  </si>
  <si>
    <t>詳細設計書_G0119_受取人・請求人入力画面.xlsx</t>
  </si>
  <si>
    <t>詳細設計書_G0120_受取人・請求人確認画面.xlsx</t>
  </si>
  <si>
    <t>ヘッダーに誤りがある画面がある（G0111_意向確認画面は誤りがあることを確認済）</t>
  </si>
  <si>
    <t>再開時の承諾対象コード確認</t>
  </si>
  <si>
    <t>遷移元制御処理についての考慮がされていない</t>
  </si>
  <si>
    <t>商品・特約などの並び順がソートされていない</t>
  </si>
  <si>
    <t>二重ログイン防止対応がされていない</t>
  </si>
  <si>
    <t>最初から始める際セッションに前回の申込情報がいる場合の考慮ができていない</t>
  </si>
  <si>
    <t xml:space="preserve"> ブラウザバックされた際に警告メッセージを表示する実装がされていない
「ブラウザの戻るボタンは使えません、画面上の戻るボタンで前の画面に戻ってください」のようなメッセージが表示されるのが正しい挙動</t>
  </si>
  <si>
    <t>G0111_意向確認画面_割増しされている　と　割増されていない　の表記揺れ　
添付参照</t>
  </si>
  <si>
    <t>Figmaのデザインで、冒頭に以下のように「はい」「いいえ」でお答えください
とあるが
各チェックボックスは「確認しました」になっていて違和感がある
↓
お申込みいただく商品がお客様の最終的なご意向に沿ったものであるかご確認のうえ、各質問事項に「はい」「いいえ」でお答えください。</t>
  </si>
  <si>
    <t>【SS設計不備】G0111_意向確認画面_詳細設計 意向カテゴリ文言誤り</t>
  </si>
  <si>
    <t>【誤】特定の疾病の **補償** （がんなどへの備え）
【正】特定の疾病の **保障** （がんなどへの備え）</t>
  </si>
  <si>
    <t>【SS設計不備】G0111_意向確認画面_商品コードのソートの記述があるがこちらは各機能ではソートしないので記述不要</t>
  </si>
  <si>
    <t>以下の記述はこの機能の処理では対応しないので不要
商品の並びは、申込[0].商品グループ[i].商品付加.販売商品コードを参照し、以下の並びとすること																		
	'31A005', '31E002', '31C003', '31D002', '03A003'</t>
  </si>
  <si>
    <t xml:space="preserve"> 意向変更された際のメッセージの文言に誤りがある
【誤】お申込み手続き開始当初よりご意向の変更しました。確認してください。
【正】お申込み手続き開始当初よりご意向が変更されました。ご確認ください。</t>
  </si>
  <si>
    <t>【SS設計不備】G0111_意向確認画面_セッションがない場合の遷移先画面がシステムエラー画面になっていない</t>
  </si>
  <si>
    <t>設計書において、セッションがない場合の遷移先画面がシステムエラー画面になっていない</t>
  </si>
  <si>
    <t>セッションの商品コード、もしくは商品付加バージョン3のデータがない場合に最終意向が空で表示される
（正しい挙動）
システムエラー画面に遷移するのが正しい挙動</t>
  </si>
  <si>
    <t>G0111意向確認画面 当初意向→最終意向で同じ商品は残ったまま商品追加されている場合に変更確認メッセージ
「お申込み手続き開始当初よりご意向が変更されました。ご確認ください。」
が表示されない</t>
  </si>
  <si>
    <t>外部認証コードがまだ揃っていないため、検証環境にて該当部分が動作しない。
外部認証コードについては以下のチケット参照
https://sasuke-fl.backlog.com/view/SASUKE_PROJ_H8739-557</t>
  </si>
  <si>
    <t>表のタイトル、本文がFigmaでは横並びだが、実装では縦並びのレイアウトになっている</t>
  </si>
  <si>
    <t>Safari(iOS)のみ、次画面の"G0106_重要事項確認画面"からブラウザバックで遷移してきたとき際に、「次へ」ボタンが非活性のまま表示されている</t>
  </si>
  <si>
    <t>以下のエラーが出てカバレッジレポートが出力できない
```
Fatal error: Could not check compatibility between App\Repository\Backend\DisclosureAnswer\DisclosureAnswerBackendApiResponseTransformer::register(App\Repository\Backend\DisclosureAnswer\ClassBindings $classBindings) and Karriere\JsonDecoder\Transformer::register(Karriere\JsonDecoder\ClassBindings $classBindings), because class App\Repository\Backend\DisclosureAnswer\ClassBindings is not available in /server/app/Repository/Backend/DisclosureAnswer/DisclosureAnswerBackendApiResponseTransformer.php on line 10
```</t>
  </si>
  <si>
    <t>継承元のクラスが内とエラーが出力される</t>
  </si>
  <si>
    <t>継承元クラスが存在しないProductionInfoとなっている（実際に存在しているのはProductInfo）</t>
  </si>
  <si>
    <t>継承元クラスProductInfoに変更</t>
  </si>
  <si>
    <t>・戻るボタン押下でG0116画面に遷移後、エラーが表示される。</t>
  </si>
  <si>
    <t>G0116画面で必要なjsファイルがsasuketmブランチに入っていないのではないかと考えられる。
![image][screencapture-local-sasuke-jp-estimate-profession-input-2021-01-06-17_08_19 (1).png]</t>
  </si>
  <si>
    <t>・ボタン押下時に非活性にならない</t>
  </si>
  <si>
    <t>・エラー画面に遷移する</t>
  </si>
  <si>
    <t>・未実装のため
　web.phpが下記のようになっているためsasuketmにコードが入っていないと考えられます。
```
// G0117.告知情報入力画面（AURA）のルート
Route::get('/G0117', 'G9999Controller')-&gt;name('G0117');
```</t>
  </si>
  <si>
    <t>初期画面が表示されない、テストケースのアサーションが通らない</t>
  </si>
  <si>
    <t>定期なしの際の条件分岐が行われていない
定期なしの場合のdescription変数が宣言されていないためリターンする際にエラーになる
```
if ($this-&gt;hasOnlyRegularProduct($productGroups)) {
    // 定期のみの場合
    $description = sprintf($baseDescription, '死亡保険金受取人');
} elseif ($this-&gt;hasRegularProduct($productGroups)) {
    // 定期を含む同時申込みの場合
    $description = sprintf($baseDescription, '死亡時支払金受取人（死亡保険金受取人）');
     // 定期なしの場合
     $description = sprintf($baseDescription, '死亡時支払金受取人');
     $isDeathBenefitBeneficiariesLinkShown = false;
}
return [
    'form' =&gt; $form,
    'description' =&gt; $description,
    'isDeathBenefitBeneficiariesLinkShown' =&gt; $isDeathBenefitBeneficiariesLinkShown,
];
```</t>
  </si>
  <si>
    <t>障害分類</t>
    <phoneticPr fontId="1"/>
  </si>
  <si>
    <t>事象内容</t>
    <phoneticPr fontId="1"/>
  </si>
  <si>
    <t>SASUKE_PROJ_H8739-628</t>
  </si>
  <si>
    <t>1.姓と名の各テキストボックスが 34文字以上入力できない（maxlengthで33と指定してあるが設計書に記載なし）
2.姓と名の各テキストボックスにスペースを入れると姓のフォーマットが表示されないと表示される（設計書に記載なし）
3.姓と名の各テキストボックスで環境文字など入力すると「氏名は35文字以内以内で入力してください」と表示される（メッセージが不正な文字種が入力されています。入力内容を見直してください。に基本設計書を変更1/9）
4.入力必須のバリデーションメッセージが「〇〇は必須項目です」と表示される（設計書では「〇〇は入力が必須です」）</t>
  </si>
  <si>
    <t>・姓、名各テキストボックスの入力制限
入力制限はかかってるので、一応問題ないですが。
万が一、34文字以上を入力された場合のチェックで引っ掛かった場合は
エラーメッセージ「ERR_VALIDATION_FAMILY_NAME」の「氏名は姓と名の合計で34文字以内の全角で入力してください」を表示
※カナの場合は「ERR_VALIDATION_FAMILY_NAME_KANA」の「氏名のフリガナはセイとメイの合計で34文字以内の全角カナで入力してください」
・姓、名の空白、環境文字チェック
エラーメッセージ「ERR_VALIDATION_TEXTAREA」の「不正な文字種が入力されています。入力内容を見直してください。」を表示してください。
環境依存文字なども同様にこのエラーメッセージで良いです。</t>
  </si>
  <si>
    <t>SASUKE_PROJ_H8739-625</t>
  </si>
  <si>
    <t>【単体テスト・不具合】G0123_本人確認書類提出画面_HEIC画像をアップロードするとプレビューが表示されない</t>
  </si>
  <si>
    <t>HEIC画像をアップロードするとプレビューが表示されない</t>
  </si>
  <si>
    <t>SASUKE_PROJ_H8739-624</t>
  </si>
  <si>
    <t>【単体テスト・不具合】G0123_本人確認書類提出画面_PDFファイルを添付するとプレビューが正しく表示されない</t>
  </si>
  <si>
    <t>PDFファイルを添付するとプレビューが正しく表示されない
（Macのプレビューなどのソフトだと表示される）</t>
  </si>
  <si>
    <t>SASUKE_PROJ_H8739-623</t>
  </si>
  <si>
    <t>【単体テスト・不具合】元号が「昭和64・平成1」とならず「平成1」となっている</t>
  </si>
  <si>
    <t>西暦→元号の変換処理で、表題ような元号の境目のときに新しい方の元号しか表示されていない。
また、変換処理は生年月日を扱う個々の画面で実装されているため、横串で見直す必要がある。
&lt;詳細&gt;
下記の見直しが必要。
・申込フロー内で共通化し横串
・試算エリアと申込フローで表示内容を横串
なお、下記の理由で、試算エリアと申込フローでは変換処理が別途となる。そのため、対応は「表示内容の横串」に留まる。
　・セッションのアカウント情報に和暦が存在する
　・セッションの申込情報に和暦が存在しない</t>
  </si>
  <si>
    <t>SASUKE_PROJ_H8739-622</t>
  </si>
  <si>
    <t>【単体テスト・不具合】G0123_本人確認書類提出画面_画像アップロード後にデザインの「OK」が表示されない</t>
  </si>
  <si>
    <t>【単体テスト・不具合】G0123_本人確認書類提出画面_画像アップロード後にデザイン（Figma）の「OK」が表示されない
以下はFigmaのコピー
![image][スクリーンショット 2021-01-12 16.04.57.png]</t>
  </si>
  <si>
    <t>SASUKE_PROJ_H8739-619</t>
  </si>
  <si>
    <t>【単体テスト・不具合】外部ログインの共有ロジックファイルについて</t>
  </si>
  <si>
    <t>テスト環境不備</t>
  </si>
  <si>
    <t>共有ロジックファイル「 **ExternalLogin.php** 」の関数である、 **getExternalLoginInfo** の第二引数と、
各外部ログインに関するロジックファイルで、呼び出した際の第二引数が、
ユニットテストを実行した際に、タイプエラーとして認識され、テストが出来ない。
※今回は、「IndividualInputYahooBusinessLogic」のテストを行っていました。</t>
  </si>
  <si>
    <t>引数のタイプに差異があるため
※外部認証の動作確認をすることが不可能なため、現コードで正常に動作するか不明です。</t>
  </si>
  <si>
    <t>SASUKE_PROJ_H8739-618</t>
  </si>
  <si>
    <t>【SA/UI設計不備】G0123_本人確認書類提出画面_SPでファイルアップロード時、ファイルサイズ大きい場合にバリデーションエラーメッセージに気づかない</t>
  </si>
  <si>
    <t>SPでファイルアップロード時、ファイルサイズ大きい場合にバリデーションエラーメッセージに気づかない
１
![image][スクリーンショット 2021-01-12 14.35.25.png]
↓
２
![image][スクリーンショット 2021-01-12 14.35.43.png]
↓
３選択後
![image][スクリーンショット 2021-01-12 14.35.56.png]
↓
４上にスクロールするとエラーメッセージが出ている
![image][スクリーンショット 2021-01-12 14.36.05.png]</t>
  </si>
  <si>
    <t>SASUKE_PROJ_H8739-616</t>
  </si>
  <si>
    <t>【未実装】G0123_本人確認書類提出画面_ドコモの本人確認API</t>
  </si>
  <si>
    <t>dアカウントラジオボタンを選択して「次へ」でドコモの本人確認API呼び出しがされていない
## そもそも、以下の要因で着手ができない状態
### hanasakuとdocomoが契約成立していない為、外部認証で必要な情報が提供されておりません。
外部認証コードについては以下のチケット参照
https://sasuke-fl.backlog.com/view/SASUKE_PROJ_H8739-557</t>
  </si>
  <si>
    <t>SASUKE_PROJ_H8739-615</t>
  </si>
  <si>
    <t>【単体テスト・不具合】G0123_本人確認書類提出画面_承諾対象コードの設定値誤り</t>
  </si>
  <si>
    <t>承諾対象コードは
「dアカウントの場合」に  14、15
「この画面でアップロードする場合」に　14、16
「あとでアップロードする場合」に  14
が設定されるはずだが、
「この画面でアップロードする場合」と「あとでアップロードする場合」が逆になっている
承諾対象コードの設定値誤り</t>
  </si>
  <si>
    <t>SASUKE_PROJ_H8739-613</t>
  </si>
  <si>
    <t>【単体テスト・不具合】G0123_本人確認書類提出画面_dアカウントで確認完了後の画面遷移でエラー</t>
  </si>
  <si>
    <t>dアカウントで確認完了後の画面遷移でエラー
![image][スクリーンショット 2021-01-12 12.38.27.png]</t>
  </si>
  <si>
    <t>SASUKE_PROJ_H8739-612</t>
  </si>
  <si>
    <t>【詳細設計書不備】G0123_本人確認書類提出画面_書類ドロップダウン変更時にアップロード済ファイル情報がクリアされる仕様は必要ないので削除</t>
  </si>
  <si>
    <t xml:space="preserve"> 詳細設計書_G0123_本人確認書類提出画面</t>
  </si>
  <si>
    <t>SASUKE_PROJ_H8739-611</t>
  </si>
  <si>
    <t>【SS設計不備】G0123_本人確認書類提出画面_「dアカウントでの確認について」リンク非活性の仕様の記述は不要</t>
  </si>
  <si>
    <t>以下の仕様は不要
「dアカウントでの確認について」リンク押下									
1.「https://www.nttdocomo.co.jp/biz/service/kyc/」左記を別タブで表示する。									
	※チェックボックス未選択時の際は当該ボタン非活性とする。	
![image][スクリーンショット 2021-01-12 13.17.12.png]</t>
  </si>
  <si>
    <t>詳細設計書_G0123_本人確認書類提出画面</t>
  </si>
  <si>
    <t>SASUKE_PROJ_H8739-610</t>
  </si>
  <si>
    <t>G0123本人確認書類提出画面の詳細設計で
（１）ファイルアップロード
（２）dアカウントで本人確認ラジオボタン選択
（３）次へ
で、詳細設計、実装、ともに
「アップロードされている画像がありますが、あとで提出するで進んでよろしいですか？」というポップアップが出ることになっているが
「あとで提出する」を選んでいないので違和感がある
（違和感があるというか、dアカウントの場合も後で提出するんですかね？）</t>
  </si>
  <si>
    <t>SASUKE_PROJ_H8739-608</t>
  </si>
  <si>
    <t>【単体テスト・不具合】G0123_本人確認書類提出画面_マイナンバー、保険証選択後の注意事項のチェックを片方入れて閉じるともう片方に変更してチェックしなくても次へが押せてしまう</t>
  </si>
  <si>
    <t>マイナンバー、保険証選択後の注意事項のチェックを片方入れて閉じるともう片方に変更してチェックしなくても次へが押せてしまう</t>
  </si>
  <si>
    <t>SASUKE_PROJ_H8739-607</t>
  </si>
  <si>
    <t>【SS設計不備】G0123_本人確認書類提出画面_次へボタンの活性化制御</t>
  </si>
  <si>
    <t>G0123_本人確認書類提出画面_次へボタンの活性化制御が、詳細設計書では
マイナンバーカード以外は
裏面をアップロードしないと「次へ」が非活性になる記述があるが、実際は必須ではないので非活性にしなくて良い
![image][スクリーンショット 2021-01-12 11.24.23.png]
![image][スクリーンショット 2021-01-12 11.30.17.png]</t>
  </si>
  <si>
    <t>SASUKE_PROJ_H8739-606</t>
  </si>
  <si>
    <t>【SA/UI設計不備】G0123_本人確認書類提出画面_リンクの横のアイコンを押しても何も起こらない</t>
  </si>
  <si>
    <t>リンクの横のアイコンを押しても何も起こらない
![image][スクリーンショット 2021-01-12 11.14.16.png]</t>
  </si>
  <si>
    <t>SASUKE_PROJ_H8739-605</t>
  </si>
  <si>
    <t>【単体テスト・不具合】G0123_本人確認書類提出画面_nginxのX-Frame-Options設定がDENYだと書類をアップロードする際の注意事項が表示されない</t>
  </si>
  <si>
    <t>nginxのX-Frame-Options設定がDENYだと書類をアップロードする際の注意事項が表示されない</t>
  </si>
  <si>
    <t>（１）nginxの設定で、該当機能だけDENYとしないようにするか、できるか決める
（２）全体で許可するならば対応不要、該当機能だけそうするならその対応を入れる</t>
  </si>
  <si>
    <t>SASUKE_PROJ_H8739-604</t>
  </si>
  <si>
    <t>【単体テスト・不具合】G0123_本人確認書類提出画面_添付画像削除用の「×」ボタンの活性制御</t>
  </si>
  <si>
    <t>（１）「×」ボタンが初期状態で、見た目はグレーになっているが非活性になっていない（マウスオーバーでマウスポインターが押せそうに見える）
（２）また、ファイルアップロード後に「×」が活性状態になったかどうか見た目に変化がなくグレーのままで、判別ができない（ボタン自体は使える）
上記、表面、裏面の×ボタン共通の事象です
![image][スクリーンショット 2021-01-12 10.42.10.png]</t>
  </si>
  <si>
    <t>＜障害分類＞</t>
    <rPh sb="1" eb="5">
      <t>ショウガイブンルイ</t>
    </rPh>
    <phoneticPr fontId="1"/>
  </si>
  <si>
    <t>要件不備</t>
  </si>
  <si>
    <t>テスト仕様書不備</t>
  </si>
  <si>
    <t>テスト実施不備</t>
  </si>
  <si>
    <t>合計</t>
    <rPh sb="0" eb="2">
      <t>ゴウケイ</t>
    </rPh>
    <phoneticPr fontId="1"/>
  </si>
  <si>
    <t>＜対応状況＞</t>
    <rPh sb="1" eb="3">
      <t>タイオウ</t>
    </rPh>
    <rPh sb="3" eb="5">
      <t>ジョウキョウ</t>
    </rPh>
    <phoneticPr fontId="1"/>
  </si>
  <si>
    <t>未対応</t>
    <rPh sb="0" eb="3">
      <t>ミタイオウ</t>
    </rPh>
    <phoneticPr fontId="1"/>
  </si>
  <si>
    <t>処理中</t>
    <rPh sb="0" eb="3">
      <t>ショリチュウ</t>
    </rPh>
    <phoneticPr fontId="1"/>
  </si>
  <si>
    <t>完了</t>
    <rPh sb="0" eb="2">
      <t>カンリョウ</t>
    </rPh>
    <phoneticPr fontId="1"/>
  </si>
  <si>
    <t>取得日時：2021/01/13 17:05:28</t>
    <phoneticPr fontId="1"/>
  </si>
  <si>
    <t>SASUKE_PROJ_H8739-643</t>
  </si>
  <si>
    <t>【SA/UI設計不備】G0116_ご職業・年収入力画面_勤務先で半角文字入力途中で禁則文字エラーが表示される</t>
  </si>
  <si>
    <t>勤務先で半角文字入力途中で禁則文字エラーが表示される
その後フォーカス移動して全角になるとOKとなるが
英語の勤務先は必ず存在して、かつ入力途中に入力できないとユーザーが思うので改善の余地あり
入力中
![image][スクリーンショット 2021-01-13 16.53.14.png]
フォーカスアウト後
![image][スクリーンショット 2021-01-13 16.53.24.png]</t>
  </si>
  <si>
    <t>SASUKE_PROJ_H8739-641</t>
  </si>
  <si>
    <t>【単体テスト・不具合】G0123_本人確認書類提出画面_dアカウント選択時にファイルアップロードしてるがよろしいですかのポップアップ</t>
  </si>
  <si>
    <t>G0123本人確認書類提出画面で
（１）ファイルアップロード
（２）dアカウントで本人確認ラジオボタン選択
（３）次へ
「アップロードされている画像がありますが、あとで提出するで進んでよろしいですか？」というポップアップが出る
　↓
こちら、詳細設計書でもこうなっていましたが、ポップアップでないように詳細設計を川村さんに修正していただいたので実装も修正お願いします</t>
  </si>
  <si>
    <t>SASUKE_PROJ_H8739-640</t>
  </si>
  <si>
    <t>【単体テスト・不具合】G0116_ご職業・年収入力画面_年収ドロップダウンの左右の余白が他のドロップダウンより狭い</t>
  </si>
  <si>
    <t>年収ドロップダウンの余白が他のドロップダウンより狭い
同じ画面の「仕事の内容」ドロップダウンよりも「年収」の左右の余白が狭い（スクショ参照）
![image][スクリーンショット 2021-01-13 15.37.34.png]</t>
  </si>
  <si>
    <t>SASUKE_PROJ_H8739-639</t>
  </si>
  <si>
    <t>【単体テスト・不具合】G0107_個人情報入力画面　外部認証ができない。</t>
  </si>
  <si>
    <t>Yahoo,Line,DocomoのClient_idが設定されていないため外部認証ができない。</t>
  </si>
  <si>
    <t>SASUKE_PROJ_H8739-638</t>
  </si>
  <si>
    <t>【単体テスト・不具合】G127_Web申込み専用ページ仮登録完了画面　閉じるボタンでウィンドウが閉じない。</t>
  </si>
  <si>
    <t>閉じるボタンでウィンドウが閉じない。</t>
  </si>
  <si>
    <t>SASUKE_PROJ_H8739-636</t>
  </si>
  <si>
    <t>【単体テスト・不具合】G0116_ご職業・年収入力画面_年収選択ドロップダウンリストを選択すると青い枠が表示される</t>
  </si>
  <si>
    <t>年収選択ドロップダウンリストを選択すると青い枠が表示される
![image][スクリーンショット 2021-01-13 11.02.42.png]</t>
  </si>
  <si>
    <t>SASUKE_PROJ_H8739-635</t>
  </si>
  <si>
    <t>【単体テスト・不具合】 バックエンドAPIの共有部分で返却値改修後の対応に漏れがある</t>
  </si>
  <si>
    <t>TM薬袋</t>
  </si>
  <si>
    <t>App\Repository\Backend\BackendApi
```
    public function post($request, bool $exceptionOnError = false): array
    {
　　　　　　：
　　　　　　：
        $jsonData = (string)$rawResponse-&gt;getBody();
        $statusCode = (string)$rawResponse-&gt;getStatusCode();
        return [$jsonData, $statusCode];
　　　　　　↓ 修正
        $jsonData = (string)$rawResponse-&gt;getBody();
        return $jsonData;
    }
```
返却値が array から string に変更されたが、メソッドの返却値の定義が array のままである。
get() メソッドも同様</t>
  </si>
  <si>
    <t>前回返却値を修正したが、返却値の型指定まで修正されていなかった。</t>
  </si>
  <si>
    <t>返却値の型をarrayからstringに修正しました。</t>
  </si>
  <si>
    <t>SASUKE_PROJ_H8739-633</t>
  </si>
  <si>
    <t>【SS設計不備／単体テスト・不具合】G0116_ご職業・年収入力画面_自営業の勤務先に「なし」と入れないとバリデーションエラー</t>
  </si>
  <si>
    <t>【単体テスト・不具合】G0116_ご職業・年収入力画面_自営業の勤務先に「なし」と入れないとバリデーションエラー
自営業で勤務先が有る人のために注意書きが記載されていて、入力項目が表示されていると思う　かつ、勤務先非表示になるケースがあるので設計不備な気がする
バリデーション仕様書
https://docs.google.com/spreadsheets/d/1bM9GwmW8A7Mwjw8rLljv1R7PpcdkA-Tr/edit#gid=1606889947
![image][スクリーンショット 2021-01-13 10.29.15.png]
![image][スクリーンショット 2021-01-13 16.17.36.png]</t>
  </si>
  <si>
    <t>SASUKE_PROJ_H8739-632</t>
  </si>
  <si>
    <t>【単体テスト・不具合】G0116_ご職業・年収入力画面_選択項目の文字が長い場合にレイアウト崩れ</t>
  </si>
  <si>
    <t>選択項目の文字が長い場合にレイアウト崩れ
![image][スクリーンショット 2021-01-13 10.20.28.png]</t>
  </si>
  <si>
    <t>【SA/UI設計不備】G0119_受取人・請求人入力画面_バリデーションエラーのメッセージが設計書と異なる</t>
  </si>
  <si>
    <t>G0123_本人確認書類提出画面_書類ドロップダウン変更時にアップロード済ファイル情報がクリアされる仕様について1/9に追記されているが、マインナンバーカード選択時に裏面非表示になって次へを押下した際に別書類の裏面情報が送信されることを懸念したもので
マイナンバーカード選択時には裏面情報が送信されないようにはなっているので当該の仕様は不要</t>
  </si>
  <si>
    <t>【詳細設計書不備】G0123_本人確認書類提出画面_ファイルアップロードしてるがよろしいですかのメッセージ文言</t>
  </si>
  <si>
    <t>【単体テスト・不具合】（PEND）G0121_保険料払込方法選択画面_外部サイト(SBPS)へ遷移しない</t>
  </si>
  <si>
    <t>【単体テスト・不具合】（PEND）G0121_保険料払込方法選択画面_ポップアップのデザイン・文言が異なる</t>
  </si>
  <si>
    <t>【単体テスト・不具合】（PEND）G0120_受取人・請求人確認画面_初期表示がfigmaと異なる</t>
  </si>
  <si>
    <t>調査中</t>
    <rPh sb="0" eb="3">
      <t>チョウサチュウ</t>
    </rPh>
    <phoneticPr fontId="1"/>
  </si>
  <si>
    <t>　・横断対応</t>
    <phoneticPr fontId="1"/>
  </si>
  <si>
    <t>　・設計不備</t>
    <phoneticPr fontId="1"/>
  </si>
  <si>
    <t>　・実装不備</t>
    <phoneticPr fontId="1"/>
  </si>
  <si>
    <t>・未対応</t>
    <phoneticPr fontId="1"/>
  </si>
  <si>
    <t>件数</t>
    <rPh sb="0" eb="2">
      <t xml:space="preserve">ケンスウ </t>
    </rPh>
    <phoneticPr fontId="1"/>
  </si>
  <si>
    <t>工数係数</t>
    <rPh sb="0" eb="2">
      <t xml:space="preserve">コウスウ </t>
    </rPh>
    <rPh sb="2" eb="4">
      <t xml:space="preserve">ケイスウ </t>
    </rPh>
    <phoneticPr fontId="1"/>
  </si>
  <si>
    <t>工数合計</t>
    <rPh sb="0" eb="2">
      <t xml:space="preserve">コウスウ </t>
    </rPh>
    <rPh sb="2" eb="4">
      <t xml:space="preserve">ゴウケイ </t>
    </rPh>
    <phoneticPr fontId="1"/>
  </si>
  <si>
    <t>人日</t>
    <rPh sb="0" eb="2">
      <t xml:space="preserve">ニンニチ </t>
    </rPh>
    <phoneticPr fontId="1"/>
  </si>
  <si>
    <t>別途、詳細設計のレビューに発覚した手直しあり（26件、影響の大小や工数は調査中）</t>
    <rPh sb="0" eb="2">
      <t xml:space="preserve">ベット </t>
    </rPh>
    <rPh sb="3" eb="7">
      <t xml:space="preserve">ショウサイセッケイノ </t>
    </rPh>
    <rPh sb="17" eb="19">
      <t xml:space="preserve">テナオシ </t>
    </rPh>
    <rPh sb="25" eb="26">
      <t xml:space="preserve">ケン </t>
    </rPh>
    <rPh sb="27" eb="29">
      <t xml:space="preserve">エイキョウ </t>
    </rPh>
    <rPh sb="30" eb="32">
      <t xml:space="preserve">ダイショウ </t>
    </rPh>
    <rPh sb="33" eb="35">
      <t xml:space="preserve">コウスウ </t>
    </rPh>
    <rPh sb="36" eb="39">
      <t xml:space="preserve">チョウサナカ </t>
    </rPh>
    <phoneticPr fontId="1"/>
  </si>
  <si>
    <t>TM開発側遅延</t>
    <rPh sb="2" eb="5">
      <t xml:space="preserve">カイハツガワ </t>
    </rPh>
    <rPh sb="5" eb="7">
      <t xml:space="preserve">チエン </t>
    </rPh>
    <phoneticPr fontId="1"/>
  </si>
  <si>
    <t>Sasuke開発遅延</t>
    <rPh sb="6" eb="8">
      <t xml:space="preserve">カイハツ </t>
    </rPh>
    <rPh sb="8" eb="10">
      <t xml:space="preserve">チエン </t>
    </rPh>
    <phoneticPr fontId="1"/>
  </si>
  <si>
    <t>単体テストから発覚した不具合で今後の対応に要する工数が40人日</t>
    <rPh sb="0" eb="2">
      <t xml:space="preserve">タンタイテスト </t>
    </rPh>
    <rPh sb="11" eb="14">
      <t xml:space="preserve">フグアイ </t>
    </rPh>
    <rPh sb="15" eb="17">
      <t xml:space="preserve">コンゴ </t>
    </rPh>
    <rPh sb="18" eb="20">
      <t xml:space="preserve">タイオウニヨウスル </t>
    </rPh>
    <rPh sb="24" eb="26">
      <t xml:space="preserve">コウスウ </t>
    </rPh>
    <rPh sb="30" eb="31">
      <t xml:space="preserve">ニチ </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</si>
</sst>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_ ;[Red]\-0.00\ "/>
  </numFmts>
  <fonts count="13">
    <font>
      <sz val="11"/>
      <color theme="1"/>
      <name val="Yu Gothic"/>
      <family val="2"/>
      <scheme val="minor"/>
    </font>
    <font>
      <sz val="6"/>
      <name val="Yu Gothic"/>
      <family val="3"/>
      <charset val="128"/>
      <scheme val="minor"/>
    </font>
    <font>
      <sz val="9"/>
      <color theme="1"/>
      <name val="Yu Gothic"/>
      <family val="3"/>
      <charset val="128"/>
      <scheme val="minor"/>
    </font>
    <font>
      <b/>
      <sz val="9"/>
      <color theme="1"/>
      <name val="Yu Gothic"/>
      <family val="3"/>
      <charset val="128"/>
      <scheme val="minor"/>
    </font>
    <font>
      <b/>
      <u/>
      <sz val="11"/>
      <color theme="1"/>
      <name val="Yu Gothic"/>
      <family val="3"/>
      <charset val="128"/>
      <scheme val="minor"/>
    </font>
    <font>
      <u/>
      <sz val="11"/>
      <color theme="10"/>
      <name val="Yu Gothic"/>
      <family val="2"/>
      <scheme val="minor"/>
    </font>
    <font>
      <sz val="9"/>
      <color theme="1"/>
      <name val="Yu Gothic"/>
      <family val="2"/>
      <scheme val="minor"/>
    </font>
    <font>
      <sz val="11"/>
      <color rgb="FF000000"/>
      <name val="Yu Gothic"/>
      <family val="3"/>
      <charset val="128"/>
    </font>
    <font>
      <b/>
      <sz val="11"/>
      <color theme="1"/>
      <name val="Yu Gothic"/>
      <family val="3"/>
      <charset val="128"/>
      <scheme val="minor"/>
    </font>
    <font>
      <u/>
      <sz val="9"/>
      <color theme="10"/>
      <name val="Yu Gothic"/>
      <family val="2"/>
      <scheme val="minor"/>
    </font>
    <font>
      <sz val="14"/>
      <color theme="1"/>
      <name val="Yu Gothic"/>
      <family val="2"/>
      <scheme val="minor"/>
    </font>
    <font>
      <sz val="10"/>
      <color rgb="FF000000"/>
      <name val="游ゴシック"/>
      <family val="3"/>
      <charset val="128"/>
    </font>
    <font>
      <sz val="11"/>
      <color rgb="FFFF0000"/>
      <name val="Yu Gothic"/>
      <family val="3"/>
      <charset val="128"/>
      <scheme val="minor"/>
    </font>
  </fonts>
  <fills count="7">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FFCCFF"/>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0" fontId="5" fillId="0" borderId="0" applyNumberFormat="0" applyFill="0" applyBorder="0" applyAlignment="0" applyProtection="0"/>
  </cellStyleXfs>
  <cellXfs count="24">
    <xf numFmtId="0" fontId="0" fillId="0" borderId="0" xfId="0"/>
    <xf numFmtId="0" fontId="2" fillId="0" borderId="0" xfId="0" applyFont="1"/>
    <xf numFmtId="0" fontId="2" fillId="0" borderId="1" xfId="0" applyFont="1" applyBorder="1" applyAlignment="1">
      <alignment horizontal="left"/>
    </xf>
    <xf numFmtId="0" fontId="2" fillId="0" borderId="1" xfId="0" applyFont="1" applyBorder="1"/>
    <xf numFmtId="0" fontId="3" fillId="2" borderId="1" xfId="0" applyFont="1" applyFill="1" applyBorder="1"/>
    <xf numFmtId="0" fontId="4" fillId="0" borderId="0" xfId="0" applyFont="1"/>
    <xf numFmtId="0" fontId="0" fillId="0" borderId="1" xfId="0" applyFill="1" applyBorder="1"/>
    <xf numFmtId="0" fontId="3" fillId="4" borderId="1" xfId="0" applyFont="1" applyFill="1" applyBorder="1" applyAlignment="1"/>
    <xf numFmtId="0" fontId="3" fillId="3" borderId="1" xfId="0" applyFont="1" applyFill="1" applyBorder="1"/>
    <xf numFmtId="0" fontId="5" fillId="0" borderId="1" xfId="1" applyBorder="1"/>
    <xf numFmtId="0" fontId="0" fillId="0" borderId="0" xfId="0" applyAlignment="1">
      <alignment wrapText="1"/>
    </xf>
    <xf numFmtId="0" fontId="8" fillId="4" borderId="1" xfId="0" applyFont="1" applyFill="1" applyBorder="1" applyAlignment="1">
      <alignment horizontal="center" vertical="center" wrapText="1"/>
    </xf>
    <xf numFmtId="0" fontId="3" fillId="4" borderId="1" xfId="0" applyFont="1" applyFill="1" applyBorder="1" applyAlignment="1">
      <alignment horizontal="center" vertical="center" wrapText="1"/>
    </xf>
    <xf numFmtId="0" fontId="0" fillId="0" borderId="0" xfId="0" applyBorder="1" applyAlignment="1">
      <alignment wrapText="1"/>
    </xf>
    <xf numFmtId="0" fontId="2" fillId="0" borderId="1" xfId="0" applyFont="1" applyBorder="1" applyAlignment="1">
      <alignment horizontal="left" vertical="top" wrapText="1"/>
    </xf>
    <xf numFmtId="0" fontId="0" fillId="0" borderId="1" xfId="0" applyBorder="1"/>
    <xf numFmtId="0" fontId="10" fillId="0" borderId="0" xfId="0" applyFont="1"/>
    <xf numFmtId="0" fontId="0" fillId="5" borderId="1" xfId="0" applyFill="1" applyBorder="1"/>
    <xf numFmtId="0" fontId="0" fillId="6" borderId="1" xfId="0" applyFill="1" applyBorder="1"/>
    <xf numFmtId="0" fontId="9" fillId="0" borderId="1" xfId="1" applyFont="1" applyBorder="1" applyAlignment="1">
      <alignment horizontal="left" vertical="top" wrapText="1"/>
    </xf>
    <xf numFmtId="14" fontId="2" fillId="0" borderId="1" xfId="0" applyNumberFormat="1" applyFont="1" applyBorder="1" applyAlignment="1">
      <alignment horizontal="left" vertical="top" wrapText="1"/>
    </xf>
    <xf numFmtId="176" fontId="11" fillId="0" borderId="2" xfId="0" applyNumberFormat="1" applyFont="1" applyBorder="1"/>
    <xf numFmtId="0" fontId="12" fillId="0" borderId="1" xfId="0" applyFont="1" applyBorder="1"/>
    <xf numFmtId="0" fontId="6" fillId="0" borderId="1" xfId="0" applyFont="1" applyBorder="1" applyAlignment="1">
      <alignment horizontal="left" wrapText="1"/>
    </xf>
  </cellXfs>
  <cellStyles count="2">
    <cellStyle name="ハイパーリンク" xfId="1" builtinId="8"/>
    <cellStyle name="標準" xfId="0" builtinId="0"/>
  </cellStyles>
  <dxfs count="0"/>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25400</xdr:colOff>
          <xdr:row>0</xdr:row>
          <xdr:rowOff>25400</xdr:rowOff>
        </xdr:from>
        <xdr:to>
          <xdr:col>5</xdr:col>
          <xdr:colOff>647700</xdr:colOff>
          <xdr:row>1</xdr:row>
          <xdr:rowOff>228600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1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バックログ出力</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9524</xdr:colOff>
      <xdr:row>0</xdr:row>
      <xdr:rowOff>57149</xdr:rowOff>
    </xdr:from>
    <xdr:to>
      <xdr:col>2</xdr:col>
      <xdr:colOff>590550</xdr:colOff>
      <xdr:row>1</xdr:row>
      <xdr:rowOff>95250</xdr:rowOff>
    </xdr:to>
    <xdr:sp macro="" textlink="">
      <xdr:nvSpPr>
        <xdr:cNvPr id="5121" name="Button 1" hidden="1">
          <a:extLst>
            <a:ext uri="{63B3BB69-23CF-44E3-9099-C40C66FF867C}">
              <a14:compatExt xmlns:a14="http://schemas.microsoft.com/office/drawing/2010/main"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親課題取得</a:t>
          </a:r>
        </a:p>
      </xdr:txBody>
    </xdr:sp>
    <xdr:clientData fPrintsWithSheet="0"/>
  </xdr:twoCellAnchor>
  <mc:AlternateContent xmlns:mc="http://schemas.openxmlformats.org/markup-compatibility/2006">
    <mc:Choice xmlns:a14="http://schemas.microsoft.com/office/drawing/2010/main" Requires="a14">
      <xdr:twoCellAnchor>
        <xdr:from>
          <xdr:col>1</xdr:col>
          <xdr:colOff>0</xdr:colOff>
          <xdr:row>0</xdr:row>
          <xdr:rowOff>101600</xdr:rowOff>
        </xdr:from>
        <xdr:to>
          <xdr:col>2</xdr:col>
          <xdr:colOff>114300</xdr:colOff>
          <xdr:row>1</xdr:row>
          <xdr:rowOff>139700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IssueID取得</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6" Type="http://schemas.openxmlformats.org/officeDocument/2006/relationships/hyperlink" Target="https://sasuke-fl.backlog.com/view/SASUKE_PROJ_H8739-605" TargetMode="External"/><Relationship Id="rId21" Type="http://schemas.openxmlformats.org/officeDocument/2006/relationships/hyperlink" Target="https://sasuke-fl.backlog.com/view/SASUKE_PROJ_H8739-611" TargetMode="External"/><Relationship Id="rId42" Type="http://schemas.openxmlformats.org/officeDocument/2006/relationships/hyperlink" Target="https://sasuke-fl.backlog.com/view/SASUKE_PROJ_H8739-584" TargetMode="External"/><Relationship Id="rId47" Type="http://schemas.openxmlformats.org/officeDocument/2006/relationships/hyperlink" Target="https://sasuke-fl.backlog.com/view/SASUKE_PROJ_H8739-579" TargetMode="External"/><Relationship Id="rId63" Type="http://schemas.openxmlformats.org/officeDocument/2006/relationships/hyperlink" Target="https://sasuke-fl.backlog.com/view/SASUKE_PROJ_H8739-554" TargetMode="External"/><Relationship Id="rId68" Type="http://schemas.openxmlformats.org/officeDocument/2006/relationships/hyperlink" Target="https://sasuke-fl.backlog.com/view/SASUKE_PROJ_H8739-543" TargetMode="External"/><Relationship Id="rId16" Type="http://schemas.openxmlformats.org/officeDocument/2006/relationships/hyperlink" Target="https://sasuke-fl.backlog.com/view/SASUKE_PROJ_H8739-618" TargetMode="External"/><Relationship Id="rId11" Type="http://schemas.openxmlformats.org/officeDocument/2006/relationships/hyperlink" Target="https://sasuke-fl.backlog.com/view/SASUKE_PROJ_H8739-625" TargetMode="External"/><Relationship Id="rId32" Type="http://schemas.openxmlformats.org/officeDocument/2006/relationships/hyperlink" Target="https://sasuke-fl.backlog.com/view/SASUKE_PROJ_H8739-597" TargetMode="External"/><Relationship Id="rId37" Type="http://schemas.openxmlformats.org/officeDocument/2006/relationships/hyperlink" Target="https://sasuke-fl.backlog.com/view/SASUKE_PROJ_H8739-591" TargetMode="External"/><Relationship Id="rId53" Type="http://schemas.openxmlformats.org/officeDocument/2006/relationships/hyperlink" Target="https://sasuke-fl.backlog.com/view/SASUKE_PROJ_H8739-573" TargetMode="External"/><Relationship Id="rId58" Type="http://schemas.openxmlformats.org/officeDocument/2006/relationships/hyperlink" Target="https://sasuke-fl.backlog.com/view/SASUKE_PROJ_H8739-568" TargetMode="External"/><Relationship Id="rId74" Type="http://schemas.openxmlformats.org/officeDocument/2006/relationships/hyperlink" Target="https://sasuke-fl.backlog.com/view/SASUKE_PROJ_H8739-527" TargetMode="External"/><Relationship Id="rId79" Type="http://schemas.openxmlformats.org/officeDocument/2006/relationships/hyperlink" Target="https://sasuke-fl.backlog.com/view/SASUKE_PROJ_H8739-521" TargetMode="External"/><Relationship Id="rId5" Type="http://schemas.openxmlformats.org/officeDocument/2006/relationships/hyperlink" Target="https://sasuke-fl.backlog.com/view/SASUKE_PROJ_H8739-638" TargetMode="External"/><Relationship Id="rId61" Type="http://schemas.openxmlformats.org/officeDocument/2006/relationships/hyperlink" Target="https://sasuke-fl.backlog.com/view/SASUKE_PROJ_H8739-565" TargetMode="External"/><Relationship Id="rId82" Type="http://schemas.openxmlformats.org/officeDocument/2006/relationships/vmlDrawing" Target="../drawings/vmlDrawing1.vml"/><Relationship Id="rId19" Type="http://schemas.openxmlformats.org/officeDocument/2006/relationships/hyperlink" Target="https://sasuke-fl.backlog.com/view/SASUKE_PROJ_H8739-613" TargetMode="External"/><Relationship Id="rId14" Type="http://schemas.openxmlformats.org/officeDocument/2006/relationships/hyperlink" Target="https://sasuke-fl.backlog.com/view/SASUKE_PROJ_H8739-622" TargetMode="External"/><Relationship Id="rId22" Type="http://schemas.openxmlformats.org/officeDocument/2006/relationships/hyperlink" Target="https://sasuke-fl.backlog.com/view/SASUKE_PROJ_H8739-610" TargetMode="External"/><Relationship Id="rId27" Type="http://schemas.openxmlformats.org/officeDocument/2006/relationships/hyperlink" Target="https://sasuke-fl.backlog.com/view/SASUKE_PROJ_H8739-604" TargetMode="External"/><Relationship Id="rId30" Type="http://schemas.openxmlformats.org/officeDocument/2006/relationships/hyperlink" Target="https://sasuke-fl.backlog.com/view/SASUKE_PROJ_H8739-599" TargetMode="External"/><Relationship Id="rId35" Type="http://schemas.openxmlformats.org/officeDocument/2006/relationships/hyperlink" Target="https://sasuke-fl.backlog.com/view/SASUKE_PROJ_H8739-593" TargetMode="External"/><Relationship Id="rId43" Type="http://schemas.openxmlformats.org/officeDocument/2006/relationships/hyperlink" Target="https://sasuke-fl.backlog.com/view/SASUKE_PROJ_H8739-583" TargetMode="External"/><Relationship Id="rId48" Type="http://schemas.openxmlformats.org/officeDocument/2006/relationships/hyperlink" Target="https://sasuke-fl.backlog.com/view/SASUKE_PROJ_H8739-578" TargetMode="External"/><Relationship Id="rId56" Type="http://schemas.openxmlformats.org/officeDocument/2006/relationships/hyperlink" Target="https://sasuke-fl.backlog.com/view/SASUKE_PROJ_H8739-570" TargetMode="External"/><Relationship Id="rId64" Type="http://schemas.openxmlformats.org/officeDocument/2006/relationships/hyperlink" Target="https://sasuke-fl.backlog.com/view/SASUKE_PROJ_H8739-553" TargetMode="External"/><Relationship Id="rId69" Type="http://schemas.openxmlformats.org/officeDocument/2006/relationships/hyperlink" Target="https://sasuke-fl.backlog.com/view/SASUKE_PROJ_H8739-542" TargetMode="External"/><Relationship Id="rId77" Type="http://schemas.openxmlformats.org/officeDocument/2006/relationships/hyperlink" Target="https://sasuke-fl.backlog.com/view/SASUKE_PROJ_H8739-524" TargetMode="External"/><Relationship Id="rId8" Type="http://schemas.openxmlformats.org/officeDocument/2006/relationships/hyperlink" Target="https://sasuke-fl.backlog.com/view/SASUKE_PROJ_H8739-633" TargetMode="External"/><Relationship Id="rId51" Type="http://schemas.openxmlformats.org/officeDocument/2006/relationships/hyperlink" Target="https://sasuke-fl.backlog.com/view/SASUKE_PROJ_H8739-575" TargetMode="External"/><Relationship Id="rId72" Type="http://schemas.openxmlformats.org/officeDocument/2006/relationships/hyperlink" Target="https://sasuke-fl.backlog.com/view/SASUKE_PROJ_H8739-529" TargetMode="External"/><Relationship Id="rId80" Type="http://schemas.openxmlformats.org/officeDocument/2006/relationships/printerSettings" Target="../printerSettings/printerSettings1.bin"/><Relationship Id="rId3" Type="http://schemas.openxmlformats.org/officeDocument/2006/relationships/hyperlink" Target="https://sasuke-fl.backlog.com/view/SASUKE_PROJ_H8739-640" TargetMode="External"/><Relationship Id="rId12" Type="http://schemas.openxmlformats.org/officeDocument/2006/relationships/hyperlink" Target="https://sasuke-fl.backlog.com/view/SASUKE_PROJ_H8739-624" TargetMode="External"/><Relationship Id="rId17" Type="http://schemas.openxmlformats.org/officeDocument/2006/relationships/hyperlink" Target="https://sasuke-fl.backlog.com/view/SASUKE_PROJ_H8739-616" TargetMode="External"/><Relationship Id="rId25" Type="http://schemas.openxmlformats.org/officeDocument/2006/relationships/hyperlink" Target="https://sasuke-fl.backlog.com/view/SASUKE_PROJ_H8739-606" TargetMode="External"/><Relationship Id="rId33" Type="http://schemas.openxmlformats.org/officeDocument/2006/relationships/hyperlink" Target="https://sasuke-fl.backlog.com/view/SASUKE_PROJ_H8739-596" TargetMode="External"/><Relationship Id="rId38" Type="http://schemas.openxmlformats.org/officeDocument/2006/relationships/hyperlink" Target="https://sasuke-fl.backlog.com/view/SASUKE_PROJ_H8739-590" TargetMode="External"/><Relationship Id="rId46" Type="http://schemas.openxmlformats.org/officeDocument/2006/relationships/hyperlink" Target="https://sasuke-fl.backlog.com/view/SASUKE_PROJ_H8739-580" TargetMode="External"/><Relationship Id="rId59" Type="http://schemas.openxmlformats.org/officeDocument/2006/relationships/hyperlink" Target="https://sasuke-fl.backlog.com/view/SASUKE_PROJ_H8739-567" TargetMode="External"/><Relationship Id="rId67" Type="http://schemas.openxmlformats.org/officeDocument/2006/relationships/hyperlink" Target="https://sasuke-fl.backlog.com/view/SASUKE_PROJ_H8739-548" TargetMode="External"/><Relationship Id="rId20" Type="http://schemas.openxmlformats.org/officeDocument/2006/relationships/hyperlink" Target="https://sasuke-fl.backlog.com/view/SASUKE_PROJ_H8739-612" TargetMode="External"/><Relationship Id="rId41" Type="http://schemas.openxmlformats.org/officeDocument/2006/relationships/hyperlink" Target="https://sasuke-fl.backlog.com/view/SASUKE_PROJ_H8739-585" TargetMode="External"/><Relationship Id="rId54" Type="http://schemas.openxmlformats.org/officeDocument/2006/relationships/hyperlink" Target="https://sasuke-fl.backlog.com/view/SASUKE_PROJ_H8739-572" TargetMode="External"/><Relationship Id="rId62" Type="http://schemas.openxmlformats.org/officeDocument/2006/relationships/hyperlink" Target="https://sasuke-fl.backlog.com/view/SASUKE_PROJ_H8739-558" TargetMode="External"/><Relationship Id="rId70" Type="http://schemas.openxmlformats.org/officeDocument/2006/relationships/hyperlink" Target="https://sasuke-fl.backlog.com/view/SASUKE_PROJ_H8739-541" TargetMode="External"/><Relationship Id="rId75" Type="http://schemas.openxmlformats.org/officeDocument/2006/relationships/hyperlink" Target="https://sasuke-fl.backlog.com/view/SASUKE_PROJ_H8739-526" TargetMode="External"/><Relationship Id="rId83" Type="http://schemas.openxmlformats.org/officeDocument/2006/relationships/ctrlProp" Target="../ctrlProps/ctrlProp1.xml"/><Relationship Id="rId1" Type="http://schemas.openxmlformats.org/officeDocument/2006/relationships/hyperlink" Target="https://sasuke-fl.backlog.com/view/SASUKE_PROJ_H8739-643" TargetMode="External"/><Relationship Id="rId6" Type="http://schemas.openxmlformats.org/officeDocument/2006/relationships/hyperlink" Target="https://sasuke-fl.backlog.com/view/SASUKE_PROJ_H8739-636" TargetMode="External"/><Relationship Id="rId15" Type="http://schemas.openxmlformats.org/officeDocument/2006/relationships/hyperlink" Target="https://sasuke-fl.backlog.com/view/SASUKE_PROJ_H8739-619" TargetMode="External"/><Relationship Id="rId23" Type="http://schemas.openxmlformats.org/officeDocument/2006/relationships/hyperlink" Target="https://sasuke-fl.backlog.com/view/SASUKE_PROJ_H8739-608" TargetMode="External"/><Relationship Id="rId28" Type="http://schemas.openxmlformats.org/officeDocument/2006/relationships/hyperlink" Target="https://sasuke-fl.backlog.com/view/SASUKE_PROJ_H8739-601" TargetMode="External"/><Relationship Id="rId36" Type="http://schemas.openxmlformats.org/officeDocument/2006/relationships/hyperlink" Target="https://sasuke-fl.backlog.com/view/SASUKE_PROJ_H8739-592" TargetMode="External"/><Relationship Id="rId49" Type="http://schemas.openxmlformats.org/officeDocument/2006/relationships/hyperlink" Target="https://sasuke-fl.backlog.com/view/SASUKE_PROJ_H8739-577" TargetMode="External"/><Relationship Id="rId57" Type="http://schemas.openxmlformats.org/officeDocument/2006/relationships/hyperlink" Target="https://sasuke-fl.backlog.com/view/SASUKE_PROJ_H8739-569" TargetMode="External"/><Relationship Id="rId10" Type="http://schemas.openxmlformats.org/officeDocument/2006/relationships/hyperlink" Target="https://sasuke-fl.backlog.com/view/SASUKE_PROJ_H8739-628" TargetMode="External"/><Relationship Id="rId31" Type="http://schemas.openxmlformats.org/officeDocument/2006/relationships/hyperlink" Target="https://sasuke-fl.backlog.com/view/SASUKE_PROJ_H8739-598" TargetMode="External"/><Relationship Id="rId44" Type="http://schemas.openxmlformats.org/officeDocument/2006/relationships/hyperlink" Target="https://sasuke-fl.backlog.com/view/SASUKE_PROJ_H8739-582" TargetMode="External"/><Relationship Id="rId52" Type="http://schemas.openxmlformats.org/officeDocument/2006/relationships/hyperlink" Target="https://sasuke-fl.backlog.com/view/SASUKE_PROJ_H8739-574" TargetMode="External"/><Relationship Id="rId60" Type="http://schemas.openxmlformats.org/officeDocument/2006/relationships/hyperlink" Target="https://sasuke-fl.backlog.com/view/SASUKE_PROJ_H8739-566" TargetMode="External"/><Relationship Id="rId65" Type="http://schemas.openxmlformats.org/officeDocument/2006/relationships/hyperlink" Target="https://sasuke-fl.backlog.com/view/SASUKE_PROJ_H8739-552" TargetMode="External"/><Relationship Id="rId73" Type="http://schemas.openxmlformats.org/officeDocument/2006/relationships/hyperlink" Target="https://sasuke-fl.backlog.com/view/SASUKE_PROJ_H8739-528" TargetMode="External"/><Relationship Id="rId78" Type="http://schemas.openxmlformats.org/officeDocument/2006/relationships/hyperlink" Target="https://sasuke-fl.backlog.com/view/SASUKE_PROJ_H8739-522" TargetMode="External"/><Relationship Id="rId81" Type="http://schemas.openxmlformats.org/officeDocument/2006/relationships/drawing" Target="../drawings/drawing1.xml"/><Relationship Id="rId4" Type="http://schemas.openxmlformats.org/officeDocument/2006/relationships/hyperlink" Target="https://sasuke-fl.backlog.com/view/SASUKE_PROJ_H8739-639" TargetMode="External"/><Relationship Id="rId9" Type="http://schemas.openxmlformats.org/officeDocument/2006/relationships/hyperlink" Target="https://sasuke-fl.backlog.com/view/SASUKE_PROJ_H8739-632" TargetMode="External"/><Relationship Id="rId13" Type="http://schemas.openxmlformats.org/officeDocument/2006/relationships/hyperlink" Target="https://sasuke-fl.backlog.com/view/SASUKE_PROJ_H8739-623" TargetMode="External"/><Relationship Id="rId18" Type="http://schemas.openxmlformats.org/officeDocument/2006/relationships/hyperlink" Target="https://sasuke-fl.backlog.com/view/SASUKE_PROJ_H8739-615" TargetMode="External"/><Relationship Id="rId39" Type="http://schemas.openxmlformats.org/officeDocument/2006/relationships/hyperlink" Target="https://sasuke-fl.backlog.com/view/SASUKE_PROJ_H8739-587" TargetMode="External"/><Relationship Id="rId34" Type="http://schemas.openxmlformats.org/officeDocument/2006/relationships/hyperlink" Target="https://sasuke-fl.backlog.com/view/SASUKE_PROJ_H8739-594" TargetMode="External"/><Relationship Id="rId50" Type="http://schemas.openxmlformats.org/officeDocument/2006/relationships/hyperlink" Target="https://sasuke-fl.backlog.com/view/SASUKE_PROJ_H8739-576" TargetMode="External"/><Relationship Id="rId55" Type="http://schemas.openxmlformats.org/officeDocument/2006/relationships/hyperlink" Target="https://sasuke-fl.backlog.com/view/SASUKE_PROJ_H8739-571" TargetMode="External"/><Relationship Id="rId76" Type="http://schemas.openxmlformats.org/officeDocument/2006/relationships/hyperlink" Target="https://sasuke-fl.backlog.com/view/SASUKE_PROJ_H8739-525" TargetMode="External"/><Relationship Id="rId7" Type="http://schemas.openxmlformats.org/officeDocument/2006/relationships/hyperlink" Target="https://sasuke-fl.backlog.com/view/SASUKE_PROJ_H8739-635" TargetMode="External"/><Relationship Id="rId71" Type="http://schemas.openxmlformats.org/officeDocument/2006/relationships/hyperlink" Target="https://sasuke-fl.backlog.com/view/SASUKE_PROJ_H8739-534" TargetMode="External"/><Relationship Id="rId2" Type="http://schemas.openxmlformats.org/officeDocument/2006/relationships/hyperlink" Target="https://sasuke-fl.backlog.com/view/SASUKE_PROJ_H8739-641" TargetMode="External"/><Relationship Id="rId29" Type="http://schemas.openxmlformats.org/officeDocument/2006/relationships/hyperlink" Target="https://sasuke-fl.backlog.com/view/SASUKE_PROJ_H8739-600" TargetMode="External"/><Relationship Id="rId24" Type="http://schemas.openxmlformats.org/officeDocument/2006/relationships/hyperlink" Target="https://sasuke-fl.backlog.com/view/SASUKE_PROJ_H8739-607" TargetMode="External"/><Relationship Id="rId40" Type="http://schemas.openxmlformats.org/officeDocument/2006/relationships/hyperlink" Target="https://sasuke-fl.backlog.com/view/SASUKE_PROJ_H8739-586" TargetMode="External"/><Relationship Id="rId45" Type="http://schemas.openxmlformats.org/officeDocument/2006/relationships/hyperlink" Target="https://sasuke-fl.backlog.com/view/SASUKE_PROJ_H8739-581" TargetMode="External"/><Relationship Id="rId66" Type="http://schemas.openxmlformats.org/officeDocument/2006/relationships/hyperlink" Target="https://sasuke-fl.backlog.com/view/SASUKE_PROJ_H8739-551"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sasuke-fl.backlog.com/view/SASUKE_PROJ_H8739-511"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36D0E-1C42-45D4-9BEB-3318CA0BEC9A}">
  <dimension ref="A1:K22"/>
  <sheetViews>
    <sheetView showGridLines="0" tabSelected="1" zoomScale="135" workbookViewId="0">
      <selection activeCell="H11" sqref="H11"/>
    </sheetView>
  </sheetViews>
  <sheetFormatPr baseColWidth="10" defaultColWidth="8.83203125" defaultRowHeight="18"/>
  <cols>
    <col min="1" max="1" width="17.1640625" bestFit="1" customWidth="1"/>
    <col min="3" max="3" width="4.1640625" customWidth="1"/>
    <col min="4" max="4" width="17.1640625" bestFit="1" customWidth="1"/>
  </cols>
  <sheetData>
    <row r="1" spans="1:7" ht="24">
      <c r="A1" s="16" t="s">
        <v>296</v>
      </c>
      <c r="D1" s="16" t="s">
        <v>291</v>
      </c>
    </row>
    <row r="2" spans="1:7">
      <c r="A2" s="17" t="s">
        <v>297</v>
      </c>
      <c r="B2" s="15">
        <f>COUNTIF(障害一覧!D:D,サマリ!A2)</f>
        <v>44</v>
      </c>
      <c r="D2" s="17" t="s">
        <v>292</v>
      </c>
      <c r="E2" s="15">
        <f>COUNTIF(障害一覧!G:G,サマリ!D2)</f>
        <v>0</v>
      </c>
    </row>
    <row r="3" spans="1:7">
      <c r="A3" s="17" t="s">
        <v>298</v>
      </c>
      <c r="B3" s="15">
        <f>COUNTIF(障害一覧!D:D,サマリ!A3)</f>
        <v>5</v>
      </c>
      <c r="D3" s="17" t="s">
        <v>130</v>
      </c>
      <c r="E3" s="15">
        <f>COUNTIF(障害一覧!G:G,サマリ!D3)</f>
        <v>6</v>
      </c>
    </row>
    <row r="4" spans="1:7">
      <c r="A4" s="17" t="s">
        <v>138</v>
      </c>
      <c r="B4" s="15">
        <f>COUNTIF(障害一覧!D:D,サマリ!A4)</f>
        <v>6</v>
      </c>
      <c r="D4" s="17" t="s">
        <v>54</v>
      </c>
      <c r="E4" s="15">
        <f>COUNTIF(障害一覧!G:G,サマリ!D4)</f>
        <v>10</v>
      </c>
    </row>
    <row r="5" spans="1:7">
      <c r="A5" s="17" t="s">
        <v>299</v>
      </c>
      <c r="B5" s="15">
        <f>COUNTIF(障害一覧!D:D,サマリ!A5)</f>
        <v>24</v>
      </c>
      <c r="D5" s="17" t="s">
        <v>20</v>
      </c>
      <c r="E5" s="15">
        <f>COUNTIF(障害一覧!G:G,サマリ!D5)</f>
        <v>49</v>
      </c>
    </row>
    <row r="6" spans="1:7">
      <c r="A6" s="17"/>
      <c r="B6" s="15"/>
      <c r="D6" s="17" t="s">
        <v>293</v>
      </c>
      <c r="E6" s="15">
        <f>COUNTIF(障害一覧!G:G,サマリ!D6)</f>
        <v>0</v>
      </c>
    </row>
    <row r="7" spans="1:7">
      <c r="A7" s="17"/>
      <c r="B7" s="15"/>
      <c r="D7" s="17" t="s">
        <v>294</v>
      </c>
      <c r="E7" s="15">
        <f>COUNTIF(障害一覧!G:G,サマリ!D7)</f>
        <v>0</v>
      </c>
    </row>
    <row r="8" spans="1:7">
      <c r="A8" s="17"/>
      <c r="B8" s="15"/>
      <c r="D8" s="17" t="s">
        <v>251</v>
      </c>
      <c r="E8" s="15">
        <f>COUNTIF(障害一覧!G:G,サマリ!D8)</f>
        <v>1</v>
      </c>
    </row>
    <row r="9" spans="1:7">
      <c r="A9" s="17"/>
      <c r="B9" s="15"/>
      <c r="D9" s="17" t="s">
        <v>22</v>
      </c>
      <c r="E9" s="15">
        <f>COUNTIF(障害一覧!G:G,サマリ!D9)</f>
        <v>12</v>
      </c>
    </row>
    <row r="10" spans="1:7">
      <c r="A10" s="17"/>
      <c r="B10" s="15"/>
      <c r="D10" s="17" t="s">
        <v>337</v>
      </c>
      <c r="E10" s="15">
        <f>COUNTIF(障害一覧!G:G,"★*")</f>
        <v>1</v>
      </c>
    </row>
    <row r="11" spans="1:7">
      <c r="A11" s="18" t="s">
        <v>295</v>
      </c>
      <c r="B11" s="15">
        <f>SUM(B2:B10)</f>
        <v>79</v>
      </c>
      <c r="D11" s="18" t="s">
        <v>295</v>
      </c>
      <c r="E11" s="15">
        <f>SUM(E2:E10)</f>
        <v>79</v>
      </c>
    </row>
    <row r="16" spans="1:7">
      <c r="D16" s="15"/>
      <c r="E16" s="15" t="s">
        <v>342</v>
      </c>
      <c r="F16" s="15" t="s">
        <v>343</v>
      </c>
      <c r="G16" s="15" t="s">
        <v>344</v>
      </c>
    </row>
    <row r="17" spans="4:11">
      <c r="D17" s="15" t="s">
        <v>341</v>
      </c>
      <c r="E17" s="15">
        <v>44</v>
      </c>
      <c r="F17" s="15"/>
      <c r="G17" s="15"/>
      <c r="I17" t="s">
        <v>349</v>
      </c>
    </row>
    <row r="18" spans="4:11">
      <c r="D18" s="15" t="s">
        <v>340</v>
      </c>
      <c r="E18" s="15">
        <v>26</v>
      </c>
      <c r="F18" s="15">
        <v>0.5</v>
      </c>
      <c r="G18" s="15">
        <f>E18*F18</f>
        <v>13</v>
      </c>
      <c r="I18" t="s">
        <v>346</v>
      </c>
    </row>
    <row r="19" spans="4:11">
      <c r="D19" s="15" t="s">
        <v>339</v>
      </c>
      <c r="E19" s="15">
        <v>9</v>
      </c>
      <c r="F19" s="15">
        <v>1</v>
      </c>
      <c r="G19" s="15">
        <f>E19*F19</f>
        <v>9</v>
      </c>
    </row>
    <row r="20" spans="4:11">
      <c r="D20" s="15" t="s">
        <v>338</v>
      </c>
      <c r="E20" s="15">
        <v>9</v>
      </c>
      <c r="F20" s="15">
        <v>2</v>
      </c>
      <c r="G20" s="15">
        <f>E20*F20</f>
        <v>18</v>
      </c>
      <c r="I20" t="s">
        <v>347</v>
      </c>
      <c r="K20" s="21">
        <v>-7.64</v>
      </c>
    </row>
    <row r="21" spans="4:11">
      <c r="D21" s="15"/>
      <c r="E21" s="15"/>
      <c r="F21" s="15"/>
      <c r="G21" s="22">
        <f>SUM(G18:G20)</f>
        <v>40</v>
      </c>
      <c r="I21" t="s">
        <v>348</v>
      </c>
      <c r="K21" s="21">
        <v>-16</v>
      </c>
    </row>
    <row r="22" spans="4:11">
      <c r="F22" t="s">
        <v>345</v>
      </c>
      <c r="G22" t="s">
        <v>345</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016DB-A8A6-409C-9510-D950E1C01189}">
  <sheetPr codeName="Sheet4"/>
  <dimension ref="A1:U1000"/>
  <sheetViews>
    <sheetView showGridLines="0" zoomScale="78" zoomScaleNormal="55" workbookViewId="0">
      <selection activeCell="J28" sqref="J28"/>
    </sheetView>
  </sheetViews>
  <sheetFormatPr baseColWidth="10" defaultColWidth="8.83203125" defaultRowHeight="18"/>
  <cols>
    <col min="1" max="1" width="23.6640625" style="10" bestFit="1" customWidth="1"/>
    <col min="2" max="2" width="48.1640625" style="10" customWidth="1"/>
    <col min="3" max="3" width="9.1640625" style="10" bestFit="1" customWidth="1"/>
    <col min="4" max="4" width="11.1640625" style="10" bestFit="1" customWidth="1"/>
    <col min="5" max="5" width="10" style="10" bestFit="1" customWidth="1"/>
    <col min="6" max="6" width="10.1640625" style="10" bestFit="1" customWidth="1"/>
    <col min="7" max="7" width="12.5" style="10" customWidth="1"/>
    <col min="8" max="10" width="34.83203125" style="10" customWidth="1"/>
    <col min="11" max="11" width="40.6640625" style="10" customWidth="1"/>
  </cols>
  <sheetData>
    <row r="1" spans="1:21">
      <c r="A1" s="12" t="s">
        <v>8</v>
      </c>
      <c r="B1" s="23" t="s">
        <v>26</v>
      </c>
      <c r="C1" s="23"/>
    </row>
    <row r="2" spans="1:21">
      <c r="A2" s="12" t="s">
        <v>2</v>
      </c>
      <c r="B2" s="23">
        <v>10597942</v>
      </c>
      <c r="C2" s="23"/>
    </row>
    <row r="3" spans="1:21" ht="38">
      <c r="A3" s="13" t="s">
        <v>300</v>
      </c>
      <c r="B3" s="13"/>
    </row>
    <row r="4" spans="1:21" ht="6.75" customHeight="1"/>
    <row r="5" spans="1:21" ht="40.5" customHeight="1">
      <c r="A5" s="11" t="s">
        <v>11</v>
      </c>
      <c r="B5" s="11" t="s">
        <v>3</v>
      </c>
      <c r="C5" s="11" t="s">
        <v>12</v>
      </c>
      <c r="D5" s="11" t="s">
        <v>13</v>
      </c>
      <c r="E5" s="11" t="s">
        <v>14</v>
      </c>
      <c r="F5" s="11" t="s">
        <v>15</v>
      </c>
      <c r="G5" s="11" t="s">
        <v>232</v>
      </c>
      <c r="H5" s="11" t="s">
        <v>233</v>
      </c>
      <c r="I5" s="11" t="s">
        <v>16</v>
      </c>
      <c r="J5" s="11" t="s">
        <v>17</v>
      </c>
      <c r="K5" s="11" t="s">
        <v>24</v>
      </c>
    </row>
    <row r="6" spans="1:21" ht="255">
      <c r="A6" s="19" t="s">
        <v>301</v>
      </c>
      <c r="B6" s="14" t="s">
        <v>302</v>
      </c>
      <c r="C6" s="14" t="s">
        <v>88</v>
      </c>
      <c r="D6" s="14" t="s">
        <v>18</v>
      </c>
      <c r="E6" s="20">
        <v>44209</v>
      </c>
      <c r="F6" s="14"/>
      <c r="G6" s="14" t="s">
        <v>130</v>
      </c>
      <c r="H6" s="14" t="s">
        <v>303</v>
      </c>
      <c r="I6" s="14"/>
      <c r="J6" s="14"/>
      <c r="K6" s="14"/>
      <c r="L6" s="1"/>
      <c r="M6" s="1"/>
      <c r="N6" s="1"/>
      <c r="O6" s="1"/>
      <c r="P6" s="1"/>
      <c r="Q6" s="1"/>
      <c r="R6" s="1"/>
      <c r="S6" s="1"/>
      <c r="T6" s="1"/>
      <c r="U6" s="1"/>
    </row>
    <row r="7" spans="1:21" ht="204">
      <c r="A7" s="19" t="s">
        <v>304</v>
      </c>
      <c r="B7" s="14" t="s">
        <v>305</v>
      </c>
      <c r="C7" s="14" t="s">
        <v>182</v>
      </c>
      <c r="D7" s="14" t="s">
        <v>18</v>
      </c>
      <c r="E7" s="20">
        <v>44208</v>
      </c>
      <c r="F7" s="14"/>
      <c r="G7" s="14" t="s">
        <v>20</v>
      </c>
      <c r="H7" s="14" t="s">
        <v>306</v>
      </c>
      <c r="I7" s="14"/>
      <c r="J7" s="14"/>
      <c r="K7" s="14"/>
      <c r="L7" s="1"/>
      <c r="M7" s="1"/>
      <c r="N7" s="1"/>
      <c r="O7" s="1"/>
      <c r="P7" s="1"/>
      <c r="Q7" s="1"/>
      <c r="R7" s="1"/>
      <c r="S7" s="1"/>
      <c r="T7" s="1"/>
      <c r="U7" s="1"/>
    </row>
    <row r="8" spans="1:21" ht="136">
      <c r="A8" s="19" t="s">
        <v>307</v>
      </c>
      <c r="B8" s="14" t="s">
        <v>308</v>
      </c>
      <c r="C8" s="14" t="s">
        <v>29</v>
      </c>
      <c r="D8" s="14" t="s">
        <v>18</v>
      </c>
      <c r="E8" s="20">
        <v>44209</v>
      </c>
      <c r="F8" s="14"/>
      <c r="G8" s="14" t="s">
        <v>20</v>
      </c>
      <c r="H8" s="14" t="s">
        <v>309</v>
      </c>
      <c r="I8" s="14"/>
      <c r="J8" s="14"/>
      <c r="K8" s="14" t="s">
        <v>108</v>
      </c>
      <c r="L8" s="1"/>
      <c r="M8" s="1"/>
      <c r="N8" s="1"/>
      <c r="O8" s="1"/>
      <c r="P8" s="1"/>
      <c r="Q8" s="1"/>
      <c r="R8" s="1"/>
      <c r="S8" s="1"/>
      <c r="T8" s="1"/>
      <c r="U8" s="1"/>
    </row>
    <row r="9" spans="1:21" ht="34">
      <c r="A9" s="19" t="s">
        <v>310</v>
      </c>
      <c r="B9" s="14" t="s">
        <v>311</v>
      </c>
      <c r="C9" s="14" t="s">
        <v>182</v>
      </c>
      <c r="D9" s="14" t="s">
        <v>18</v>
      </c>
      <c r="E9" s="14"/>
      <c r="F9" s="14"/>
      <c r="G9" s="14" t="s">
        <v>20</v>
      </c>
      <c r="H9" s="14" t="s">
        <v>312</v>
      </c>
      <c r="I9" s="14"/>
      <c r="J9" s="14"/>
      <c r="K9" s="14"/>
      <c r="L9" s="1"/>
      <c r="M9" s="1"/>
      <c r="N9" s="1"/>
      <c r="O9" s="1"/>
      <c r="P9" s="1"/>
      <c r="Q9" s="1"/>
      <c r="R9" s="1"/>
      <c r="S9" s="1"/>
      <c r="T9" s="1"/>
      <c r="U9" s="1"/>
    </row>
    <row r="10" spans="1:21" ht="34">
      <c r="A10" s="19" t="s">
        <v>313</v>
      </c>
      <c r="B10" s="14" t="s">
        <v>314</v>
      </c>
      <c r="C10" s="14" t="s">
        <v>182</v>
      </c>
      <c r="D10" s="14" t="s">
        <v>18</v>
      </c>
      <c r="E10" s="14"/>
      <c r="F10" s="14"/>
      <c r="G10" s="14" t="s">
        <v>20</v>
      </c>
      <c r="H10" s="14" t="s">
        <v>315</v>
      </c>
      <c r="I10" s="14"/>
      <c r="J10" s="14"/>
      <c r="K10" s="14"/>
      <c r="L10" s="1"/>
      <c r="M10" s="1"/>
      <c r="N10" s="1"/>
      <c r="O10" s="1"/>
      <c r="P10" s="1"/>
      <c r="Q10" s="1"/>
      <c r="R10" s="1"/>
      <c r="S10" s="1"/>
      <c r="T10" s="1"/>
      <c r="U10" s="1"/>
    </row>
    <row r="11" spans="1:21" ht="85">
      <c r="A11" s="19" t="s">
        <v>316</v>
      </c>
      <c r="B11" s="14" t="s">
        <v>317</v>
      </c>
      <c r="C11" s="14" t="s">
        <v>29</v>
      </c>
      <c r="D11" s="14" t="s">
        <v>18</v>
      </c>
      <c r="E11" s="20">
        <v>44209</v>
      </c>
      <c r="F11" s="14"/>
      <c r="G11" s="14" t="s">
        <v>20</v>
      </c>
      <c r="H11" s="14" t="s">
        <v>318</v>
      </c>
      <c r="I11" s="14"/>
      <c r="J11" s="14"/>
      <c r="K11" s="14"/>
      <c r="L11" s="1"/>
      <c r="M11" s="1"/>
      <c r="N11" s="1"/>
      <c r="O11" s="1"/>
      <c r="P11" s="1"/>
      <c r="Q11" s="1"/>
      <c r="R11" s="1"/>
      <c r="S11" s="1"/>
      <c r="T11" s="1"/>
      <c r="U11" s="1"/>
    </row>
    <row r="12" spans="1:21" ht="409.6">
      <c r="A12" s="19" t="s">
        <v>319</v>
      </c>
      <c r="B12" s="14" t="s">
        <v>320</v>
      </c>
      <c r="C12" s="14" t="s">
        <v>321</v>
      </c>
      <c r="D12" s="14" t="s">
        <v>19</v>
      </c>
      <c r="E12" s="20">
        <v>44209</v>
      </c>
      <c r="F12" s="20">
        <v>44209</v>
      </c>
      <c r="G12" s="14" t="s">
        <v>20</v>
      </c>
      <c r="H12" s="14" t="s">
        <v>322</v>
      </c>
      <c r="I12" s="14" t="s">
        <v>323</v>
      </c>
      <c r="J12" s="14" t="s">
        <v>324</v>
      </c>
      <c r="K12" s="14" t="s">
        <v>44</v>
      </c>
      <c r="L12" s="1"/>
      <c r="M12" s="1"/>
      <c r="N12" s="1"/>
      <c r="O12" s="1"/>
      <c r="P12" s="1"/>
      <c r="Q12" s="1"/>
      <c r="R12" s="1"/>
      <c r="S12" s="1"/>
      <c r="T12" s="1"/>
      <c r="U12" s="1"/>
    </row>
    <row r="13" spans="1:21" ht="340">
      <c r="A13" s="19" t="s">
        <v>325</v>
      </c>
      <c r="B13" s="14" t="s">
        <v>326</v>
      </c>
      <c r="C13" s="14" t="s">
        <v>88</v>
      </c>
      <c r="D13" s="14" t="s">
        <v>18</v>
      </c>
      <c r="E13" s="20">
        <v>44209</v>
      </c>
      <c r="F13" s="14"/>
      <c r="G13" s="14" t="s">
        <v>54</v>
      </c>
      <c r="H13" s="14" t="s">
        <v>327</v>
      </c>
      <c r="I13" s="14"/>
      <c r="J13" s="14"/>
      <c r="K13" s="14"/>
      <c r="L13" s="1"/>
      <c r="M13" s="1"/>
      <c r="N13" s="1"/>
      <c r="O13" s="1"/>
      <c r="P13" s="1"/>
      <c r="Q13" s="1"/>
      <c r="R13" s="1"/>
      <c r="S13" s="1"/>
      <c r="T13" s="1"/>
      <c r="U13" s="1"/>
    </row>
    <row r="14" spans="1:21" ht="68">
      <c r="A14" s="19" t="s">
        <v>328</v>
      </c>
      <c r="B14" s="14" t="s">
        <v>329</v>
      </c>
      <c r="C14" s="14" t="s">
        <v>29</v>
      </c>
      <c r="D14" s="14" t="s">
        <v>18</v>
      </c>
      <c r="E14" s="20">
        <v>44209</v>
      </c>
      <c r="F14" s="14"/>
      <c r="G14" s="14" t="s">
        <v>20</v>
      </c>
      <c r="H14" s="14" t="s">
        <v>330</v>
      </c>
      <c r="I14" s="14"/>
      <c r="J14" s="14"/>
      <c r="K14" s="14"/>
      <c r="L14" s="1"/>
      <c r="M14" s="1"/>
      <c r="N14" s="1"/>
      <c r="O14" s="1"/>
      <c r="P14" s="1"/>
      <c r="Q14" s="1"/>
      <c r="R14" s="1"/>
      <c r="S14" s="1"/>
      <c r="T14" s="1"/>
      <c r="U14" s="1"/>
    </row>
    <row r="15" spans="1:21" ht="356">
      <c r="A15" s="19" t="s">
        <v>234</v>
      </c>
      <c r="B15" s="14" t="s">
        <v>331</v>
      </c>
      <c r="C15" s="14" t="s">
        <v>38</v>
      </c>
      <c r="D15" s="14" t="s">
        <v>18</v>
      </c>
      <c r="E15" s="20">
        <v>44208</v>
      </c>
      <c r="F15" s="14"/>
      <c r="G15" s="14" t="s">
        <v>130</v>
      </c>
      <c r="H15" s="14" t="s">
        <v>235</v>
      </c>
      <c r="I15" s="14"/>
      <c r="J15" s="14" t="s">
        <v>236</v>
      </c>
      <c r="K15" s="14" t="s">
        <v>165</v>
      </c>
      <c r="L15" s="1"/>
      <c r="M15" s="1"/>
      <c r="N15" s="1"/>
      <c r="O15" s="1"/>
      <c r="P15" s="1"/>
      <c r="Q15" s="1"/>
      <c r="R15" s="1"/>
      <c r="S15" s="1"/>
      <c r="T15" s="1"/>
      <c r="U15" s="1"/>
    </row>
    <row r="16" spans="1:21" ht="34">
      <c r="A16" s="19" t="s">
        <v>237</v>
      </c>
      <c r="B16" s="14" t="s">
        <v>238</v>
      </c>
      <c r="C16" s="14" t="s">
        <v>182</v>
      </c>
      <c r="D16" s="14" t="s">
        <v>18</v>
      </c>
      <c r="E16" s="20">
        <v>44208</v>
      </c>
      <c r="F16" s="14"/>
      <c r="G16" s="14" t="s">
        <v>20</v>
      </c>
      <c r="H16" s="14" t="s">
        <v>239</v>
      </c>
      <c r="I16" s="14"/>
      <c r="J16" s="14"/>
      <c r="K16" s="14"/>
      <c r="L16" s="1"/>
      <c r="M16" s="1"/>
      <c r="N16" s="1"/>
      <c r="O16" s="1"/>
      <c r="P16" s="1"/>
      <c r="Q16" s="1"/>
      <c r="R16" s="1"/>
      <c r="S16" s="1"/>
      <c r="T16" s="1"/>
      <c r="U16" s="1"/>
    </row>
    <row r="17" spans="1:21" ht="68">
      <c r="A17" s="19" t="s">
        <v>240</v>
      </c>
      <c r="B17" s="14" t="s">
        <v>241</v>
      </c>
      <c r="C17" s="14" t="s">
        <v>182</v>
      </c>
      <c r="D17" s="14" t="s">
        <v>18</v>
      </c>
      <c r="E17" s="20">
        <v>44208</v>
      </c>
      <c r="F17" s="14"/>
      <c r="G17" s="14" t="s">
        <v>20</v>
      </c>
      <c r="H17" s="14" t="s">
        <v>242</v>
      </c>
      <c r="I17" s="14"/>
      <c r="J17" s="14"/>
      <c r="K17" s="14" t="s">
        <v>108</v>
      </c>
      <c r="L17" s="1"/>
      <c r="M17" s="1"/>
      <c r="N17" s="1"/>
      <c r="O17" s="1"/>
      <c r="P17" s="1"/>
      <c r="Q17" s="1"/>
      <c r="R17" s="1"/>
      <c r="S17" s="1"/>
      <c r="T17" s="1"/>
      <c r="U17" s="1"/>
    </row>
    <row r="18" spans="1:21" ht="255">
      <c r="A18" s="19" t="s">
        <v>243</v>
      </c>
      <c r="B18" s="14" t="s">
        <v>244</v>
      </c>
      <c r="C18" s="14" t="s">
        <v>88</v>
      </c>
      <c r="D18" s="14" t="s">
        <v>18</v>
      </c>
      <c r="E18" s="20">
        <v>44208</v>
      </c>
      <c r="F18" s="14"/>
      <c r="G18" s="14" t="s">
        <v>20</v>
      </c>
      <c r="H18" s="14" t="s">
        <v>245</v>
      </c>
      <c r="I18" s="14"/>
      <c r="J18" s="14"/>
      <c r="K18" s="14"/>
      <c r="L18" s="1"/>
      <c r="M18" s="1"/>
      <c r="N18" s="1"/>
      <c r="O18" s="1"/>
      <c r="P18" s="1"/>
      <c r="Q18" s="1"/>
      <c r="R18" s="1"/>
      <c r="S18" s="1"/>
      <c r="T18" s="1"/>
      <c r="U18" s="1"/>
    </row>
    <row r="19" spans="1:21" ht="136">
      <c r="A19" s="19" t="s">
        <v>246</v>
      </c>
      <c r="B19" s="14" t="s">
        <v>247</v>
      </c>
      <c r="C19" s="14" t="s">
        <v>182</v>
      </c>
      <c r="D19" s="14" t="s">
        <v>18</v>
      </c>
      <c r="E19" s="20">
        <v>44208</v>
      </c>
      <c r="F19" s="14"/>
      <c r="G19" s="14" t="s">
        <v>20</v>
      </c>
      <c r="H19" s="14" t="s">
        <v>248</v>
      </c>
      <c r="I19" s="14"/>
      <c r="J19" s="14"/>
      <c r="K19" s="14"/>
      <c r="L19" s="1"/>
      <c r="M19" s="1"/>
      <c r="N19" s="1"/>
      <c r="O19" s="1"/>
      <c r="P19" s="1"/>
      <c r="Q19" s="1"/>
      <c r="R19" s="1"/>
      <c r="S19" s="1"/>
      <c r="T19" s="1"/>
      <c r="U19" s="1"/>
    </row>
    <row r="20" spans="1:21" ht="187">
      <c r="A20" s="19" t="s">
        <v>249</v>
      </c>
      <c r="B20" s="14" t="s">
        <v>250</v>
      </c>
      <c r="C20" s="14" t="s">
        <v>53</v>
      </c>
      <c r="D20" s="14" t="s">
        <v>18</v>
      </c>
      <c r="E20" s="20">
        <v>44208</v>
      </c>
      <c r="F20" s="14"/>
      <c r="G20" s="14" t="s">
        <v>251</v>
      </c>
      <c r="H20" s="14" t="s">
        <v>252</v>
      </c>
      <c r="I20" s="14" t="s">
        <v>253</v>
      </c>
      <c r="J20" s="14"/>
      <c r="K20" s="14"/>
      <c r="L20" s="1"/>
      <c r="M20" s="1"/>
      <c r="N20" s="1"/>
      <c r="O20" s="1"/>
      <c r="P20" s="1"/>
      <c r="Q20" s="1"/>
      <c r="R20" s="1"/>
      <c r="S20" s="1"/>
      <c r="T20" s="1"/>
      <c r="U20" s="1"/>
    </row>
    <row r="21" spans="1:21" ht="388">
      <c r="A21" s="19" t="s">
        <v>254</v>
      </c>
      <c r="B21" s="14" t="s">
        <v>255</v>
      </c>
      <c r="C21" s="14" t="s">
        <v>137</v>
      </c>
      <c r="D21" s="14" t="s">
        <v>18</v>
      </c>
      <c r="E21" s="20">
        <v>44208</v>
      </c>
      <c r="F21" s="14"/>
      <c r="G21" s="14" t="s">
        <v>130</v>
      </c>
      <c r="H21" s="14" t="s">
        <v>256</v>
      </c>
      <c r="I21" s="14"/>
      <c r="J21" s="14"/>
      <c r="K21" s="14"/>
      <c r="L21" s="1"/>
      <c r="M21" s="1"/>
      <c r="N21" s="1"/>
      <c r="O21" s="1"/>
      <c r="P21" s="1"/>
      <c r="Q21" s="1"/>
      <c r="R21" s="1"/>
      <c r="S21" s="1"/>
      <c r="T21" s="1"/>
      <c r="U21" s="1"/>
    </row>
    <row r="22" spans="1:21" ht="187">
      <c r="A22" s="19" t="s">
        <v>257</v>
      </c>
      <c r="B22" s="14" t="s">
        <v>258</v>
      </c>
      <c r="C22" s="14" t="s">
        <v>182</v>
      </c>
      <c r="D22" s="14" t="s">
        <v>18</v>
      </c>
      <c r="E22" s="20">
        <v>44208</v>
      </c>
      <c r="F22" s="14"/>
      <c r="G22" s="14" t="s">
        <v>20</v>
      </c>
      <c r="H22" s="14" t="s">
        <v>259</v>
      </c>
      <c r="I22" s="14"/>
      <c r="J22" s="14"/>
      <c r="K22" s="14"/>
      <c r="L22" s="1"/>
      <c r="M22" s="1"/>
      <c r="N22" s="1"/>
      <c r="O22" s="1"/>
      <c r="P22" s="1"/>
      <c r="Q22" s="1"/>
      <c r="R22" s="1"/>
      <c r="S22" s="1"/>
      <c r="T22" s="1"/>
      <c r="U22" s="1"/>
    </row>
    <row r="23" spans="1:21" ht="153">
      <c r="A23" s="19" t="s">
        <v>260</v>
      </c>
      <c r="B23" s="14" t="s">
        <v>261</v>
      </c>
      <c r="C23" s="14" t="s">
        <v>182</v>
      </c>
      <c r="D23" s="14" t="s">
        <v>18</v>
      </c>
      <c r="E23" s="20">
        <v>44208</v>
      </c>
      <c r="F23" s="14"/>
      <c r="G23" s="14" t="s">
        <v>20</v>
      </c>
      <c r="H23" s="14" t="s">
        <v>262</v>
      </c>
      <c r="I23" s="14"/>
      <c r="J23" s="14"/>
      <c r="K23" s="14"/>
      <c r="L23" s="1"/>
      <c r="M23" s="1"/>
      <c r="N23" s="1"/>
      <c r="O23" s="1"/>
      <c r="P23" s="1"/>
      <c r="Q23" s="1"/>
      <c r="R23" s="1"/>
      <c r="S23" s="1"/>
      <c r="T23" s="1"/>
      <c r="U23" s="1"/>
    </row>
    <row r="24" spans="1:21" ht="68">
      <c r="A24" s="19" t="s">
        <v>263</v>
      </c>
      <c r="B24" s="14" t="s">
        <v>264</v>
      </c>
      <c r="C24" s="14" t="s">
        <v>182</v>
      </c>
      <c r="D24" s="14" t="s">
        <v>18</v>
      </c>
      <c r="E24" s="20">
        <v>44208</v>
      </c>
      <c r="F24" s="14"/>
      <c r="G24" s="14" t="s">
        <v>20</v>
      </c>
      <c r="H24" s="14" t="s">
        <v>265</v>
      </c>
      <c r="I24" s="14"/>
      <c r="J24" s="14"/>
      <c r="K24" s="14"/>
      <c r="L24" s="1"/>
      <c r="M24" s="1"/>
      <c r="N24" s="1"/>
      <c r="O24" s="1"/>
      <c r="P24" s="1"/>
      <c r="Q24" s="1"/>
      <c r="R24" s="1"/>
      <c r="S24" s="1"/>
      <c r="T24" s="1"/>
      <c r="U24" s="1"/>
    </row>
    <row r="25" spans="1:21" ht="153">
      <c r="A25" s="19" t="s">
        <v>266</v>
      </c>
      <c r="B25" s="14" t="s">
        <v>267</v>
      </c>
      <c r="C25" s="14" t="s">
        <v>137</v>
      </c>
      <c r="D25" s="14" t="s">
        <v>21</v>
      </c>
      <c r="E25" s="20">
        <v>44208</v>
      </c>
      <c r="F25" s="14"/>
      <c r="G25" s="14" t="s">
        <v>54</v>
      </c>
      <c r="H25" s="14" t="s">
        <v>332</v>
      </c>
      <c r="I25" s="14"/>
      <c r="J25" s="14"/>
      <c r="K25" s="14" t="s">
        <v>268</v>
      </c>
      <c r="L25" s="1"/>
      <c r="M25" s="1"/>
      <c r="N25" s="1"/>
      <c r="O25" s="1"/>
      <c r="P25" s="1"/>
      <c r="Q25" s="1"/>
      <c r="R25" s="1"/>
      <c r="S25" s="1"/>
      <c r="T25" s="1"/>
      <c r="U25" s="1"/>
    </row>
    <row r="26" spans="1:21" ht="204">
      <c r="A26" s="19" t="s">
        <v>269</v>
      </c>
      <c r="B26" s="14" t="s">
        <v>270</v>
      </c>
      <c r="C26" s="14" t="s">
        <v>65</v>
      </c>
      <c r="D26" s="14" t="s">
        <v>19</v>
      </c>
      <c r="E26" s="20">
        <v>44208</v>
      </c>
      <c r="F26" s="20">
        <v>44209</v>
      </c>
      <c r="G26" s="14" t="s">
        <v>54</v>
      </c>
      <c r="H26" s="14" t="s">
        <v>271</v>
      </c>
      <c r="I26" s="14"/>
      <c r="J26" s="14"/>
      <c r="K26" s="14" t="s">
        <v>272</v>
      </c>
      <c r="L26" s="1"/>
      <c r="M26" s="1"/>
      <c r="N26" s="1"/>
      <c r="O26" s="1"/>
      <c r="P26" s="1"/>
      <c r="Q26" s="1"/>
      <c r="R26" s="1"/>
      <c r="S26" s="1"/>
      <c r="T26" s="1"/>
      <c r="U26" s="1"/>
    </row>
    <row r="27" spans="1:21" ht="238">
      <c r="A27" s="19" t="s">
        <v>273</v>
      </c>
      <c r="B27" s="14" t="s">
        <v>333</v>
      </c>
      <c r="C27" s="14" t="s">
        <v>65</v>
      </c>
      <c r="D27" s="14" t="s">
        <v>19</v>
      </c>
      <c r="E27" s="20">
        <v>44208</v>
      </c>
      <c r="F27" s="20">
        <v>44209</v>
      </c>
      <c r="G27" s="14" t="s">
        <v>54</v>
      </c>
      <c r="H27" s="14" t="s">
        <v>274</v>
      </c>
      <c r="I27" s="14"/>
      <c r="J27" s="14"/>
      <c r="K27" s="14" t="s">
        <v>272</v>
      </c>
      <c r="L27" s="1"/>
      <c r="M27" s="1"/>
      <c r="N27" s="1"/>
      <c r="O27" s="1"/>
      <c r="P27" s="1"/>
      <c r="Q27" s="1"/>
      <c r="R27" s="1"/>
      <c r="S27" s="1"/>
      <c r="T27" s="1"/>
      <c r="U27" s="1"/>
    </row>
    <row r="28" spans="1:21" ht="51">
      <c r="A28" s="19" t="s">
        <v>275</v>
      </c>
      <c r="B28" s="14" t="s">
        <v>276</v>
      </c>
      <c r="C28" s="14" t="s">
        <v>182</v>
      </c>
      <c r="D28" s="14" t="s">
        <v>18</v>
      </c>
      <c r="E28" s="20">
        <v>44208</v>
      </c>
      <c r="F28" s="14"/>
      <c r="G28" s="14" t="s">
        <v>20</v>
      </c>
      <c r="H28" s="14" t="s">
        <v>277</v>
      </c>
      <c r="I28" s="14"/>
      <c r="J28" s="14"/>
      <c r="K28" s="14"/>
      <c r="L28" s="1"/>
      <c r="M28" s="1"/>
      <c r="N28" s="1"/>
      <c r="O28" s="1"/>
      <c r="P28" s="1"/>
      <c r="Q28" s="1"/>
      <c r="R28" s="1"/>
      <c r="S28" s="1"/>
      <c r="T28" s="1"/>
      <c r="U28" s="1"/>
    </row>
    <row r="29" spans="1:21" ht="272">
      <c r="A29" s="19" t="s">
        <v>278</v>
      </c>
      <c r="B29" s="14" t="s">
        <v>279</v>
      </c>
      <c r="C29" s="14" t="s">
        <v>65</v>
      </c>
      <c r="D29" s="14" t="s">
        <v>19</v>
      </c>
      <c r="E29" s="20">
        <v>44208</v>
      </c>
      <c r="F29" s="20">
        <v>44209</v>
      </c>
      <c r="G29" s="14" t="s">
        <v>54</v>
      </c>
      <c r="H29" s="14" t="s">
        <v>280</v>
      </c>
      <c r="I29" s="14"/>
      <c r="J29" s="14"/>
      <c r="K29" s="14" t="s">
        <v>272</v>
      </c>
      <c r="L29" s="1"/>
      <c r="M29" s="1"/>
      <c r="N29" s="1"/>
      <c r="O29" s="1"/>
      <c r="P29" s="1"/>
      <c r="Q29" s="1"/>
      <c r="R29" s="1"/>
      <c r="S29" s="1"/>
      <c r="T29" s="1"/>
      <c r="U29" s="1"/>
    </row>
    <row r="30" spans="1:21" ht="68">
      <c r="A30" s="19" t="s">
        <v>281</v>
      </c>
      <c r="B30" s="14" t="s">
        <v>282</v>
      </c>
      <c r="C30" s="14" t="s">
        <v>88</v>
      </c>
      <c r="D30" s="14" t="s">
        <v>18</v>
      </c>
      <c r="E30" s="20">
        <v>44208</v>
      </c>
      <c r="F30" s="14"/>
      <c r="G30" s="14" t="s">
        <v>130</v>
      </c>
      <c r="H30" s="14" t="s">
        <v>283</v>
      </c>
      <c r="I30" s="14"/>
      <c r="J30" s="14"/>
      <c r="K30" s="14"/>
      <c r="L30" s="1"/>
      <c r="M30" s="1"/>
      <c r="N30" s="1"/>
      <c r="O30" s="1"/>
      <c r="P30" s="1"/>
      <c r="Q30" s="1"/>
      <c r="R30" s="1"/>
      <c r="S30" s="1"/>
      <c r="T30" s="1"/>
      <c r="U30" s="1"/>
    </row>
    <row r="31" spans="1:21" ht="68">
      <c r="A31" s="19" t="s">
        <v>284</v>
      </c>
      <c r="B31" s="14" t="s">
        <v>285</v>
      </c>
      <c r="C31" s="14" t="s">
        <v>88</v>
      </c>
      <c r="D31" s="14" t="s">
        <v>18</v>
      </c>
      <c r="E31" s="20">
        <v>44208</v>
      </c>
      <c r="F31" s="14"/>
      <c r="G31" s="14" t="s">
        <v>22</v>
      </c>
      <c r="H31" s="14" t="s">
        <v>286</v>
      </c>
      <c r="I31" s="14"/>
      <c r="J31" s="14" t="s">
        <v>287</v>
      </c>
      <c r="K31" s="14"/>
      <c r="L31" s="1"/>
      <c r="M31" s="1"/>
      <c r="N31" s="1"/>
      <c r="O31" s="1"/>
      <c r="P31" s="1"/>
      <c r="Q31" s="1"/>
      <c r="R31" s="1"/>
      <c r="S31" s="1"/>
      <c r="T31" s="1"/>
      <c r="U31" s="1"/>
    </row>
    <row r="32" spans="1:21" ht="238">
      <c r="A32" s="19" t="s">
        <v>288</v>
      </c>
      <c r="B32" s="14" t="s">
        <v>289</v>
      </c>
      <c r="C32" s="14" t="s">
        <v>182</v>
      </c>
      <c r="D32" s="14" t="s">
        <v>18</v>
      </c>
      <c r="E32" s="20">
        <v>44208</v>
      </c>
      <c r="F32" s="14"/>
      <c r="G32" s="14" t="s">
        <v>20</v>
      </c>
      <c r="H32" s="14" t="s">
        <v>290</v>
      </c>
      <c r="I32" s="14"/>
      <c r="J32" s="14"/>
      <c r="K32" s="14"/>
      <c r="L32" s="1"/>
      <c r="M32" s="1"/>
      <c r="N32" s="1"/>
      <c r="O32" s="1"/>
      <c r="P32" s="1"/>
      <c r="Q32" s="1"/>
      <c r="R32" s="1"/>
      <c r="S32" s="1"/>
      <c r="T32" s="1"/>
      <c r="U32" s="1"/>
    </row>
    <row r="33" spans="1:21" ht="102">
      <c r="A33" s="19" t="s">
        <v>180</v>
      </c>
      <c r="B33" s="14" t="s">
        <v>181</v>
      </c>
      <c r="C33" s="14" t="s">
        <v>182</v>
      </c>
      <c r="D33" s="14" t="s">
        <v>18</v>
      </c>
      <c r="E33" s="20">
        <v>44207</v>
      </c>
      <c r="F33" s="14"/>
      <c r="G33" s="14" t="s">
        <v>20</v>
      </c>
      <c r="H33" s="14" t="s">
        <v>218</v>
      </c>
      <c r="I33" s="14"/>
      <c r="J33" s="14"/>
      <c r="K33" s="14"/>
      <c r="L33" s="1"/>
      <c r="M33" s="1"/>
      <c r="N33" s="1"/>
      <c r="O33" s="1"/>
      <c r="P33" s="1"/>
      <c r="Q33" s="1"/>
      <c r="R33" s="1"/>
      <c r="S33" s="1"/>
      <c r="T33" s="1"/>
      <c r="U33" s="1"/>
    </row>
    <row r="34" spans="1:21" ht="34">
      <c r="A34" s="19" t="s">
        <v>183</v>
      </c>
      <c r="B34" s="14" t="s">
        <v>184</v>
      </c>
      <c r="C34" s="14" t="s">
        <v>38</v>
      </c>
      <c r="D34" s="14" t="s">
        <v>18</v>
      </c>
      <c r="E34" s="20">
        <v>44207</v>
      </c>
      <c r="F34" s="14"/>
      <c r="G34" s="14" t="s">
        <v>20</v>
      </c>
      <c r="H34" s="14" t="s">
        <v>186</v>
      </c>
      <c r="I34" s="14"/>
      <c r="J34" s="14"/>
      <c r="K34" s="14" t="s">
        <v>108</v>
      </c>
      <c r="L34" s="1"/>
      <c r="M34" s="1"/>
      <c r="N34" s="1"/>
      <c r="O34" s="1"/>
      <c r="P34" s="1"/>
      <c r="Q34" s="1"/>
      <c r="R34" s="1"/>
      <c r="S34" s="1"/>
      <c r="T34" s="1"/>
      <c r="U34" s="1"/>
    </row>
    <row r="35" spans="1:21" ht="34">
      <c r="A35" s="19" t="s">
        <v>187</v>
      </c>
      <c r="B35" s="14" t="s">
        <v>188</v>
      </c>
      <c r="C35" s="14" t="s">
        <v>73</v>
      </c>
      <c r="D35" s="14" t="s">
        <v>19</v>
      </c>
      <c r="E35" s="20">
        <v>44207</v>
      </c>
      <c r="F35" s="14"/>
      <c r="G35" s="14" t="s">
        <v>22</v>
      </c>
      <c r="H35" s="14" t="s">
        <v>189</v>
      </c>
      <c r="I35" s="14"/>
      <c r="J35" s="14"/>
      <c r="K35" s="14" t="s">
        <v>108</v>
      </c>
      <c r="L35" s="1"/>
      <c r="M35" s="1"/>
      <c r="N35" s="1"/>
      <c r="O35" s="1"/>
      <c r="P35" s="1"/>
      <c r="Q35" s="1"/>
      <c r="R35" s="1"/>
      <c r="S35" s="1"/>
      <c r="T35" s="1"/>
      <c r="U35" s="1"/>
    </row>
    <row r="36" spans="1:21" ht="68">
      <c r="A36" s="19" t="s">
        <v>190</v>
      </c>
      <c r="B36" s="14" t="s">
        <v>334</v>
      </c>
      <c r="C36" s="14" t="s">
        <v>38</v>
      </c>
      <c r="D36" s="14" t="s">
        <v>18</v>
      </c>
      <c r="E36" s="20">
        <v>44207</v>
      </c>
      <c r="F36" s="14"/>
      <c r="G36" s="14" t="s">
        <v>22</v>
      </c>
      <c r="H36" s="14" t="s">
        <v>191</v>
      </c>
      <c r="I36" s="14"/>
      <c r="J36" s="14"/>
      <c r="K36" s="14" t="s">
        <v>108</v>
      </c>
      <c r="L36" s="1"/>
      <c r="M36" s="1"/>
      <c r="N36" s="1"/>
      <c r="O36" s="1"/>
      <c r="P36" s="1"/>
      <c r="Q36" s="1"/>
      <c r="R36" s="1"/>
      <c r="S36" s="1"/>
      <c r="T36" s="1"/>
      <c r="U36" s="1"/>
    </row>
    <row r="37" spans="1:21" ht="187">
      <c r="A37" s="19" t="s">
        <v>192</v>
      </c>
      <c r="B37" s="14" t="s">
        <v>335</v>
      </c>
      <c r="C37" s="14" t="s">
        <v>88</v>
      </c>
      <c r="D37" s="14" t="s">
        <v>18</v>
      </c>
      <c r="E37" s="20">
        <v>44207</v>
      </c>
      <c r="F37" s="14"/>
      <c r="G37" s="14" t="s">
        <v>185</v>
      </c>
      <c r="H37" s="14" t="s">
        <v>193</v>
      </c>
      <c r="I37" s="14"/>
      <c r="J37" s="14"/>
      <c r="K37" s="14" t="s">
        <v>108</v>
      </c>
      <c r="L37" s="1"/>
      <c r="M37" s="1"/>
      <c r="N37" s="1"/>
      <c r="O37" s="1"/>
      <c r="P37" s="1"/>
      <c r="Q37" s="1"/>
      <c r="R37" s="1"/>
      <c r="S37" s="1"/>
      <c r="T37" s="1"/>
      <c r="U37" s="1"/>
    </row>
    <row r="38" spans="1:21" ht="34">
      <c r="A38" s="19" t="s">
        <v>87</v>
      </c>
      <c r="B38" s="14" t="s">
        <v>194</v>
      </c>
      <c r="C38" s="14" t="s">
        <v>88</v>
      </c>
      <c r="D38" s="14" t="s">
        <v>18</v>
      </c>
      <c r="E38" s="20">
        <v>44207</v>
      </c>
      <c r="F38" s="14"/>
      <c r="G38" s="14" t="s">
        <v>22</v>
      </c>
      <c r="H38" s="14" t="s">
        <v>195</v>
      </c>
      <c r="I38" s="14"/>
      <c r="J38" s="14"/>
      <c r="K38" s="14"/>
      <c r="L38" s="1"/>
      <c r="M38" s="1"/>
      <c r="N38" s="1"/>
      <c r="O38" s="1"/>
      <c r="P38" s="1"/>
      <c r="Q38" s="1"/>
      <c r="R38" s="1"/>
      <c r="S38" s="1"/>
      <c r="T38" s="1"/>
      <c r="U38" s="1"/>
    </row>
    <row r="39" spans="1:21">
      <c r="A39" s="19" t="s">
        <v>89</v>
      </c>
      <c r="B39" s="14" t="s">
        <v>196</v>
      </c>
      <c r="C39" s="14" t="s">
        <v>88</v>
      </c>
      <c r="D39" s="14" t="s">
        <v>18</v>
      </c>
      <c r="E39" s="20">
        <v>44207</v>
      </c>
      <c r="F39" s="14"/>
      <c r="G39" s="14" t="s">
        <v>22</v>
      </c>
      <c r="H39" s="14" t="s">
        <v>197</v>
      </c>
      <c r="I39" s="14"/>
      <c r="J39" s="14"/>
      <c r="K39" s="14"/>
      <c r="L39" s="1"/>
      <c r="M39" s="1"/>
      <c r="N39" s="1"/>
      <c r="O39" s="1"/>
      <c r="P39" s="1"/>
      <c r="Q39" s="1"/>
      <c r="R39" s="1"/>
      <c r="S39" s="1"/>
      <c r="T39" s="1"/>
      <c r="U39" s="1"/>
    </row>
    <row r="40" spans="1:21" ht="102">
      <c r="A40" s="19" t="s">
        <v>90</v>
      </c>
      <c r="B40" s="14" t="s">
        <v>91</v>
      </c>
      <c r="C40" s="14" t="s">
        <v>38</v>
      </c>
      <c r="D40" s="14" t="s">
        <v>18</v>
      </c>
      <c r="E40" s="20">
        <v>44207</v>
      </c>
      <c r="F40" s="14"/>
      <c r="G40" s="14" t="s">
        <v>20</v>
      </c>
      <c r="H40" s="14" t="s">
        <v>92</v>
      </c>
      <c r="I40" s="14"/>
      <c r="J40" s="14"/>
      <c r="K40" s="14" t="s">
        <v>198</v>
      </c>
      <c r="L40" s="1"/>
      <c r="M40" s="1"/>
      <c r="N40" s="1"/>
      <c r="O40" s="1"/>
      <c r="P40" s="1"/>
      <c r="Q40" s="1"/>
      <c r="R40" s="1"/>
      <c r="S40" s="1"/>
      <c r="T40" s="1"/>
      <c r="U40" s="1"/>
    </row>
    <row r="41" spans="1:21" ht="68">
      <c r="A41" s="19" t="s">
        <v>93</v>
      </c>
      <c r="B41" s="14" t="s">
        <v>94</v>
      </c>
      <c r="C41" s="14" t="s">
        <v>38</v>
      </c>
      <c r="D41" s="14" t="s">
        <v>18</v>
      </c>
      <c r="E41" s="20">
        <v>44207</v>
      </c>
      <c r="F41" s="14"/>
      <c r="G41" s="14" t="s">
        <v>20</v>
      </c>
      <c r="H41" s="14" t="s">
        <v>95</v>
      </c>
      <c r="I41" s="14" t="s">
        <v>96</v>
      </c>
      <c r="J41" s="14"/>
      <c r="K41" s="14" t="s">
        <v>199</v>
      </c>
      <c r="L41" s="1"/>
      <c r="M41" s="1"/>
      <c r="N41" s="1"/>
      <c r="O41" s="1"/>
      <c r="P41" s="1"/>
      <c r="Q41" s="1"/>
      <c r="R41" s="1"/>
      <c r="S41" s="1"/>
      <c r="T41" s="1"/>
      <c r="U41" s="1"/>
    </row>
    <row r="42" spans="1:21" ht="153">
      <c r="A42" s="19" t="s">
        <v>97</v>
      </c>
      <c r="B42" s="14" t="s">
        <v>98</v>
      </c>
      <c r="C42" s="14" t="s">
        <v>99</v>
      </c>
      <c r="D42" s="14" t="s">
        <v>19</v>
      </c>
      <c r="E42" s="20">
        <v>44207</v>
      </c>
      <c r="F42" s="14"/>
      <c r="G42" s="14" t="s">
        <v>20</v>
      </c>
      <c r="H42" s="14" t="s">
        <v>100</v>
      </c>
      <c r="I42" s="14" t="s">
        <v>101</v>
      </c>
      <c r="J42" s="14" t="s">
        <v>102</v>
      </c>
      <c r="K42" s="14" t="s">
        <v>103</v>
      </c>
      <c r="L42" s="1"/>
      <c r="M42" s="1"/>
      <c r="N42" s="1"/>
      <c r="O42" s="1"/>
      <c r="P42" s="1"/>
      <c r="Q42" s="1"/>
      <c r="R42" s="1"/>
      <c r="S42" s="1"/>
      <c r="T42" s="1"/>
      <c r="U42" s="1"/>
    </row>
    <row r="43" spans="1:21" ht="85">
      <c r="A43" s="19" t="s">
        <v>104</v>
      </c>
      <c r="B43" s="14" t="s">
        <v>336</v>
      </c>
      <c r="C43" s="14" t="s">
        <v>88</v>
      </c>
      <c r="D43" s="14" t="s">
        <v>18</v>
      </c>
      <c r="E43" s="20">
        <v>44207</v>
      </c>
      <c r="F43" s="14"/>
      <c r="G43" s="14" t="s">
        <v>20</v>
      </c>
      <c r="H43" s="14" t="s">
        <v>105</v>
      </c>
      <c r="I43" s="14"/>
      <c r="J43" s="14"/>
      <c r="K43" s="14" t="s">
        <v>199</v>
      </c>
      <c r="L43" s="1"/>
      <c r="M43" s="1"/>
      <c r="N43" s="1"/>
      <c r="O43" s="1"/>
      <c r="P43" s="1"/>
      <c r="Q43" s="1"/>
      <c r="R43" s="1"/>
      <c r="S43" s="1"/>
      <c r="T43" s="1"/>
      <c r="U43" s="1"/>
    </row>
    <row r="44" spans="1:21" ht="34">
      <c r="A44" s="19" t="s">
        <v>106</v>
      </c>
      <c r="B44" s="14" t="s">
        <v>107</v>
      </c>
      <c r="C44" s="14" t="s">
        <v>88</v>
      </c>
      <c r="D44" s="14" t="s">
        <v>18</v>
      </c>
      <c r="E44" s="20">
        <v>44206</v>
      </c>
      <c r="F44" s="14"/>
      <c r="G44" s="14" t="s">
        <v>22</v>
      </c>
      <c r="H44" s="14" t="s">
        <v>200</v>
      </c>
      <c r="I44" s="14"/>
      <c r="J44" s="14"/>
      <c r="K44" s="14" t="s">
        <v>108</v>
      </c>
      <c r="L44" s="1"/>
      <c r="M44" s="1"/>
      <c r="N44" s="1"/>
      <c r="O44" s="1"/>
      <c r="P44" s="1"/>
      <c r="Q44" s="1"/>
      <c r="R44" s="1"/>
      <c r="S44" s="1"/>
      <c r="T44" s="1"/>
      <c r="U44" s="1"/>
    </row>
    <row r="45" spans="1:21">
      <c r="A45" s="19" t="s">
        <v>109</v>
      </c>
      <c r="B45" s="14" t="s">
        <v>110</v>
      </c>
      <c r="C45" s="14" t="s">
        <v>88</v>
      </c>
      <c r="D45" s="14" t="s">
        <v>18</v>
      </c>
      <c r="E45" s="20">
        <v>44206</v>
      </c>
      <c r="F45" s="14"/>
      <c r="G45" s="14" t="s">
        <v>22</v>
      </c>
      <c r="H45" s="14" t="s">
        <v>201</v>
      </c>
      <c r="I45" s="14"/>
      <c r="J45" s="14"/>
      <c r="K45" s="14"/>
      <c r="L45" s="1"/>
      <c r="M45" s="1"/>
      <c r="N45" s="1"/>
      <c r="O45" s="1"/>
      <c r="P45" s="1"/>
      <c r="Q45" s="1"/>
      <c r="R45" s="1"/>
      <c r="S45" s="1"/>
      <c r="T45" s="1"/>
      <c r="U45" s="1"/>
    </row>
    <row r="46" spans="1:21">
      <c r="A46" s="19" t="s">
        <v>111</v>
      </c>
      <c r="B46" s="14" t="s">
        <v>112</v>
      </c>
      <c r="C46" s="14" t="s">
        <v>88</v>
      </c>
      <c r="D46" s="14" t="s">
        <v>18</v>
      </c>
      <c r="E46" s="20">
        <v>44206</v>
      </c>
      <c r="F46" s="14"/>
      <c r="G46" s="14" t="s">
        <v>22</v>
      </c>
      <c r="H46" s="14" t="s">
        <v>202</v>
      </c>
      <c r="I46" s="14"/>
      <c r="J46" s="14"/>
      <c r="K46" s="14"/>
      <c r="L46" s="1"/>
      <c r="M46" s="1"/>
      <c r="N46" s="1"/>
      <c r="O46" s="1"/>
      <c r="P46" s="1"/>
      <c r="Q46" s="1"/>
      <c r="R46" s="1"/>
      <c r="S46" s="1"/>
      <c r="T46" s="1"/>
      <c r="U46" s="1"/>
    </row>
    <row r="47" spans="1:21" ht="34">
      <c r="A47" s="19" t="s">
        <v>113</v>
      </c>
      <c r="B47" s="14" t="s">
        <v>114</v>
      </c>
      <c r="C47" s="14" t="s">
        <v>88</v>
      </c>
      <c r="D47" s="14" t="s">
        <v>18</v>
      </c>
      <c r="E47" s="20">
        <v>44206</v>
      </c>
      <c r="F47" s="14"/>
      <c r="G47" s="14" t="s">
        <v>22</v>
      </c>
      <c r="H47" s="14" t="s">
        <v>203</v>
      </c>
      <c r="I47" s="14"/>
      <c r="J47" s="14"/>
      <c r="K47" s="14"/>
      <c r="L47" s="1"/>
      <c r="M47" s="1"/>
      <c r="N47" s="1"/>
      <c r="O47" s="1"/>
      <c r="P47" s="1"/>
      <c r="Q47" s="1"/>
      <c r="R47" s="1"/>
      <c r="S47" s="1"/>
      <c r="T47" s="1"/>
      <c r="U47" s="1"/>
    </row>
    <row r="48" spans="1:21">
      <c r="A48" s="19" t="s">
        <v>115</v>
      </c>
      <c r="B48" s="14" t="s">
        <v>116</v>
      </c>
      <c r="C48" s="14" t="s">
        <v>88</v>
      </c>
      <c r="D48" s="14" t="s">
        <v>18</v>
      </c>
      <c r="E48" s="20">
        <v>44206</v>
      </c>
      <c r="F48" s="14"/>
      <c r="G48" s="14" t="s">
        <v>22</v>
      </c>
      <c r="H48" s="14" t="s">
        <v>204</v>
      </c>
      <c r="I48" s="14"/>
      <c r="J48" s="14"/>
      <c r="K48" s="14"/>
      <c r="L48" s="1"/>
      <c r="M48" s="1"/>
      <c r="N48" s="1"/>
      <c r="O48" s="1"/>
      <c r="P48" s="1"/>
      <c r="Q48" s="1"/>
      <c r="R48" s="1"/>
      <c r="S48" s="1"/>
      <c r="T48" s="1"/>
      <c r="U48" s="1"/>
    </row>
    <row r="49" spans="1:21" ht="34">
      <c r="A49" s="19" t="s">
        <v>117</v>
      </c>
      <c r="B49" s="14" t="s">
        <v>118</v>
      </c>
      <c r="C49" s="14" t="s">
        <v>88</v>
      </c>
      <c r="D49" s="14" t="s">
        <v>18</v>
      </c>
      <c r="E49" s="20">
        <v>44206</v>
      </c>
      <c r="F49" s="14"/>
      <c r="G49" s="14" t="s">
        <v>22</v>
      </c>
      <c r="H49" s="14" t="s">
        <v>205</v>
      </c>
      <c r="I49" s="14"/>
      <c r="J49" s="14"/>
      <c r="K49" s="14"/>
      <c r="L49" s="1"/>
      <c r="M49" s="1"/>
      <c r="N49" s="1"/>
      <c r="O49" s="1"/>
      <c r="P49" s="1"/>
      <c r="Q49" s="1"/>
      <c r="R49" s="1"/>
      <c r="S49" s="1"/>
      <c r="T49" s="1"/>
      <c r="U49" s="1"/>
    </row>
    <row r="50" spans="1:21">
      <c r="A50" s="19" t="s">
        <v>119</v>
      </c>
      <c r="B50" s="14" t="s">
        <v>120</v>
      </c>
      <c r="C50" s="14" t="s">
        <v>88</v>
      </c>
      <c r="D50" s="14" t="s">
        <v>18</v>
      </c>
      <c r="E50" s="20">
        <v>44206</v>
      </c>
      <c r="F50" s="14"/>
      <c r="G50" s="14" t="s">
        <v>22</v>
      </c>
      <c r="H50" s="14"/>
      <c r="I50" s="14"/>
      <c r="J50" s="14"/>
      <c r="K50" s="14"/>
      <c r="L50" s="1"/>
      <c r="M50" s="1"/>
      <c r="N50" s="1"/>
      <c r="O50" s="1"/>
      <c r="P50" s="1"/>
      <c r="Q50" s="1"/>
      <c r="R50" s="1"/>
      <c r="S50" s="1"/>
      <c r="T50" s="1"/>
      <c r="U50" s="1"/>
    </row>
    <row r="51" spans="1:21" ht="34">
      <c r="A51" s="19" t="s">
        <v>121</v>
      </c>
      <c r="B51" s="14" t="s">
        <v>122</v>
      </c>
      <c r="C51" s="14" t="s">
        <v>65</v>
      </c>
      <c r="D51" s="14" t="s">
        <v>19</v>
      </c>
      <c r="E51" s="20">
        <v>44206</v>
      </c>
      <c r="F51" s="14"/>
      <c r="G51" s="14" t="s">
        <v>20</v>
      </c>
      <c r="H51" s="14" t="s">
        <v>123</v>
      </c>
      <c r="I51" s="14"/>
      <c r="J51" s="14"/>
      <c r="K51" s="14"/>
      <c r="L51" s="1"/>
      <c r="M51" s="1"/>
      <c r="N51" s="1"/>
      <c r="O51" s="1"/>
      <c r="P51" s="1"/>
      <c r="Q51" s="1"/>
      <c r="R51" s="1"/>
      <c r="S51" s="1"/>
      <c r="T51" s="1"/>
      <c r="U51" s="1"/>
    </row>
    <row r="52" spans="1:21" ht="85">
      <c r="A52" s="19" t="s">
        <v>124</v>
      </c>
      <c r="B52" s="14" t="s">
        <v>125</v>
      </c>
      <c r="C52" s="14" t="s">
        <v>88</v>
      </c>
      <c r="D52" s="14" t="s">
        <v>18</v>
      </c>
      <c r="E52" s="20">
        <v>44206</v>
      </c>
      <c r="F52" s="14"/>
      <c r="G52" s="14" t="s">
        <v>20</v>
      </c>
      <c r="H52" s="14" t="s">
        <v>206</v>
      </c>
      <c r="I52" s="14"/>
      <c r="J52" s="14"/>
      <c r="K52" s="14"/>
      <c r="L52" s="1"/>
      <c r="M52" s="1"/>
      <c r="N52" s="1"/>
      <c r="O52" s="1"/>
      <c r="P52" s="1"/>
      <c r="Q52" s="1"/>
      <c r="R52" s="1"/>
      <c r="S52" s="1"/>
      <c r="T52" s="1"/>
      <c r="U52" s="1"/>
    </row>
    <row r="53" spans="1:21" ht="34">
      <c r="A53" s="19" t="s">
        <v>126</v>
      </c>
      <c r="B53" s="14" t="s">
        <v>127</v>
      </c>
      <c r="C53" s="14" t="s">
        <v>29</v>
      </c>
      <c r="D53" s="14" t="s">
        <v>19</v>
      </c>
      <c r="E53" s="20">
        <v>44206</v>
      </c>
      <c r="F53" s="20">
        <v>44208</v>
      </c>
      <c r="G53" s="14" t="s">
        <v>20</v>
      </c>
      <c r="H53" s="14" t="s">
        <v>34</v>
      </c>
      <c r="I53" s="14"/>
      <c r="J53" s="14"/>
      <c r="K53" s="14"/>
      <c r="L53" s="1"/>
      <c r="M53" s="1"/>
      <c r="N53" s="1"/>
      <c r="O53" s="1"/>
      <c r="P53" s="1"/>
      <c r="Q53" s="1"/>
      <c r="R53" s="1"/>
      <c r="S53" s="1"/>
      <c r="T53" s="1"/>
      <c r="U53" s="1"/>
    </row>
    <row r="54" spans="1:21" ht="51">
      <c r="A54" s="19" t="s">
        <v>128</v>
      </c>
      <c r="B54" s="14" t="s">
        <v>129</v>
      </c>
      <c r="C54" s="14" t="s">
        <v>88</v>
      </c>
      <c r="D54" s="14" t="s">
        <v>18</v>
      </c>
      <c r="E54" s="20">
        <v>44206</v>
      </c>
      <c r="F54" s="14"/>
      <c r="G54" s="14" t="s">
        <v>130</v>
      </c>
      <c r="H54" s="14" t="s">
        <v>207</v>
      </c>
      <c r="I54" s="14"/>
      <c r="J54" s="14"/>
      <c r="K54" s="14" t="s">
        <v>131</v>
      </c>
      <c r="L54" s="1"/>
      <c r="M54" s="1"/>
      <c r="N54" s="1"/>
      <c r="O54" s="1"/>
      <c r="P54" s="1"/>
      <c r="Q54" s="1"/>
      <c r="R54" s="1"/>
      <c r="S54" s="1"/>
      <c r="T54" s="1"/>
      <c r="U54" s="1"/>
    </row>
    <row r="55" spans="1:21" ht="153">
      <c r="A55" s="19" t="s">
        <v>132</v>
      </c>
      <c r="B55" s="14" t="s">
        <v>133</v>
      </c>
      <c r="C55" s="14" t="s">
        <v>88</v>
      </c>
      <c r="D55" s="14" t="s">
        <v>18</v>
      </c>
      <c r="E55" s="20">
        <v>44206</v>
      </c>
      <c r="F55" s="14"/>
      <c r="G55" s="14" t="s">
        <v>130</v>
      </c>
      <c r="H55" s="14" t="s">
        <v>208</v>
      </c>
      <c r="I55" s="14"/>
      <c r="J55" s="14"/>
      <c r="K55" s="14" t="s">
        <v>131</v>
      </c>
      <c r="L55" s="1"/>
      <c r="M55" s="1"/>
      <c r="N55" s="1"/>
      <c r="O55" s="1"/>
      <c r="P55" s="1"/>
      <c r="Q55" s="1"/>
      <c r="R55" s="1"/>
      <c r="S55" s="1"/>
      <c r="T55" s="1"/>
      <c r="U55" s="1"/>
    </row>
    <row r="56" spans="1:21" ht="68">
      <c r="A56" s="19" t="s">
        <v>134</v>
      </c>
      <c r="B56" s="14" t="s">
        <v>209</v>
      </c>
      <c r="C56" s="14" t="s">
        <v>88</v>
      </c>
      <c r="D56" s="14" t="s">
        <v>19</v>
      </c>
      <c r="E56" s="20">
        <v>44206</v>
      </c>
      <c r="F56" s="14"/>
      <c r="G56" s="14" t="s">
        <v>54</v>
      </c>
      <c r="H56" s="14" t="s">
        <v>210</v>
      </c>
      <c r="I56" s="14"/>
      <c r="J56" s="14"/>
      <c r="K56" s="14" t="s">
        <v>135</v>
      </c>
      <c r="L56" s="1"/>
      <c r="M56" s="1"/>
      <c r="N56" s="1"/>
      <c r="O56" s="1"/>
      <c r="P56" s="1"/>
      <c r="Q56" s="1"/>
      <c r="R56" s="1"/>
      <c r="S56" s="1"/>
      <c r="T56" s="1"/>
      <c r="U56" s="1"/>
    </row>
    <row r="57" spans="1:21" ht="102">
      <c r="A57" s="19" t="s">
        <v>136</v>
      </c>
      <c r="B57" s="14" t="s">
        <v>211</v>
      </c>
      <c r="C57" s="14" t="s">
        <v>137</v>
      </c>
      <c r="D57" s="14" t="s">
        <v>138</v>
      </c>
      <c r="E57" s="20">
        <v>44206</v>
      </c>
      <c r="F57" s="14"/>
      <c r="G57" s="14" t="s">
        <v>54</v>
      </c>
      <c r="H57" s="14" t="s">
        <v>212</v>
      </c>
      <c r="I57" s="14"/>
      <c r="J57" s="14"/>
      <c r="K57" s="14" t="s">
        <v>139</v>
      </c>
      <c r="L57" s="1"/>
      <c r="M57" s="1"/>
      <c r="N57" s="1"/>
      <c r="O57" s="1"/>
      <c r="P57" s="1"/>
      <c r="Q57" s="1"/>
      <c r="R57" s="1"/>
      <c r="S57" s="1"/>
      <c r="T57" s="1"/>
      <c r="U57" s="1"/>
    </row>
    <row r="58" spans="1:21" ht="51">
      <c r="A58" s="19" t="s">
        <v>140</v>
      </c>
      <c r="B58" s="14" t="s">
        <v>141</v>
      </c>
      <c r="C58" s="14" t="s">
        <v>99</v>
      </c>
      <c r="D58" s="14" t="s">
        <v>19</v>
      </c>
      <c r="E58" s="14"/>
      <c r="F58" s="20">
        <v>44207</v>
      </c>
      <c r="G58" s="14" t="s">
        <v>20</v>
      </c>
      <c r="H58" s="14" t="s">
        <v>142</v>
      </c>
      <c r="I58" s="14" t="s">
        <v>143</v>
      </c>
      <c r="J58" s="14" t="s">
        <v>144</v>
      </c>
      <c r="K58" s="14" t="s">
        <v>145</v>
      </c>
      <c r="L58" s="1"/>
      <c r="M58" s="1"/>
      <c r="N58" s="1"/>
      <c r="O58" s="1"/>
      <c r="P58" s="1"/>
      <c r="Q58" s="1"/>
      <c r="R58" s="1"/>
      <c r="S58" s="1"/>
      <c r="T58" s="1"/>
      <c r="U58" s="1"/>
    </row>
    <row r="59" spans="1:21" ht="136">
      <c r="A59" s="19" t="s">
        <v>146</v>
      </c>
      <c r="B59" s="14" t="s">
        <v>147</v>
      </c>
      <c r="C59" s="14" t="s">
        <v>99</v>
      </c>
      <c r="D59" s="14" t="s">
        <v>19</v>
      </c>
      <c r="E59" s="20">
        <v>44206</v>
      </c>
      <c r="F59" s="20">
        <v>44207</v>
      </c>
      <c r="G59" s="14" t="s">
        <v>20</v>
      </c>
      <c r="H59" s="14" t="s">
        <v>148</v>
      </c>
      <c r="I59" s="14" t="s">
        <v>149</v>
      </c>
      <c r="J59" s="14" t="s">
        <v>150</v>
      </c>
      <c r="K59" s="14" t="s">
        <v>145</v>
      </c>
      <c r="L59" s="1"/>
      <c r="M59" s="1"/>
      <c r="N59" s="1"/>
      <c r="O59" s="1"/>
      <c r="P59" s="1"/>
      <c r="Q59" s="1"/>
      <c r="R59" s="1"/>
      <c r="S59" s="1"/>
      <c r="T59" s="1"/>
      <c r="U59" s="1"/>
    </row>
    <row r="60" spans="1:21" ht="68">
      <c r="A60" s="19" t="s">
        <v>151</v>
      </c>
      <c r="B60" s="14" t="s">
        <v>152</v>
      </c>
      <c r="C60" s="14" t="s">
        <v>99</v>
      </c>
      <c r="D60" s="14" t="s">
        <v>19</v>
      </c>
      <c r="E60" s="20">
        <v>44207</v>
      </c>
      <c r="F60" s="20">
        <v>44207</v>
      </c>
      <c r="G60" s="14" t="s">
        <v>20</v>
      </c>
      <c r="H60" s="14" t="s">
        <v>153</v>
      </c>
      <c r="I60" s="14" t="s">
        <v>154</v>
      </c>
      <c r="J60" s="14" t="s">
        <v>155</v>
      </c>
      <c r="K60" s="14" t="s">
        <v>145</v>
      </c>
      <c r="L60" s="1"/>
      <c r="M60" s="1"/>
      <c r="N60" s="1"/>
      <c r="O60" s="1"/>
      <c r="P60" s="1"/>
      <c r="Q60" s="1"/>
      <c r="R60" s="1"/>
      <c r="S60" s="1"/>
      <c r="T60" s="1"/>
      <c r="U60" s="1"/>
    </row>
    <row r="61" spans="1:21" ht="119">
      <c r="A61" s="19" t="s">
        <v>156</v>
      </c>
      <c r="B61" s="14" t="s">
        <v>157</v>
      </c>
      <c r="C61" s="14" t="s">
        <v>29</v>
      </c>
      <c r="D61" s="14" t="s">
        <v>18</v>
      </c>
      <c r="E61" s="20">
        <v>44206</v>
      </c>
      <c r="F61" s="14"/>
      <c r="G61" s="14" t="s">
        <v>20</v>
      </c>
      <c r="H61" s="14" t="s">
        <v>213</v>
      </c>
      <c r="I61" s="14"/>
      <c r="J61" s="14"/>
      <c r="K61" s="14"/>
      <c r="L61" s="1"/>
      <c r="M61" s="1"/>
      <c r="N61" s="1"/>
      <c r="O61" s="1"/>
      <c r="P61" s="1"/>
      <c r="Q61" s="1"/>
      <c r="R61" s="1"/>
      <c r="S61" s="1"/>
      <c r="T61" s="1"/>
      <c r="U61" s="1"/>
    </row>
    <row r="62" spans="1:21" ht="34">
      <c r="A62" s="19" t="s">
        <v>158</v>
      </c>
      <c r="B62" s="14" t="s">
        <v>214</v>
      </c>
      <c r="C62" s="14" t="s">
        <v>88</v>
      </c>
      <c r="D62" s="14" t="s">
        <v>138</v>
      </c>
      <c r="E62" s="20">
        <v>44206</v>
      </c>
      <c r="F62" s="14"/>
      <c r="G62" s="14" t="s">
        <v>54</v>
      </c>
      <c r="H62" s="14" t="s">
        <v>215</v>
      </c>
      <c r="I62" s="14"/>
      <c r="J62" s="14"/>
      <c r="K62" s="14" t="s">
        <v>135</v>
      </c>
      <c r="L62" s="1"/>
      <c r="M62" s="1"/>
      <c r="N62" s="1"/>
      <c r="O62" s="1"/>
      <c r="P62" s="1"/>
      <c r="Q62" s="1"/>
      <c r="R62" s="1"/>
      <c r="S62" s="1"/>
      <c r="T62" s="1"/>
      <c r="U62" s="1"/>
    </row>
    <row r="63" spans="1:21" ht="102">
      <c r="A63" s="19" t="s">
        <v>159</v>
      </c>
      <c r="B63" s="14" t="s">
        <v>160</v>
      </c>
      <c r="C63" s="14" t="s">
        <v>29</v>
      </c>
      <c r="D63" s="14" t="s">
        <v>19</v>
      </c>
      <c r="E63" s="20">
        <v>44206</v>
      </c>
      <c r="F63" s="20">
        <v>44209</v>
      </c>
      <c r="G63" s="14" t="s">
        <v>20</v>
      </c>
      <c r="H63" s="14" t="s">
        <v>216</v>
      </c>
      <c r="I63" s="14"/>
      <c r="J63" s="14"/>
      <c r="K63" s="14"/>
      <c r="L63" s="1"/>
      <c r="M63" s="1"/>
      <c r="N63" s="1"/>
      <c r="O63" s="1"/>
      <c r="P63" s="1"/>
      <c r="Q63" s="1"/>
      <c r="R63" s="1"/>
      <c r="S63" s="1"/>
      <c r="T63" s="1"/>
      <c r="U63" s="1"/>
    </row>
    <row r="64" spans="1:21" ht="136">
      <c r="A64" s="19" t="s">
        <v>161</v>
      </c>
      <c r="B64" s="14" t="s">
        <v>162</v>
      </c>
      <c r="C64" s="14" t="s">
        <v>65</v>
      </c>
      <c r="D64" s="14" t="s">
        <v>19</v>
      </c>
      <c r="E64" s="20">
        <v>44206</v>
      </c>
      <c r="F64" s="20">
        <v>44208</v>
      </c>
      <c r="G64" s="14" t="s">
        <v>20</v>
      </c>
      <c r="H64" s="14" t="s">
        <v>217</v>
      </c>
      <c r="I64" s="14"/>
      <c r="J64" s="14"/>
      <c r="K64" s="14"/>
      <c r="L64" s="1"/>
      <c r="M64" s="1"/>
      <c r="N64" s="1"/>
      <c r="O64" s="1"/>
      <c r="P64" s="1"/>
      <c r="Q64" s="1"/>
      <c r="R64" s="1"/>
      <c r="S64" s="1"/>
      <c r="T64" s="1"/>
      <c r="U64" s="1"/>
    </row>
    <row r="65" spans="1:21" ht="34">
      <c r="A65" s="19" t="s">
        <v>163</v>
      </c>
      <c r="B65" s="14" t="s">
        <v>164</v>
      </c>
      <c r="C65" s="14" t="s">
        <v>70</v>
      </c>
      <c r="D65" s="14" t="s">
        <v>138</v>
      </c>
      <c r="E65" s="20">
        <v>44205</v>
      </c>
      <c r="F65" s="14"/>
      <c r="G65" s="14" t="s">
        <v>20</v>
      </c>
      <c r="H65" s="14" t="s">
        <v>34</v>
      </c>
      <c r="I65" s="14"/>
      <c r="J65" s="14"/>
      <c r="K65" s="14" t="s">
        <v>165</v>
      </c>
      <c r="L65" s="1"/>
      <c r="M65" s="1"/>
      <c r="N65" s="1"/>
      <c r="O65" s="1"/>
      <c r="P65" s="1"/>
      <c r="Q65" s="1"/>
      <c r="R65" s="1"/>
      <c r="S65" s="1"/>
      <c r="T65" s="1"/>
      <c r="U65" s="1"/>
    </row>
    <row r="66" spans="1:21" ht="34">
      <c r="A66" s="19" t="s">
        <v>166</v>
      </c>
      <c r="B66" s="14" t="s">
        <v>167</v>
      </c>
      <c r="C66" s="14" t="s">
        <v>38</v>
      </c>
      <c r="D66" s="14" t="s">
        <v>21</v>
      </c>
      <c r="E66" s="20">
        <v>44205</v>
      </c>
      <c r="F66" s="14"/>
      <c r="G66" s="14" t="s">
        <v>20</v>
      </c>
      <c r="H66" s="14" t="s">
        <v>168</v>
      </c>
      <c r="I66" s="14"/>
      <c r="J66" s="14"/>
      <c r="K66" s="14" t="s">
        <v>169</v>
      </c>
      <c r="L66" s="1"/>
      <c r="M66" s="1"/>
      <c r="N66" s="1"/>
      <c r="O66" s="1"/>
      <c r="P66" s="1"/>
      <c r="Q66" s="1"/>
      <c r="R66" s="1"/>
      <c r="S66" s="1"/>
      <c r="T66" s="1"/>
      <c r="U66" s="1"/>
    </row>
    <row r="67" spans="1:21" ht="34">
      <c r="A67" s="19" t="s">
        <v>170</v>
      </c>
      <c r="B67" s="14" t="s">
        <v>171</v>
      </c>
      <c r="C67" s="14" t="s">
        <v>88</v>
      </c>
      <c r="D67" s="14" t="s">
        <v>18</v>
      </c>
      <c r="E67" s="20">
        <v>44205</v>
      </c>
      <c r="F67" s="14"/>
      <c r="G67" s="14" t="s">
        <v>20</v>
      </c>
      <c r="H67" s="14" t="s">
        <v>172</v>
      </c>
      <c r="I67" s="14"/>
      <c r="J67" s="14"/>
      <c r="K67" s="14" t="s">
        <v>108</v>
      </c>
      <c r="L67" s="1"/>
      <c r="M67" s="1"/>
      <c r="N67" s="1"/>
      <c r="O67" s="1"/>
      <c r="P67" s="1"/>
      <c r="Q67" s="1"/>
      <c r="R67" s="1"/>
      <c r="S67" s="1"/>
      <c r="T67" s="1"/>
      <c r="U67" s="1"/>
    </row>
    <row r="68" spans="1:21" ht="51">
      <c r="A68" s="19" t="s">
        <v>27</v>
      </c>
      <c r="B68" s="14" t="s">
        <v>28</v>
      </c>
      <c r="C68" s="14" t="s">
        <v>65</v>
      </c>
      <c r="D68" s="14" t="s">
        <v>19</v>
      </c>
      <c r="E68" s="20">
        <v>44205</v>
      </c>
      <c r="F68" s="20">
        <v>44207</v>
      </c>
      <c r="G68" s="14" t="s">
        <v>20</v>
      </c>
      <c r="H68" s="14" t="s">
        <v>30</v>
      </c>
      <c r="I68" s="14"/>
      <c r="J68" s="14"/>
      <c r="K68" s="14" t="s">
        <v>31</v>
      </c>
      <c r="L68" s="1"/>
      <c r="M68" s="1"/>
      <c r="N68" s="1"/>
      <c r="O68" s="1"/>
      <c r="P68" s="1"/>
      <c r="Q68" s="1"/>
      <c r="R68" s="1"/>
      <c r="S68" s="1"/>
      <c r="T68" s="1"/>
      <c r="U68" s="1"/>
    </row>
    <row r="69" spans="1:21" ht="34">
      <c r="A69" s="19" t="s">
        <v>32</v>
      </c>
      <c r="B69" s="14" t="s">
        <v>33</v>
      </c>
      <c r="C69" s="14" t="s">
        <v>65</v>
      </c>
      <c r="D69" s="14" t="s">
        <v>19</v>
      </c>
      <c r="E69" s="20">
        <v>44205</v>
      </c>
      <c r="F69" s="20">
        <v>44207</v>
      </c>
      <c r="G69" s="14" t="s">
        <v>20</v>
      </c>
      <c r="H69" s="14" t="s">
        <v>34</v>
      </c>
      <c r="I69" s="14"/>
      <c r="J69" s="14"/>
      <c r="K69" s="14" t="s">
        <v>35</v>
      </c>
      <c r="L69" s="1"/>
      <c r="M69" s="1"/>
      <c r="N69" s="1"/>
      <c r="O69" s="1"/>
      <c r="P69" s="1"/>
      <c r="Q69" s="1"/>
      <c r="R69" s="1"/>
      <c r="S69" s="1"/>
      <c r="T69" s="1"/>
      <c r="U69" s="1"/>
    </row>
    <row r="70" spans="1:21" ht="34">
      <c r="A70" s="19" t="s">
        <v>36</v>
      </c>
      <c r="B70" s="14" t="s">
        <v>37</v>
      </c>
      <c r="C70" s="14" t="s">
        <v>70</v>
      </c>
      <c r="D70" s="14" t="s">
        <v>138</v>
      </c>
      <c r="E70" s="20">
        <v>44205</v>
      </c>
      <c r="F70" s="14"/>
      <c r="G70" s="14" t="s">
        <v>20</v>
      </c>
      <c r="H70" s="14" t="s">
        <v>39</v>
      </c>
      <c r="I70" s="14"/>
      <c r="J70" s="14"/>
      <c r="K70" s="14"/>
      <c r="L70" s="1"/>
      <c r="M70" s="1"/>
      <c r="N70" s="1"/>
      <c r="O70" s="1"/>
      <c r="P70" s="1"/>
      <c r="Q70" s="1"/>
      <c r="R70" s="1"/>
      <c r="S70" s="1"/>
      <c r="T70" s="1"/>
      <c r="U70" s="1"/>
    </row>
    <row r="71" spans="1:21" ht="119">
      <c r="A71" s="19" t="s">
        <v>40</v>
      </c>
      <c r="B71" s="14" t="s">
        <v>41</v>
      </c>
      <c r="C71" s="14" t="s">
        <v>70</v>
      </c>
      <c r="D71" s="14" t="s">
        <v>138</v>
      </c>
      <c r="E71" s="20">
        <v>44205</v>
      </c>
      <c r="F71" s="14"/>
      <c r="G71" s="14" t="s">
        <v>20</v>
      </c>
      <c r="H71" s="14" t="s">
        <v>42</v>
      </c>
      <c r="I71" s="14"/>
      <c r="J71" s="14"/>
      <c r="K71" s="14"/>
      <c r="L71" s="1"/>
      <c r="M71" s="1"/>
      <c r="N71" s="1"/>
      <c r="O71" s="1"/>
      <c r="P71" s="1"/>
      <c r="Q71" s="1"/>
      <c r="R71" s="1"/>
      <c r="S71" s="1"/>
      <c r="T71" s="1"/>
      <c r="U71" s="1"/>
    </row>
    <row r="72" spans="1:21" ht="34">
      <c r="A72" s="19" t="s">
        <v>43</v>
      </c>
      <c r="B72" s="14" t="s">
        <v>173</v>
      </c>
      <c r="C72" s="14" t="s">
        <v>29</v>
      </c>
      <c r="D72" s="14" t="s">
        <v>18</v>
      </c>
      <c r="E72" s="20">
        <v>44204</v>
      </c>
      <c r="F72" s="14"/>
      <c r="G72" s="14" t="s">
        <v>20</v>
      </c>
      <c r="H72" s="14" t="s">
        <v>219</v>
      </c>
      <c r="I72" s="14" t="s">
        <v>44</v>
      </c>
      <c r="J72" s="14" t="s">
        <v>45</v>
      </c>
      <c r="K72" s="14"/>
      <c r="L72" s="1"/>
      <c r="M72" s="1"/>
      <c r="N72" s="1"/>
      <c r="O72" s="1"/>
      <c r="P72" s="1"/>
      <c r="Q72" s="1"/>
      <c r="R72" s="1"/>
      <c r="S72" s="1"/>
      <c r="T72" s="1"/>
      <c r="U72" s="1"/>
    </row>
    <row r="73" spans="1:21" ht="34">
      <c r="A73" s="19" t="s">
        <v>46</v>
      </c>
      <c r="B73" s="14" t="s">
        <v>47</v>
      </c>
      <c r="C73" s="14" t="s">
        <v>53</v>
      </c>
      <c r="D73" s="14" t="s">
        <v>21</v>
      </c>
      <c r="E73" s="20">
        <v>44203</v>
      </c>
      <c r="F73" s="20">
        <v>44204</v>
      </c>
      <c r="G73" s="14" t="s">
        <v>20</v>
      </c>
      <c r="H73" s="14" t="s">
        <v>48</v>
      </c>
      <c r="I73" s="14" t="s">
        <v>49</v>
      </c>
      <c r="J73" s="14" t="s">
        <v>50</v>
      </c>
      <c r="K73" s="14"/>
      <c r="L73" s="1"/>
      <c r="M73" s="1"/>
      <c r="N73" s="1"/>
      <c r="O73" s="1"/>
      <c r="P73" s="1"/>
      <c r="Q73" s="1"/>
      <c r="R73" s="1"/>
      <c r="S73" s="1"/>
      <c r="T73" s="1"/>
      <c r="U73" s="1"/>
    </row>
    <row r="74" spans="1:21" ht="85">
      <c r="A74" s="19" t="s">
        <v>51</v>
      </c>
      <c r="B74" s="14" t="s">
        <v>52</v>
      </c>
      <c r="C74" s="14" t="s">
        <v>53</v>
      </c>
      <c r="D74" s="14" t="s">
        <v>19</v>
      </c>
      <c r="E74" s="20">
        <v>44203</v>
      </c>
      <c r="F74" s="20">
        <v>44204</v>
      </c>
      <c r="G74" s="14" t="s">
        <v>54</v>
      </c>
      <c r="H74" s="14" t="s">
        <v>55</v>
      </c>
      <c r="I74" s="14" t="s">
        <v>56</v>
      </c>
      <c r="J74" s="14" t="s">
        <v>57</v>
      </c>
      <c r="K74" s="14" t="s">
        <v>174</v>
      </c>
      <c r="L74" s="1"/>
      <c r="M74" s="1"/>
      <c r="N74" s="1"/>
      <c r="O74" s="1"/>
      <c r="P74" s="1"/>
      <c r="Q74" s="1"/>
      <c r="R74" s="1"/>
      <c r="S74" s="1"/>
      <c r="T74" s="1"/>
      <c r="U74" s="1"/>
    </row>
    <row r="75" spans="1:21" ht="68">
      <c r="A75" s="19" t="s">
        <v>58</v>
      </c>
      <c r="B75" s="14" t="s">
        <v>59</v>
      </c>
      <c r="C75" s="14" t="s">
        <v>53</v>
      </c>
      <c r="D75" s="14" t="s">
        <v>19</v>
      </c>
      <c r="E75" s="20">
        <v>44203</v>
      </c>
      <c r="F75" s="20">
        <v>44204</v>
      </c>
      <c r="G75" s="14" t="s">
        <v>20</v>
      </c>
      <c r="H75" s="14" t="s">
        <v>220</v>
      </c>
      <c r="I75" s="14" t="s">
        <v>60</v>
      </c>
      <c r="J75" s="14" t="s">
        <v>45</v>
      </c>
      <c r="K75" s="14"/>
      <c r="L75" s="1"/>
      <c r="M75" s="1"/>
      <c r="N75" s="1"/>
      <c r="O75" s="1"/>
      <c r="P75" s="1"/>
      <c r="Q75" s="1"/>
      <c r="R75" s="1"/>
      <c r="S75" s="1"/>
      <c r="T75" s="1"/>
      <c r="U75" s="1"/>
    </row>
    <row r="76" spans="1:21" ht="170">
      <c r="A76" s="19" t="s">
        <v>61</v>
      </c>
      <c r="B76" s="14" t="s">
        <v>62</v>
      </c>
      <c r="C76" s="14" t="s">
        <v>175</v>
      </c>
      <c r="D76" s="14" t="s">
        <v>21</v>
      </c>
      <c r="E76" s="20">
        <v>44203</v>
      </c>
      <c r="F76" s="14"/>
      <c r="G76" s="14" t="s">
        <v>54</v>
      </c>
      <c r="H76" s="14" t="s">
        <v>176</v>
      </c>
      <c r="I76" s="14" t="s">
        <v>177</v>
      </c>
      <c r="J76" s="14"/>
      <c r="K76" s="14"/>
      <c r="L76" s="1"/>
      <c r="M76" s="1"/>
      <c r="N76" s="1"/>
      <c r="O76" s="1"/>
      <c r="P76" s="1"/>
      <c r="Q76" s="1"/>
      <c r="R76" s="1"/>
      <c r="S76" s="1"/>
      <c r="T76" s="1"/>
      <c r="U76" s="1"/>
    </row>
    <row r="77" spans="1:21" ht="323">
      <c r="A77" s="19" t="s">
        <v>63</v>
      </c>
      <c r="B77" s="14" t="s">
        <v>64</v>
      </c>
      <c r="C77" s="14" t="s">
        <v>65</v>
      </c>
      <c r="D77" s="14" t="s">
        <v>19</v>
      </c>
      <c r="E77" s="20">
        <v>44202</v>
      </c>
      <c r="F77" s="20">
        <v>44203</v>
      </c>
      <c r="G77" s="14" t="s">
        <v>20</v>
      </c>
      <c r="H77" s="14" t="s">
        <v>221</v>
      </c>
      <c r="I77" s="14" t="s">
        <v>66</v>
      </c>
      <c r="J77" s="14" t="s">
        <v>67</v>
      </c>
      <c r="K77" s="14"/>
      <c r="L77" s="1"/>
      <c r="M77" s="1"/>
      <c r="N77" s="1"/>
      <c r="O77" s="1"/>
      <c r="P77" s="1"/>
      <c r="Q77" s="1"/>
      <c r="R77" s="1"/>
      <c r="S77" s="1"/>
      <c r="T77" s="1"/>
      <c r="U77" s="1"/>
    </row>
    <row r="78" spans="1:21" ht="34">
      <c r="A78" s="19" t="s">
        <v>68</v>
      </c>
      <c r="B78" s="14" t="s">
        <v>69</v>
      </c>
      <c r="C78" s="14" t="s">
        <v>70</v>
      </c>
      <c r="D78" s="14" t="s">
        <v>19</v>
      </c>
      <c r="E78" s="20">
        <v>44202</v>
      </c>
      <c r="F78" s="20">
        <v>44203</v>
      </c>
      <c r="G78" s="14" t="s">
        <v>20</v>
      </c>
      <c r="H78" s="14" t="s">
        <v>222</v>
      </c>
      <c r="I78" s="14" t="s">
        <v>223</v>
      </c>
      <c r="J78" s="14" t="s">
        <v>224</v>
      </c>
      <c r="K78" s="14"/>
      <c r="L78" s="1"/>
      <c r="M78" s="1"/>
      <c r="N78" s="1"/>
      <c r="O78" s="1"/>
      <c r="P78" s="1"/>
      <c r="Q78" s="1"/>
      <c r="R78" s="1"/>
      <c r="S78" s="1"/>
      <c r="T78" s="1"/>
      <c r="U78" s="1"/>
    </row>
    <row r="79" spans="1:21" ht="102">
      <c r="A79" s="19" t="s">
        <v>71</v>
      </c>
      <c r="B79" s="14" t="s">
        <v>72</v>
      </c>
      <c r="C79" s="14" t="s">
        <v>73</v>
      </c>
      <c r="D79" s="14" t="s">
        <v>19</v>
      </c>
      <c r="E79" s="20">
        <v>44202</v>
      </c>
      <c r="F79" s="20">
        <v>44202</v>
      </c>
      <c r="G79" s="14" t="s">
        <v>20</v>
      </c>
      <c r="H79" s="14" t="s">
        <v>225</v>
      </c>
      <c r="I79" s="14" t="s">
        <v>226</v>
      </c>
      <c r="J79" s="14" t="s">
        <v>44</v>
      </c>
      <c r="K79" s="14"/>
      <c r="L79" s="1"/>
      <c r="M79" s="1"/>
      <c r="N79" s="1"/>
      <c r="O79" s="1"/>
      <c r="P79" s="1"/>
      <c r="Q79" s="1"/>
      <c r="R79" s="1"/>
      <c r="S79" s="1"/>
      <c r="T79" s="1"/>
      <c r="U79" s="1"/>
    </row>
    <row r="80" spans="1:21" ht="34">
      <c r="A80" s="19" t="s">
        <v>74</v>
      </c>
      <c r="B80" s="14" t="s">
        <v>178</v>
      </c>
      <c r="C80" s="14" t="s">
        <v>73</v>
      </c>
      <c r="D80" s="14" t="s">
        <v>19</v>
      </c>
      <c r="E80" s="20">
        <v>44202</v>
      </c>
      <c r="F80" s="14"/>
      <c r="G80" s="14" t="s">
        <v>20</v>
      </c>
      <c r="H80" s="14" t="s">
        <v>227</v>
      </c>
      <c r="I80" s="14" t="s">
        <v>44</v>
      </c>
      <c r="J80" s="14" t="s">
        <v>44</v>
      </c>
      <c r="K80" s="14"/>
      <c r="L80" s="1"/>
      <c r="M80" s="1"/>
      <c r="N80" s="1"/>
      <c r="O80" s="1"/>
      <c r="P80" s="1"/>
      <c r="Q80" s="1"/>
      <c r="R80" s="1"/>
      <c r="S80" s="1"/>
      <c r="T80" s="1"/>
      <c r="U80" s="1"/>
    </row>
    <row r="81" spans="1:21" ht="170">
      <c r="A81" s="19" t="s">
        <v>75</v>
      </c>
      <c r="B81" s="14" t="s">
        <v>179</v>
      </c>
      <c r="C81" s="14" t="s">
        <v>73</v>
      </c>
      <c r="D81" s="14" t="s">
        <v>138</v>
      </c>
      <c r="E81" s="20">
        <v>44202</v>
      </c>
      <c r="F81" s="14"/>
      <c r="G81" s="14" t="s">
        <v>20</v>
      </c>
      <c r="H81" s="14" t="s">
        <v>228</v>
      </c>
      <c r="I81" s="14" t="s">
        <v>229</v>
      </c>
      <c r="J81" s="14" t="s">
        <v>44</v>
      </c>
      <c r="K81" s="14"/>
      <c r="L81" s="1"/>
      <c r="M81" s="1"/>
      <c r="N81" s="1"/>
      <c r="O81" s="1"/>
      <c r="P81" s="1"/>
      <c r="Q81" s="1"/>
      <c r="R81" s="1"/>
      <c r="S81" s="1"/>
      <c r="T81" s="1"/>
      <c r="U81" s="1"/>
    </row>
    <row r="82" spans="1:21" ht="85">
      <c r="A82" s="19" t="s">
        <v>76</v>
      </c>
      <c r="B82" s="14" t="s">
        <v>77</v>
      </c>
      <c r="C82" s="14" t="s">
        <v>29</v>
      </c>
      <c r="D82" s="14" t="s">
        <v>19</v>
      </c>
      <c r="E82" s="20">
        <v>44202</v>
      </c>
      <c r="F82" s="20">
        <v>44207</v>
      </c>
      <c r="G82" s="14" t="s">
        <v>20</v>
      </c>
      <c r="H82" s="14" t="s">
        <v>78</v>
      </c>
      <c r="I82" s="14"/>
      <c r="J82" s="14"/>
      <c r="K82" s="14"/>
      <c r="L82" s="1"/>
      <c r="M82" s="1"/>
      <c r="N82" s="1"/>
      <c r="O82" s="1"/>
      <c r="P82" s="1"/>
      <c r="Q82" s="1"/>
      <c r="R82" s="1"/>
      <c r="S82" s="1"/>
      <c r="T82" s="1"/>
      <c r="U82" s="1"/>
    </row>
    <row r="83" spans="1:21" ht="409.6">
      <c r="A83" s="19" t="s">
        <v>79</v>
      </c>
      <c r="B83" s="14" t="s">
        <v>80</v>
      </c>
      <c r="C83" s="14" t="s">
        <v>38</v>
      </c>
      <c r="D83" s="14" t="s">
        <v>19</v>
      </c>
      <c r="E83" s="20">
        <v>44202</v>
      </c>
      <c r="F83" s="20">
        <v>44204</v>
      </c>
      <c r="G83" s="14" t="s">
        <v>20</v>
      </c>
      <c r="H83" s="14" t="s">
        <v>230</v>
      </c>
      <c r="I83" s="14" t="s">
        <v>231</v>
      </c>
      <c r="J83" s="14" t="s">
        <v>81</v>
      </c>
      <c r="K83" s="14"/>
      <c r="L83" s="1"/>
      <c r="M83" s="1"/>
      <c r="N83" s="1"/>
      <c r="O83" s="1"/>
      <c r="P83" s="1"/>
      <c r="Q83" s="1"/>
      <c r="R83" s="1"/>
      <c r="S83" s="1"/>
      <c r="T83" s="1"/>
      <c r="U83" s="1"/>
    </row>
    <row r="84" spans="1:21" ht="409.6">
      <c r="A84" s="19" t="s">
        <v>82</v>
      </c>
      <c r="B84" s="14" t="s">
        <v>83</v>
      </c>
      <c r="C84" s="14"/>
      <c r="D84" s="14" t="s">
        <v>21</v>
      </c>
      <c r="E84" s="20">
        <v>44202</v>
      </c>
      <c r="F84" s="14"/>
      <c r="G84" s="14" t="s">
        <v>20</v>
      </c>
      <c r="H84" s="14" t="s">
        <v>84</v>
      </c>
      <c r="I84" s="14" t="s">
        <v>85</v>
      </c>
      <c r="J84" s="14" t="s">
        <v>86</v>
      </c>
      <c r="K84" s="14"/>
      <c r="L84" s="1"/>
      <c r="M84" s="1"/>
      <c r="N84" s="1"/>
      <c r="O84" s="1"/>
      <c r="P84" s="1"/>
      <c r="Q84" s="1"/>
      <c r="R84" s="1"/>
      <c r="S84" s="1"/>
      <c r="T84" s="1"/>
      <c r="U84" s="1"/>
    </row>
    <row r="85" spans="1:21">
      <c r="A85" s="3"/>
      <c r="B85" s="3"/>
      <c r="C85" s="3"/>
      <c r="D85" s="3"/>
      <c r="E85" s="3"/>
      <c r="F85" s="3"/>
      <c r="G85" s="3"/>
      <c r="H85" s="3"/>
      <c r="I85" s="3"/>
      <c r="J85" s="3"/>
      <c r="K85" s="3"/>
      <c r="L85" s="1"/>
      <c r="M85" s="1"/>
      <c r="N85" s="1"/>
      <c r="O85" s="1"/>
      <c r="P85" s="1"/>
      <c r="Q85" s="1"/>
      <c r="R85" s="1"/>
      <c r="S85" s="1"/>
      <c r="T85" s="1"/>
      <c r="U85" s="1"/>
    </row>
    <row r="86" spans="1:21">
      <c r="A86"/>
      <c r="B86"/>
      <c r="C86"/>
      <c r="D86"/>
      <c r="E86"/>
      <c r="F86"/>
      <c r="G86"/>
      <c r="H86"/>
      <c r="I86"/>
      <c r="J86"/>
      <c r="K86"/>
    </row>
    <row r="87" spans="1:21">
      <c r="A87"/>
      <c r="B87"/>
      <c r="C87"/>
      <c r="D87"/>
      <c r="E87"/>
      <c r="F87"/>
      <c r="G87"/>
      <c r="H87"/>
      <c r="I87"/>
      <c r="J87"/>
      <c r="K87"/>
    </row>
    <row r="88" spans="1:21">
      <c r="A88"/>
      <c r="B88"/>
      <c r="C88"/>
      <c r="D88"/>
      <c r="E88"/>
      <c r="F88"/>
      <c r="G88"/>
      <c r="H88"/>
      <c r="I88"/>
      <c r="J88"/>
      <c r="K88"/>
    </row>
    <row r="89" spans="1:21">
      <c r="A89"/>
      <c r="B89"/>
      <c r="C89"/>
      <c r="D89"/>
      <c r="E89"/>
      <c r="F89"/>
      <c r="G89"/>
      <c r="H89"/>
      <c r="I89"/>
      <c r="J89"/>
      <c r="K89"/>
    </row>
    <row r="90" spans="1:21">
      <c r="A90"/>
      <c r="B90"/>
      <c r="C90"/>
      <c r="D90"/>
      <c r="E90"/>
      <c r="F90"/>
      <c r="G90"/>
      <c r="H90"/>
      <c r="I90"/>
      <c r="J90"/>
      <c r="K90"/>
    </row>
    <row r="91" spans="1:21">
      <c r="A91"/>
      <c r="B91"/>
      <c r="C91"/>
      <c r="D91"/>
      <c r="E91"/>
      <c r="F91"/>
      <c r="G91"/>
      <c r="H91"/>
      <c r="I91"/>
      <c r="J91"/>
      <c r="K91"/>
    </row>
    <row r="92" spans="1:21">
      <c r="A92"/>
      <c r="B92"/>
      <c r="C92"/>
      <c r="D92"/>
      <c r="E92"/>
      <c r="F92"/>
      <c r="G92"/>
      <c r="H92"/>
      <c r="I92"/>
      <c r="J92"/>
      <c r="K92"/>
    </row>
    <row r="93" spans="1:21">
      <c r="A93"/>
      <c r="B93"/>
      <c r="C93"/>
      <c r="D93"/>
      <c r="E93"/>
      <c r="F93"/>
      <c r="G93"/>
      <c r="H93"/>
      <c r="I93"/>
      <c r="J93"/>
      <c r="K93"/>
    </row>
    <row r="94" spans="1:21">
      <c r="A94"/>
      <c r="B94"/>
      <c r="C94"/>
      <c r="D94"/>
      <c r="E94"/>
      <c r="F94"/>
      <c r="G94"/>
      <c r="H94"/>
      <c r="I94"/>
      <c r="J94"/>
      <c r="K94"/>
    </row>
    <row r="95" spans="1:21">
      <c r="A95"/>
      <c r="B95"/>
      <c r="C95"/>
      <c r="D95"/>
      <c r="E95"/>
      <c r="F95"/>
      <c r="G95"/>
      <c r="H95"/>
      <c r="I95"/>
      <c r="J95"/>
      <c r="K95"/>
    </row>
    <row r="96" spans="1:21">
      <c r="A96"/>
      <c r="B96"/>
      <c r="C96"/>
      <c r="D96"/>
      <c r="E96"/>
      <c r="F96"/>
      <c r="G96"/>
      <c r="H96"/>
      <c r="I96"/>
      <c r="J96"/>
      <c r="K96"/>
    </row>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mergeCells count="2">
    <mergeCell ref="B1:C1"/>
    <mergeCell ref="B2:C2"/>
  </mergeCells>
  <phoneticPr fontId="1"/>
  <hyperlinks>
    <hyperlink ref="A6" r:id="rId1" xr:uid="{EDCD2359-9547-406E-9C1C-8B50DB1CA653}"/>
    <hyperlink ref="A7" r:id="rId2" xr:uid="{233FE28F-23C3-4D84-A522-720768CED30E}"/>
    <hyperlink ref="A8" r:id="rId3" xr:uid="{43CF6B6F-7299-4AD2-B92E-23DD9045851D}"/>
    <hyperlink ref="A9" r:id="rId4" xr:uid="{78D89C28-3471-43C2-B991-69C280138928}"/>
    <hyperlink ref="A10" r:id="rId5" xr:uid="{A33AE37D-D669-4D4B-B2E4-9802CECBDBA8}"/>
    <hyperlink ref="A11" r:id="rId6" xr:uid="{8CD783F9-B622-4D02-851C-D25E033D9C3B}"/>
    <hyperlink ref="A12" r:id="rId7" xr:uid="{36FF7396-65C6-44DC-A579-9B0FC2ACB551}"/>
    <hyperlink ref="A13" r:id="rId8" xr:uid="{59A049E7-912E-43FA-B557-DAB2FCC56B76}"/>
    <hyperlink ref="A14" r:id="rId9" xr:uid="{05619656-9D8A-4F79-B3B0-AE26F0DEC467}"/>
    <hyperlink ref="A15" r:id="rId10" xr:uid="{5D542A9C-2F8D-4E47-B68B-DF424DAF516C}"/>
    <hyperlink ref="A16" r:id="rId11" xr:uid="{70F616A3-31ED-4B35-AD86-34CD23CD7FA2}"/>
    <hyperlink ref="A17" r:id="rId12" xr:uid="{90173C76-7B96-4628-BB37-9FD6E6E27417}"/>
    <hyperlink ref="A18" r:id="rId13" xr:uid="{B7827FE0-9F7B-45B6-B348-DC38620B0901}"/>
    <hyperlink ref="A19" r:id="rId14" xr:uid="{731998D7-3445-4166-AB3B-CFB90CADCA13}"/>
    <hyperlink ref="A20" r:id="rId15" xr:uid="{5946716E-170B-49BB-BF16-BDE407E39C9F}"/>
    <hyperlink ref="A21" r:id="rId16" xr:uid="{3D19A819-4FDD-4813-A4A7-AB96ECAADBF4}"/>
    <hyperlink ref="A22" r:id="rId17" xr:uid="{EAD84169-6D14-489D-9229-A99498B30882}"/>
    <hyperlink ref="A23" r:id="rId18" xr:uid="{05817880-03F8-4E00-810A-0369E0746CF5}"/>
    <hyperlink ref="A24" r:id="rId19" xr:uid="{E11C98DE-BE7B-4631-B1B8-D04B0CA627EA}"/>
    <hyperlink ref="A25" r:id="rId20" xr:uid="{B9CDED4C-0B30-48AF-BDD2-352D1D37262E}"/>
    <hyperlink ref="A26" r:id="rId21" xr:uid="{A0A48C30-8035-4A37-B973-09A3E08C7375}"/>
    <hyperlink ref="A27" r:id="rId22" xr:uid="{23947072-DAC7-4C13-88ED-588C297BA875}"/>
    <hyperlink ref="A28" r:id="rId23" xr:uid="{E084492E-DF39-4810-8769-262CB58B1625}"/>
    <hyperlink ref="A29" r:id="rId24" xr:uid="{133CBDE3-1A8B-4E9A-AF9B-57BD4090D669}"/>
    <hyperlink ref="A30" r:id="rId25" xr:uid="{B1631F16-E1B5-447A-916E-9EEF78D72B03}"/>
    <hyperlink ref="A31" r:id="rId26" xr:uid="{69ADFF87-374C-4E28-990A-7D4F01CF5FC0}"/>
    <hyperlink ref="A32" r:id="rId27" xr:uid="{C9721DB7-50BA-4BA0-81E4-5720155FD340}"/>
    <hyperlink ref="A33" r:id="rId28" xr:uid="{10E43487-9184-4FAD-9B98-CA16A26988A3}"/>
    <hyperlink ref="A34" r:id="rId29" xr:uid="{23D0228D-8640-48FF-B728-F865C4E9E0CF}"/>
    <hyperlink ref="A35" r:id="rId30" xr:uid="{ED75B7A6-6AC6-4CD8-95B5-79C54D60A025}"/>
    <hyperlink ref="A36" r:id="rId31" xr:uid="{E1AA4A57-25EB-4704-894E-7B96DA42F309}"/>
    <hyperlink ref="A37" r:id="rId32" xr:uid="{49E7997D-898F-4B62-9C13-354DE58CDD3E}"/>
    <hyperlink ref="A38" r:id="rId33" xr:uid="{DBD28265-C9D3-4983-8B07-074374B3A269}"/>
    <hyperlink ref="A39" r:id="rId34" xr:uid="{8E2A252D-3896-441B-A345-8BFAA9D1759A}"/>
    <hyperlink ref="A40" r:id="rId35" xr:uid="{9E63D87C-5DAC-44DB-98CA-ED2B20C922D9}"/>
    <hyperlink ref="A41" r:id="rId36" xr:uid="{2E808B3C-BDB6-4204-A417-3D67565C2493}"/>
    <hyperlink ref="A42" r:id="rId37" xr:uid="{A0B3639C-E6DB-4FD6-AFA4-BA789C396198}"/>
    <hyperlink ref="A43" r:id="rId38" xr:uid="{46778797-4796-4BF0-97C6-424CA284A650}"/>
    <hyperlink ref="A44" r:id="rId39" xr:uid="{9E8FD79C-FE7E-4986-B714-9AB7C9710D65}"/>
    <hyperlink ref="A45" r:id="rId40" xr:uid="{39A3AAAE-3C48-4632-9D6C-13975A4B3040}"/>
    <hyperlink ref="A46" r:id="rId41" xr:uid="{1E0E4441-2022-42D3-9CF0-9F4B85E9E453}"/>
    <hyperlink ref="A47" r:id="rId42" xr:uid="{FDF842F0-977D-45EB-B756-B3F594BC4444}"/>
    <hyperlink ref="A48" r:id="rId43" xr:uid="{6B8A192E-D351-494B-A355-D506E282B1D4}"/>
    <hyperlink ref="A49" r:id="rId44" xr:uid="{BF68637E-A35D-4E3C-812F-036400EB74E3}"/>
    <hyperlink ref="A50" r:id="rId45" xr:uid="{79D0738E-3214-4442-8358-97C107EDCE49}"/>
    <hyperlink ref="A51" r:id="rId46" xr:uid="{BA62B9DC-2106-43D5-9074-41C8CF0B4270}"/>
    <hyperlink ref="A52" r:id="rId47" xr:uid="{DEBDA023-CAA7-4765-902D-0D3977BB80F0}"/>
    <hyperlink ref="A53" r:id="rId48" xr:uid="{E53A30FB-EB7E-4276-AE3E-B3F4E847277F}"/>
    <hyperlink ref="A54" r:id="rId49" xr:uid="{FDF1ACC0-3384-4604-A6D4-6126AD0B5C13}"/>
    <hyperlink ref="A55" r:id="rId50" xr:uid="{9E77BF3F-C4B0-43AE-A85A-6FA62F7A77FD}"/>
    <hyperlink ref="A56" r:id="rId51" xr:uid="{4A562B6A-E119-450E-9876-ADFA1D613E76}"/>
    <hyperlink ref="A57" r:id="rId52" xr:uid="{6FA78FE7-6FCC-4AF9-8CD5-2BD443687D0B}"/>
    <hyperlink ref="A58" r:id="rId53" xr:uid="{1B4206B8-2AF2-44EF-9537-D3DCEAE6AE2A}"/>
    <hyperlink ref="A59" r:id="rId54" xr:uid="{567CE5D4-D032-4C14-BC90-772E960CDA48}"/>
    <hyperlink ref="A60" r:id="rId55" xr:uid="{27780FBE-6918-410C-9A5A-A31CDF83745A}"/>
    <hyperlink ref="A61" r:id="rId56" xr:uid="{281FA56F-728B-4253-AFC8-F8BAFB107C2C}"/>
    <hyperlink ref="A62" r:id="rId57" xr:uid="{7DB1F36F-5AB7-4FA0-A139-C48C2F782316}"/>
    <hyperlink ref="A63" r:id="rId58" xr:uid="{7921F6B6-4DDD-4759-85EC-12A8EC7B9000}"/>
    <hyperlink ref="A64" r:id="rId59" xr:uid="{2F637FD8-F1FE-43F4-BE35-06EC62DB5FC4}"/>
    <hyperlink ref="A65" r:id="rId60" xr:uid="{11FF9CF8-1526-48F1-AF7A-D8741497FEC5}"/>
    <hyperlink ref="A66" r:id="rId61" xr:uid="{10CC894D-F420-4317-9F79-D06DC310A17D}"/>
    <hyperlink ref="A67" r:id="rId62" xr:uid="{D11E964F-F19A-4100-909C-DEF841D51CA2}"/>
    <hyperlink ref="A68" r:id="rId63" xr:uid="{7AEFDF4E-536C-4490-8705-4CC80196C5EA}"/>
    <hyperlink ref="A69" r:id="rId64" xr:uid="{1142EFFC-594C-4082-BC6C-FB17D8153042}"/>
    <hyperlink ref="A70" r:id="rId65" xr:uid="{FD681C9B-C750-468F-86FE-9D61553DA036}"/>
    <hyperlink ref="A71" r:id="rId66" xr:uid="{08863FB6-B75A-41B7-8268-7DAE2AD9E34B}"/>
    <hyperlink ref="A72" r:id="rId67" xr:uid="{6F6A0CD9-E447-4BB6-ACF0-8B8EB037F898}"/>
    <hyperlink ref="A73" r:id="rId68" xr:uid="{4C5FA429-3639-4CAB-B0E2-A691DF72E516}"/>
    <hyperlink ref="A74" r:id="rId69" xr:uid="{74AAC96D-B6D4-46B8-9EE4-2291EE591A6B}"/>
    <hyperlink ref="A75" r:id="rId70" xr:uid="{BE7A67C1-DB39-44C8-8B38-EABA40E5879A}"/>
    <hyperlink ref="A76" r:id="rId71" xr:uid="{DCB5A5D9-8187-4E6A-99C6-E2DB59EF0CB0}"/>
    <hyperlink ref="A77" r:id="rId72" xr:uid="{686B3215-4807-4A12-B28E-094E3B769AC5}"/>
    <hyperlink ref="A78" r:id="rId73" xr:uid="{E668B39B-14A0-44F1-ABC4-6E276F26E973}"/>
    <hyperlink ref="A79" r:id="rId74" xr:uid="{1FBEEEF1-B83A-4DCB-A390-B6BD77512109}"/>
    <hyperlink ref="A80" r:id="rId75" xr:uid="{E6B53219-346E-4613-A08F-2903CF537FAB}"/>
    <hyperlink ref="A81" r:id="rId76" xr:uid="{04A3E8FF-3E3F-412F-ABA5-14BAFF2171C9}"/>
    <hyperlink ref="A82" r:id="rId77" xr:uid="{AEA6EF8A-530C-4C4E-991A-E8A60E844D52}"/>
    <hyperlink ref="A83" r:id="rId78" xr:uid="{B372B8D6-060F-4E34-9B0A-1FAC8635D85D}"/>
    <hyperlink ref="A84" r:id="rId79" xr:uid="{7741EA39-BD1E-4DAC-8CF4-1990002F515A}"/>
  </hyperlinks>
  <pageMargins left="0.7" right="0.7" top="0.75" bottom="0.75" header="0.3" footer="0.3"/>
  <pageSetup paperSize="9" orientation="portrait" r:id="rId80"/>
  <drawing r:id="rId81"/>
  <legacyDrawing r:id="rId82"/>
  <mc:AlternateContent xmlns:mc="http://schemas.openxmlformats.org/markup-compatibility/2006">
    <mc:Choice Requires="x14">
      <controls>
        <mc:AlternateContent xmlns:mc="http://schemas.openxmlformats.org/markup-compatibility/2006">
          <mc:Choice Requires="x14">
            <control shapeId="18433" r:id="rId83" name="Button 1">
              <controlPr defaultSize="0" print="0" autoFill="0" autoPict="0" macro="[0]!Action_TaskMng2.backlog">
                <anchor moveWithCells="1" sizeWithCells="1">
                  <from>
                    <xdr:col>3</xdr:col>
                    <xdr:colOff>25400</xdr:colOff>
                    <xdr:row>0</xdr:row>
                    <xdr:rowOff>25400</xdr:rowOff>
                  </from>
                  <to>
                    <xdr:col>5</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565B182-612B-4F68-9097-52240A48B038}">
          <x14:formula1>
            <xm:f>親課題リスト!$D$4:$D$13</xm:f>
          </x14:formula1>
          <xm:sqref>B1:C1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D3269-21DE-4C23-A5BD-94ABDB6D7CBB}">
  <sheetPr codeName="Sheet5"/>
  <dimension ref="B1:E13"/>
  <sheetViews>
    <sheetView showGridLines="0" workbookViewId="0">
      <selection activeCell="E4" sqref="E4"/>
    </sheetView>
  </sheetViews>
  <sheetFormatPr baseColWidth="10" defaultColWidth="9" defaultRowHeight="16"/>
  <cols>
    <col min="1" max="1" width="2" style="1" customWidth="1"/>
    <col min="2" max="2" width="13.6640625" style="1" bestFit="1" customWidth="1"/>
    <col min="3" max="3" width="10.33203125" style="1" customWidth="1"/>
    <col min="4" max="4" width="32.5" style="1" customWidth="1"/>
    <col min="5" max="5" width="14.5" style="1" customWidth="1"/>
    <col min="6" max="16384" width="9" style="1"/>
  </cols>
  <sheetData>
    <row r="1" spans="2:5" ht="18">
      <c r="B1" s="5"/>
    </row>
    <row r="3" spans="2:5">
      <c r="B3" s="8" t="s">
        <v>9</v>
      </c>
      <c r="C3" s="4" t="s">
        <v>1</v>
      </c>
      <c r="D3" s="4" t="s">
        <v>3</v>
      </c>
      <c r="E3" s="4" t="s">
        <v>2</v>
      </c>
    </row>
    <row r="4" spans="2:5" ht="18">
      <c r="B4" s="3" t="s">
        <v>25</v>
      </c>
      <c r="C4" s="9" t="s">
        <v>7</v>
      </c>
      <c r="D4" s="3" t="s">
        <v>26</v>
      </c>
      <c r="E4" s="3">
        <v>10597942</v>
      </c>
    </row>
    <row r="5" spans="2:5" ht="18">
      <c r="B5" s="3"/>
      <c r="C5" s="9"/>
      <c r="D5" s="3"/>
      <c r="E5" s="3"/>
    </row>
    <row r="6" spans="2:5">
      <c r="B6" s="3"/>
      <c r="C6" s="3"/>
      <c r="D6" s="3"/>
      <c r="E6" s="3"/>
    </row>
    <row r="7" spans="2:5">
      <c r="B7" s="3"/>
      <c r="C7" s="3"/>
      <c r="D7" s="3"/>
      <c r="E7" s="3"/>
    </row>
    <row r="8" spans="2:5">
      <c r="B8" s="3"/>
      <c r="C8" s="3"/>
      <c r="D8" s="3"/>
      <c r="E8" s="3"/>
    </row>
    <row r="9" spans="2:5">
      <c r="B9" s="3"/>
      <c r="C9" s="3"/>
      <c r="D9" s="3"/>
      <c r="E9" s="3"/>
    </row>
    <row r="10" spans="2:5">
      <c r="B10" s="3"/>
      <c r="C10" s="3"/>
      <c r="D10" s="3"/>
      <c r="E10" s="3"/>
    </row>
    <row r="11" spans="2:5">
      <c r="B11" s="3"/>
      <c r="C11" s="3"/>
      <c r="D11" s="3"/>
      <c r="E11" s="3"/>
    </row>
    <row r="12" spans="2:5">
      <c r="B12" s="3"/>
      <c r="C12" s="3"/>
      <c r="D12" s="3"/>
      <c r="E12" s="3"/>
    </row>
    <row r="13" spans="2:5">
      <c r="B13" s="3"/>
      <c r="C13" s="3"/>
      <c r="D13" s="3"/>
      <c r="E13" s="3"/>
    </row>
  </sheetData>
  <phoneticPr fontId="1"/>
  <hyperlinks>
    <hyperlink ref="C4" r:id="rId1" xr:uid="{7D09D1DB-DA5C-4712-B7A2-7DD5F60D6764}"/>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tIssueId">
                <anchor moveWithCells="1" sizeWithCells="1">
                  <from>
                    <xdr:col>1</xdr:col>
                    <xdr:colOff>0</xdr:colOff>
                    <xdr:row>0</xdr:row>
                    <xdr:rowOff>101600</xdr:rowOff>
                  </from>
                  <to>
                    <xdr:col>2</xdr:col>
                    <xdr:colOff>114300</xdr:colOff>
                    <xdr:row>1</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3"/>
  <sheetViews>
    <sheetView topLeftCell="E1" workbookViewId="0">
      <selection activeCell="F1" sqref="F1"/>
    </sheetView>
  </sheetViews>
  <sheetFormatPr baseColWidth="10" defaultColWidth="9" defaultRowHeight="16"/>
  <cols>
    <col min="1" max="2" width="7.5" style="1" hidden="1" customWidth="1"/>
    <col min="3" max="3" width="14.6640625" style="1" hidden="1" customWidth="1"/>
    <col min="4" max="4" width="0" style="1" hidden="1" customWidth="1"/>
    <col min="5" max="5" width="15.33203125" style="1" customWidth="1"/>
    <col min="6" max="6" width="63.1640625" style="1" bestFit="1" customWidth="1"/>
    <col min="7" max="16384" width="9" style="1"/>
  </cols>
  <sheetData>
    <row r="1" spans="5:6">
      <c r="E1" s="7" t="s">
        <v>0</v>
      </c>
      <c r="F1" s="2" t="s">
        <v>23</v>
      </c>
    </row>
    <row r="2" spans="5:6" ht="18">
      <c r="E2" s="7" t="s">
        <v>6</v>
      </c>
      <c r="F2" s="6" t="s">
        <v>5</v>
      </c>
    </row>
    <row r="3" spans="5:6" ht="18">
      <c r="E3" s="7" t="s">
        <v>4</v>
      </c>
      <c r="F3" s="6" t="s">
        <v>10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4</vt:i4>
      </vt:variant>
    </vt:vector>
  </HeadingPairs>
  <TitlesOfParts>
    <vt:vector size="4" baseType="lpstr">
      <vt:lpstr>サマリ</vt:lpstr>
      <vt:lpstr>障害一覧</vt:lpstr>
      <vt:lpstr>親課題リスト</vt:lpstr>
      <vt:lpstr>設定</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白石 一郎</dc:creator>
  <cp:lastModifiedBy>木部</cp:lastModifiedBy>
  <dcterms:created xsi:type="dcterms:W3CDTF">2015-06-05T18:19:34Z</dcterms:created>
  <dcterms:modified xsi:type="dcterms:W3CDTF">2021-01-13T10:59:02Z</dcterms:modified>
</cp:coreProperties>
</file>