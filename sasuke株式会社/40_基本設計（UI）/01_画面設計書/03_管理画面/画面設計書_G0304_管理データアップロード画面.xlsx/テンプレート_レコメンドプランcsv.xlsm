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GoogleDrive/共有ドライブ/はなさく案件【外部連携】/71_連携資料/from Sasuke社/40_基本設計（UI）/01_画面設計書/Webダイレクト管理画面機能/画面設計書_G0304_管理データアップロード画面/"/>
    </mc:Choice>
  </mc:AlternateContent>
  <xr:revisionPtr revIDLastSave="0" documentId="13_ncr:1_{1BECEB13-6FF4-7740-B654-358629DB1AF7}" xr6:coauthVersionLast="46" xr6:coauthVersionMax="46" xr10:uidLastSave="{00000000-0000-0000-0000-000000000000}"/>
  <bookViews>
    <workbookView xWindow="42580" yWindow="460" windowWidth="35820" windowHeight="19820" activeTab="1" xr2:uid="{00000000-000D-0000-FFFF-FFFF00000000}"/>
  </bookViews>
  <sheets>
    <sheet name="作成手順" sheetId="16" r:id="rId1"/>
    <sheet name="テンプレート" sheetId="17" r:id="rId2"/>
    <sheet name="Sheet1" sheetId="18" r:id="rId3"/>
    <sheet name="設定値" sheetId="12" r:id="rId4"/>
    <sheet name="____整理資料" sheetId="19" r:id="rId5"/>
    <sheet name="テーブル編集仕様書" sheetId="7" state="hidden" r:id="rId6"/>
  </sheets>
  <definedNames>
    <definedName name="_03A003_0">設定値!$F$10:$F$19</definedName>
    <definedName name="_03A003_1">設定値!$F$6</definedName>
    <definedName name="_31A005_0">設定値!$B$10:$B$19</definedName>
    <definedName name="_31A005_1">設定値!$B$6</definedName>
    <definedName name="_31C003_0">設定値!$D$10:$D$19</definedName>
    <definedName name="_31C003_1">設定値!$D$6</definedName>
    <definedName name="_31D002_0">設定値!$E$10:$E$19</definedName>
    <definedName name="_31D002_1">設定値!$E$6</definedName>
    <definedName name="_31E002_0">設定値!$C$10:$C$19</definedName>
    <definedName name="_31E002_1">設定値!$C$6</definedName>
    <definedName name="_xlnm._FilterDatabase" localSheetId="1" hidden="1">テンプレート!$D$2:$D$2</definedName>
    <definedName name="_xlnm._FilterDatabase" localSheetId="0" hidden="1">作成手順!$D$2:$D$2</definedName>
    <definedName name="addition">設定値!$B$90:$B$108</definedName>
    <definedName name="additionType">設定値!$B$90:$B$108</definedName>
    <definedName name="AS2DocOpenMode" hidden="1">"AS2DocumentEdit"</definedName>
    <definedName name="benefit">設定値!$C$90:$C$108</definedName>
    <definedName name="benefitFirstPayConvCls">設定値!$L$90:$L$108</definedName>
    <definedName name="benefitPayConvCls">設定値!$I$90:$I$108</definedName>
    <definedName name="diseaseCoverageType">設定値!$K$90:$K$108</definedName>
    <definedName name="disHsptUnlmtDaysSpPrv">設定値!$J$90:$J$108</definedName>
    <definedName name="freeOfPremiumRiderCls">設定値!$N$90:$N$108</definedName>
    <definedName name="freeOfPRiderFlg">設定値!$M$90:$M$108</definedName>
    <definedName name="hosCovPayLimitClass">設定値!$H$90:$H$108</definedName>
    <definedName name="insurancePeriod">設定値!$E$90:$E$108</definedName>
    <definedName name="insurancePeriodClass">設定値!$D$90:$D$108</definedName>
    <definedName name="paymentPeriod">設定値!$G$90:$G$108</definedName>
    <definedName name="paymentPeriodClass">設定値!$F$90:$F$108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6" i="17" l="1"/>
  <c r="S26" i="17"/>
  <c r="Q26" i="17"/>
  <c r="U17" i="17"/>
  <c r="S17" i="17"/>
  <c r="Q17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2" i="17"/>
  <c r="AE3" i="17"/>
  <c r="AE4" i="17"/>
  <c r="AE5" i="17"/>
  <c r="AE6" i="17"/>
  <c r="AE7" i="17"/>
  <c r="AE8" i="17"/>
  <c r="AE9" i="17"/>
  <c r="AE10" i="17"/>
  <c r="AE11" i="17"/>
  <c r="AE12" i="17"/>
  <c r="AE13" i="17"/>
  <c r="AE14" i="17"/>
  <c r="AE15" i="17"/>
  <c r="AE16" i="17"/>
  <c r="AE17" i="17"/>
  <c r="AE18" i="17"/>
  <c r="AE19" i="17"/>
  <c r="AE20" i="17"/>
  <c r="AE21" i="17"/>
  <c r="AE22" i="17"/>
  <c r="AE23" i="17"/>
  <c r="AE24" i="17"/>
  <c r="AE25" i="17"/>
  <c r="AE26" i="17"/>
  <c r="AE27" i="17"/>
  <c r="AE28" i="17"/>
  <c r="AE29" i="17"/>
  <c r="AE30" i="17"/>
  <c r="AE31" i="17"/>
  <c r="AE32" i="17"/>
  <c r="AE33" i="17"/>
  <c r="AE34" i="17"/>
  <c r="AE35" i="17"/>
  <c r="AE36" i="17"/>
  <c r="AE37" i="17"/>
  <c r="AE38" i="17"/>
  <c r="AE39" i="17"/>
  <c r="AE40" i="17"/>
  <c r="AE41" i="17"/>
  <c r="AE42" i="17"/>
  <c r="AE43" i="17"/>
  <c r="AE44" i="17"/>
  <c r="AE45" i="17"/>
  <c r="AE46" i="17"/>
  <c r="AE47" i="17"/>
  <c r="AE48" i="17"/>
  <c r="AE49" i="17"/>
  <c r="AE50" i="17"/>
  <c r="AE51" i="17"/>
  <c r="AE52" i="17"/>
  <c r="AE53" i="17"/>
  <c r="AE54" i="17"/>
  <c r="AE55" i="17"/>
  <c r="AE56" i="17"/>
  <c r="AE57" i="17"/>
  <c r="AE58" i="17"/>
  <c r="AE59" i="17"/>
  <c r="AE60" i="17"/>
  <c r="AE61" i="17"/>
  <c r="AE62" i="17"/>
  <c r="AE63" i="17"/>
  <c r="AE64" i="17"/>
  <c r="AE65" i="17"/>
  <c r="AE66" i="17"/>
  <c r="AE67" i="17"/>
  <c r="AE68" i="17"/>
  <c r="AE69" i="17"/>
  <c r="AE70" i="17"/>
  <c r="AE71" i="17"/>
  <c r="AE72" i="17"/>
  <c r="AE73" i="17"/>
  <c r="AE74" i="17"/>
  <c r="AE75" i="17"/>
  <c r="AE76" i="17"/>
  <c r="AE77" i="17"/>
  <c r="AE78" i="17"/>
  <c r="AE79" i="17"/>
  <c r="AE80" i="17"/>
  <c r="AE81" i="17"/>
  <c r="AE82" i="17"/>
  <c r="AE83" i="17"/>
  <c r="AE84" i="17"/>
  <c r="AE85" i="17"/>
  <c r="AE86" i="17"/>
  <c r="AE87" i="17"/>
  <c r="AE88" i="17"/>
  <c r="AE89" i="17"/>
  <c r="AE90" i="17"/>
  <c r="AE91" i="17"/>
  <c r="AE92" i="17"/>
  <c r="AE93" i="17"/>
  <c r="AE94" i="17"/>
  <c r="AE95" i="17"/>
  <c r="AE96" i="17"/>
  <c r="AE97" i="17"/>
  <c r="AE98" i="17"/>
  <c r="AE99" i="17"/>
  <c r="AE100" i="17"/>
  <c r="AE101" i="17"/>
  <c r="AE102" i="17"/>
  <c r="AE103" i="17"/>
  <c r="AE104" i="17"/>
  <c r="AE105" i="17"/>
  <c r="AE106" i="17"/>
  <c r="AE107" i="17"/>
  <c r="AE108" i="17"/>
  <c r="AE109" i="17"/>
  <c r="AE110" i="17"/>
  <c r="AE111" i="17"/>
  <c r="AE112" i="17"/>
  <c r="AE113" i="17"/>
  <c r="AE114" i="17"/>
  <c r="AE115" i="17"/>
  <c r="AE116" i="17"/>
  <c r="AE117" i="17"/>
  <c r="AE118" i="17"/>
  <c r="AE119" i="17"/>
  <c r="AE120" i="17"/>
  <c r="AE121" i="17"/>
  <c r="AE122" i="17"/>
  <c r="AE123" i="17"/>
  <c r="AE124" i="17"/>
  <c r="AE125" i="17"/>
  <c r="AE126" i="17"/>
  <c r="AE127" i="17"/>
  <c r="AE128" i="17"/>
  <c r="AE129" i="17"/>
  <c r="AE130" i="17"/>
  <c r="AE131" i="17"/>
  <c r="AE132" i="17"/>
  <c r="AE133" i="17"/>
  <c r="AE134" i="17"/>
  <c r="AE135" i="17"/>
  <c r="AE136" i="17"/>
  <c r="AE137" i="17"/>
  <c r="AE138" i="17"/>
  <c r="AE139" i="17"/>
  <c r="AE140" i="17"/>
  <c r="AE141" i="17"/>
  <c r="AE142" i="17"/>
  <c r="AE143" i="17"/>
  <c r="AE144" i="17"/>
  <c r="AE145" i="17"/>
  <c r="AE146" i="17"/>
  <c r="AE147" i="17"/>
  <c r="AE148" i="17"/>
  <c r="AE149" i="17"/>
  <c r="AE150" i="17"/>
  <c r="AE151" i="17"/>
  <c r="AE152" i="17"/>
  <c r="AE153" i="17"/>
  <c r="AE154" i="17"/>
  <c r="AE155" i="17"/>
  <c r="AE156" i="17"/>
  <c r="AE157" i="17"/>
  <c r="AE158" i="17"/>
  <c r="AE159" i="17"/>
  <c r="AE160" i="17"/>
  <c r="AE161" i="17"/>
  <c r="AE162" i="17"/>
  <c r="AE163" i="17"/>
  <c r="AE164" i="17"/>
  <c r="AE165" i="17"/>
  <c r="AE166" i="17"/>
  <c r="AE167" i="17"/>
  <c r="AE168" i="17"/>
  <c r="AE169" i="17"/>
  <c r="AE170" i="17"/>
  <c r="AE171" i="17"/>
  <c r="AE172" i="17"/>
  <c r="AE173" i="17"/>
  <c r="AE174" i="17"/>
  <c r="AE175" i="17"/>
  <c r="AE176" i="17"/>
  <c r="AE177" i="17"/>
  <c r="AE178" i="17"/>
  <c r="AE2" i="17"/>
  <c r="AC3" i="17"/>
  <c r="AC4" i="17"/>
  <c r="AC5" i="17"/>
  <c r="AC6" i="17"/>
  <c r="AC7" i="17"/>
  <c r="AC8" i="17"/>
  <c r="AC9" i="17"/>
  <c r="AC10" i="17"/>
  <c r="AC11" i="17"/>
  <c r="AC12" i="17"/>
  <c r="AC13" i="17"/>
  <c r="AC14" i="17"/>
  <c r="AC15" i="17"/>
  <c r="AC16" i="17"/>
  <c r="AC17" i="17"/>
  <c r="AC18" i="17"/>
  <c r="AC19" i="17"/>
  <c r="AC20" i="17"/>
  <c r="AC21" i="17"/>
  <c r="AC22" i="17"/>
  <c r="AC23" i="17"/>
  <c r="AC24" i="17"/>
  <c r="AC25" i="17"/>
  <c r="AC26" i="17"/>
  <c r="AC27" i="17"/>
  <c r="AC28" i="17"/>
  <c r="AC29" i="17"/>
  <c r="AC30" i="17"/>
  <c r="AC31" i="17"/>
  <c r="AC32" i="17"/>
  <c r="AC33" i="17"/>
  <c r="AC34" i="17"/>
  <c r="AC35" i="17"/>
  <c r="AC36" i="17"/>
  <c r="AC37" i="17"/>
  <c r="AC38" i="17"/>
  <c r="AC39" i="17"/>
  <c r="AC40" i="17"/>
  <c r="AC41" i="17"/>
  <c r="AC42" i="17"/>
  <c r="AC43" i="17"/>
  <c r="AC44" i="17"/>
  <c r="AC45" i="17"/>
  <c r="AC46" i="17"/>
  <c r="AC47" i="17"/>
  <c r="AC48" i="17"/>
  <c r="AC49" i="17"/>
  <c r="AC50" i="17"/>
  <c r="AC51" i="17"/>
  <c r="AC52" i="17"/>
  <c r="AC53" i="17"/>
  <c r="AC54" i="17"/>
  <c r="AC55" i="17"/>
  <c r="AC56" i="17"/>
  <c r="AC57" i="17"/>
  <c r="AC58" i="17"/>
  <c r="AC59" i="17"/>
  <c r="AC60" i="17"/>
  <c r="AC61" i="17"/>
  <c r="AC62" i="17"/>
  <c r="AC63" i="17"/>
  <c r="AC64" i="17"/>
  <c r="AC65" i="17"/>
  <c r="AC66" i="17"/>
  <c r="AC67" i="17"/>
  <c r="AC68" i="17"/>
  <c r="AC69" i="17"/>
  <c r="AC70" i="17"/>
  <c r="AC71" i="17"/>
  <c r="AC72" i="17"/>
  <c r="AC73" i="17"/>
  <c r="AC74" i="17"/>
  <c r="AC75" i="17"/>
  <c r="AC76" i="17"/>
  <c r="AC77" i="17"/>
  <c r="AC78" i="17"/>
  <c r="AC79" i="17"/>
  <c r="AC80" i="17"/>
  <c r="AC81" i="17"/>
  <c r="AC82" i="17"/>
  <c r="AC83" i="17"/>
  <c r="AC84" i="17"/>
  <c r="AC85" i="17"/>
  <c r="AC86" i="17"/>
  <c r="AC87" i="17"/>
  <c r="AC88" i="17"/>
  <c r="AC89" i="17"/>
  <c r="AC90" i="17"/>
  <c r="AC91" i="17"/>
  <c r="AC92" i="17"/>
  <c r="AC93" i="17"/>
  <c r="AC94" i="17"/>
  <c r="AC95" i="17"/>
  <c r="AC96" i="17"/>
  <c r="AC97" i="17"/>
  <c r="AC98" i="17"/>
  <c r="AC99" i="17"/>
  <c r="AC100" i="17"/>
  <c r="AC101" i="17"/>
  <c r="AC102" i="17"/>
  <c r="AC103" i="17"/>
  <c r="AC104" i="17"/>
  <c r="AC105" i="17"/>
  <c r="AC106" i="17"/>
  <c r="AC107" i="17"/>
  <c r="AC108" i="17"/>
  <c r="AC109" i="17"/>
  <c r="AC110" i="17"/>
  <c r="AC111" i="17"/>
  <c r="AC112" i="17"/>
  <c r="AC113" i="17"/>
  <c r="AC114" i="17"/>
  <c r="AC115" i="17"/>
  <c r="AC116" i="17"/>
  <c r="AC117" i="17"/>
  <c r="AC118" i="17"/>
  <c r="AC119" i="17"/>
  <c r="AC120" i="17"/>
  <c r="AC121" i="17"/>
  <c r="AC122" i="17"/>
  <c r="AC123" i="17"/>
  <c r="AC124" i="17"/>
  <c r="AC125" i="17"/>
  <c r="AC126" i="17"/>
  <c r="AC127" i="17"/>
  <c r="AC128" i="17"/>
  <c r="AC129" i="17"/>
  <c r="AC130" i="17"/>
  <c r="AC131" i="17"/>
  <c r="AC132" i="17"/>
  <c r="AC133" i="17"/>
  <c r="AC134" i="17"/>
  <c r="AC135" i="17"/>
  <c r="AC136" i="17"/>
  <c r="AC137" i="17"/>
  <c r="AC138" i="17"/>
  <c r="AC139" i="17"/>
  <c r="AC140" i="17"/>
  <c r="AC141" i="17"/>
  <c r="AC142" i="17"/>
  <c r="AC143" i="17"/>
  <c r="AC144" i="17"/>
  <c r="AC145" i="17"/>
  <c r="AC146" i="17"/>
  <c r="AC147" i="17"/>
  <c r="AC148" i="17"/>
  <c r="AC149" i="17"/>
  <c r="AC150" i="17"/>
  <c r="AC151" i="17"/>
  <c r="AC152" i="17"/>
  <c r="AC153" i="17"/>
  <c r="AC154" i="17"/>
  <c r="AC155" i="17"/>
  <c r="AC156" i="17"/>
  <c r="AC157" i="17"/>
  <c r="AC158" i="17"/>
  <c r="AC159" i="17"/>
  <c r="AC160" i="17"/>
  <c r="AC161" i="17"/>
  <c r="AC162" i="17"/>
  <c r="AC163" i="17"/>
  <c r="AC164" i="17"/>
  <c r="AC165" i="17"/>
  <c r="AC166" i="17"/>
  <c r="AC167" i="17"/>
  <c r="AC168" i="17"/>
  <c r="AC169" i="17"/>
  <c r="AC170" i="17"/>
  <c r="AC171" i="17"/>
  <c r="AC172" i="17"/>
  <c r="AC173" i="17"/>
  <c r="AC174" i="17"/>
  <c r="AC175" i="17"/>
  <c r="AC176" i="17"/>
  <c r="AC177" i="17"/>
  <c r="AC178" i="17"/>
  <c r="AC2" i="17"/>
  <c r="AA3" i="17"/>
  <c r="AA4" i="17"/>
  <c r="AA5" i="17"/>
  <c r="AA6" i="17"/>
  <c r="AA7" i="17"/>
  <c r="AA8" i="17"/>
  <c r="AA9" i="17"/>
  <c r="AA10" i="17"/>
  <c r="AA11" i="17"/>
  <c r="AA12" i="17"/>
  <c r="AA13" i="17"/>
  <c r="AA14" i="17"/>
  <c r="AA15" i="17"/>
  <c r="AA16" i="17"/>
  <c r="AA17" i="17"/>
  <c r="AA18" i="17"/>
  <c r="AA19" i="17"/>
  <c r="AA20" i="17"/>
  <c r="AA21" i="17"/>
  <c r="AA22" i="17"/>
  <c r="AA23" i="17"/>
  <c r="AA24" i="17"/>
  <c r="AA25" i="17"/>
  <c r="AA26" i="17"/>
  <c r="AA27" i="17"/>
  <c r="AA28" i="17"/>
  <c r="AA29" i="17"/>
  <c r="AA30" i="17"/>
  <c r="AA31" i="17"/>
  <c r="AA32" i="17"/>
  <c r="AA33" i="17"/>
  <c r="AA34" i="17"/>
  <c r="AA35" i="17"/>
  <c r="AA36" i="17"/>
  <c r="AA37" i="17"/>
  <c r="AA38" i="17"/>
  <c r="AA39" i="17"/>
  <c r="AA40" i="17"/>
  <c r="AA41" i="17"/>
  <c r="AA42" i="17"/>
  <c r="AA43" i="17"/>
  <c r="AA44" i="17"/>
  <c r="AA45" i="17"/>
  <c r="AA46" i="17"/>
  <c r="AA47" i="17"/>
  <c r="AA48" i="17"/>
  <c r="AA49" i="17"/>
  <c r="AA50" i="17"/>
  <c r="AA51" i="17"/>
  <c r="AA52" i="17"/>
  <c r="AA53" i="17"/>
  <c r="AA54" i="17"/>
  <c r="AA55" i="17"/>
  <c r="AA56" i="17"/>
  <c r="AA57" i="17"/>
  <c r="AA58" i="17"/>
  <c r="AA59" i="17"/>
  <c r="AA60" i="17"/>
  <c r="AA61" i="17"/>
  <c r="AA62" i="17"/>
  <c r="AA63" i="17"/>
  <c r="AA64" i="17"/>
  <c r="AA65" i="17"/>
  <c r="AA66" i="17"/>
  <c r="AA67" i="17"/>
  <c r="AA68" i="17"/>
  <c r="AA69" i="17"/>
  <c r="AA70" i="17"/>
  <c r="AA71" i="17"/>
  <c r="AA72" i="17"/>
  <c r="AA73" i="17"/>
  <c r="AA74" i="17"/>
  <c r="AA75" i="17"/>
  <c r="AA76" i="17"/>
  <c r="AA77" i="17"/>
  <c r="AA78" i="17"/>
  <c r="AA79" i="17"/>
  <c r="AA80" i="17"/>
  <c r="AA81" i="17"/>
  <c r="AA82" i="17"/>
  <c r="AA83" i="17"/>
  <c r="AA84" i="17"/>
  <c r="AA85" i="17"/>
  <c r="AA86" i="17"/>
  <c r="AA87" i="17"/>
  <c r="AA88" i="17"/>
  <c r="AA89" i="17"/>
  <c r="AA90" i="17"/>
  <c r="AA91" i="17"/>
  <c r="AA92" i="17"/>
  <c r="AA93" i="17"/>
  <c r="AA94" i="17"/>
  <c r="AA95" i="17"/>
  <c r="AA96" i="17"/>
  <c r="AA97" i="17"/>
  <c r="AA98" i="17"/>
  <c r="AA99" i="17"/>
  <c r="AA100" i="17"/>
  <c r="AA101" i="17"/>
  <c r="AA102" i="17"/>
  <c r="AA103" i="17"/>
  <c r="AA104" i="17"/>
  <c r="AA105" i="17"/>
  <c r="AA106" i="17"/>
  <c r="AA107" i="17"/>
  <c r="AA108" i="17"/>
  <c r="AA109" i="17"/>
  <c r="AA110" i="17"/>
  <c r="AA111" i="17"/>
  <c r="AA112" i="17"/>
  <c r="AA113" i="17"/>
  <c r="AA114" i="17"/>
  <c r="AA115" i="17"/>
  <c r="AA116" i="17"/>
  <c r="AA117" i="17"/>
  <c r="AA118" i="17"/>
  <c r="AA119" i="17"/>
  <c r="AA120" i="17"/>
  <c r="AA121" i="17"/>
  <c r="AA122" i="17"/>
  <c r="AA123" i="17"/>
  <c r="AA124" i="17"/>
  <c r="AA125" i="17"/>
  <c r="AA126" i="17"/>
  <c r="AA127" i="17"/>
  <c r="AA128" i="17"/>
  <c r="AA129" i="17"/>
  <c r="AA130" i="17"/>
  <c r="AA131" i="17"/>
  <c r="AA132" i="17"/>
  <c r="AA133" i="17"/>
  <c r="AA134" i="17"/>
  <c r="AA135" i="17"/>
  <c r="AA136" i="17"/>
  <c r="AA137" i="17"/>
  <c r="AA138" i="17"/>
  <c r="AA139" i="17"/>
  <c r="AA140" i="17"/>
  <c r="AA141" i="17"/>
  <c r="AA142" i="17"/>
  <c r="AA143" i="17"/>
  <c r="AA144" i="17"/>
  <c r="AA145" i="17"/>
  <c r="AA146" i="17"/>
  <c r="AA147" i="17"/>
  <c r="AA148" i="17"/>
  <c r="AA149" i="17"/>
  <c r="AA150" i="17"/>
  <c r="AA151" i="17"/>
  <c r="AA152" i="17"/>
  <c r="AA153" i="17"/>
  <c r="AA154" i="17"/>
  <c r="AA155" i="17"/>
  <c r="AA156" i="17"/>
  <c r="AA157" i="17"/>
  <c r="AA158" i="17"/>
  <c r="AA159" i="17"/>
  <c r="AA160" i="17"/>
  <c r="AA161" i="17"/>
  <c r="AA162" i="17"/>
  <c r="AA163" i="17"/>
  <c r="AA164" i="17"/>
  <c r="AA165" i="17"/>
  <c r="AA166" i="17"/>
  <c r="AA167" i="17"/>
  <c r="AA168" i="17"/>
  <c r="AA169" i="17"/>
  <c r="AA170" i="17"/>
  <c r="AA171" i="17"/>
  <c r="AA172" i="17"/>
  <c r="AA173" i="17"/>
  <c r="AA174" i="17"/>
  <c r="AA175" i="17"/>
  <c r="AA176" i="17"/>
  <c r="AA177" i="17"/>
  <c r="AA178" i="17"/>
  <c r="AA2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Y34" i="17"/>
  <c r="Y35" i="17"/>
  <c r="Y36" i="17"/>
  <c r="Y37" i="17"/>
  <c r="Y38" i="17"/>
  <c r="Y39" i="17"/>
  <c r="Y40" i="17"/>
  <c r="Y41" i="17"/>
  <c r="Y42" i="17"/>
  <c r="Y43" i="17"/>
  <c r="Y44" i="17"/>
  <c r="Y45" i="17"/>
  <c r="Y46" i="17"/>
  <c r="Y47" i="17"/>
  <c r="Y48" i="17"/>
  <c r="Y49" i="17"/>
  <c r="Y50" i="17"/>
  <c r="Y51" i="17"/>
  <c r="Y52" i="17"/>
  <c r="Y53" i="17"/>
  <c r="Y54" i="17"/>
  <c r="Y55" i="17"/>
  <c r="Y56" i="17"/>
  <c r="Y57" i="17"/>
  <c r="Y58" i="17"/>
  <c r="Y59" i="17"/>
  <c r="Y60" i="17"/>
  <c r="Y61" i="17"/>
  <c r="Y62" i="17"/>
  <c r="Y63" i="17"/>
  <c r="Y64" i="17"/>
  <c r="Y65" i="17"/>
  <c r="Y66" i="17"/>
  <c r="Y67" i="17"/>
  <c r="Y68" i="17"/>
  <c r="Y69" i="17"/>
  <c r="Y70" i="17"/>
  <c r="Y71" i="17"/>
  <c r="Y72" i="17"/>
  <c r="Y73" i="17"/>
  <c r="Y74" i="17"/>
  <c r="Y75" i="17"/>
  <c r="Y76" i="17"/>
  <c r="Y77" i="17"/>
  <c r="Y78" i="17"/>
  <c r="Y79" i="17"/>
  <c r="Y80" i="17"/>
  <c r="Y81" i="17"/>
  <c r="Y82" i="17"/>
  <c r="Y83" i="17"/>
  <c r="Y84" i="17"/>
  <c r="Y85" i="17"/>
  <c r="Y86" i="17"/>
  <c r="Y87" i="17"/>
  <c r="Y88" i="17"/>
  <c r="Y89" i="17"/>
  <c r="Y90" i="17"/>
  <c r="Y91" i="17"/>
  <c r="Y92" i="17"/>
  <c r="Y93" i="17"/>
  <c r="Y94" i="17"/>
  <c r="Y95" i="17"/>
  <c r="Y96" i="17"/>
  <c r="Y97" i="17"/>
  <c r="Y98" i="17"/>
  <c r="Y99" i="17"/>
  <c r="Y100" i="17"/>
  <c r="Y101" i="17"/>
  <c r="Y102" i="17"/>
  <c r="Y103" i="17"/>
  <c r="Y104" i="17"/>
  <c r="Y105" i="17"/>
  <c r="Y106" i="17"/>
  <c r="Y107" i="17"/>
  <c r="Y108" i="17"/>
  <c r="Y109" i="17"/>
  <c r="Y110" i="17"/>
  <c r="Y111" i="17"/>
  <c r="Y112" i="17"/>
  <c r="Y113" i="17"/>
  <c r="Y114" i="17"/>
  <c r="Y115" i="17"/>
  <c r="Y116" i="17"/>
  <c r="Y117" i="17"/>
  <c r="Y118" i="17"/>
  <c r="Y119" i="17"/>
  <c r="Y120" i="17"/>
  <c r="Y121" i="17"/>
  <c r="Y122" i="17"/>
  <c r="Y123" i="17"/>
  <c r="Y124" i="17"/>
  <c r="Y125" i="17"/>
  <c r="Y126" i="17"/>
  <c r="Y127" i="17"/>
  <c r="Y128" i="17"/>
  <c r="Y129" i="17"/>
  <c r="Y130" i="17"/>
  <c r="Y131" i="17"/>
  <c r="Y132" i="17"/>
  <c r="Y133" i="17"/>
  <c r="Y134" i="17"/>
  <c r="Y135" i="17"/>
  <c r="Y136" i="17"/>
  <c r="Y137" i="17"/>
  <c r="Y138" i="17"/>
  <c r="Y139" i="17"/>
  <c r="Y140" i="17"/>
  <c r="Y141" i="17"/>
  <c r="Y142" i="17"/>
  <c r="Y143" i="17"/>
  <c r="Y144" i="17"/>
  <c r="Y145" i="17"/>
  <c r="Y146" i="17"/>
  <c r="Y147" i="17"/>
  <c r="Y148" i="17"/>
  <c r="Y149" i="17"/>
  <c r="Y150" i="17"/>
  <c r="Y151" i="17"/>
  <c r="Y152" i="17"/>
  <c r="Y153" i="17"/>
  <c r="Y154" i="17"/>
  <c r="Y155" i="17"/>
  <c r="Y156" i="17"/>
  <c r="Y157" i="17"/>
  <c r="Y158" i="17"/>
  <c r="Y159" i="17"/>
  <c r="Y160" i="17"/>
  <c r="Y161" i="17"/>
  <c r="Y162" i="17"/>
  <c r="Y163" i="17"/>
  <c r="Y164" i="17"/>
  <c r="Y165" i="17"/>
  <c r="Y166" i="17"/>
  <c r="Y167" i="17"/>
  <c r="Y168" i="17"/>
  <c r="Y169" i="17"/>
  <c r="Y170" i="17"/>
  <c r="Y171" i="17"/>
  <c r="Y172" i="17"/>
  <c r="Y173" i="17"/>
  <c r="Y174" i="17"/>
  <c r="Y175" i="17"/>
  <c r="Y176" i="17"/>
  <c r="Y177" i="17"/>
  <c r="Y178" i="17"/>
  <c r="Y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W43" i="17"/>
  <c r="W44" i="17"/>
  <c r="W45" i="17"/>
  <c r="W46" i="17"/>
  <c r="W47" i="17"/>
  <c r="W48" i="17"/>
  <c r="W49" i="17"/>
  <c r="W50" i="17"/>
  <c r="W51" i="17"/>
  <c r="W52" i="17"/>
  <c r="W53" i="17"/>
  <c r="W54" i="17"/>
  <c r="W55" i="17"/>
  <c r="W56" i="17"/>
  <c r="W57" i="17"/>
  <c r="W58" i="17"/>
  <c r="W59" i="17"/>
  <c r="W60" i="17"/>
  <c r="W61" i="17"/>
  <c r="W62" i="17"/>
  <c r="W63" i="17"/>
  <c r="W64" i="17"/>
  <c r="W65" i="17"/>
  <c r="W66" i="17"/>
  <c r="W67" i="17"/>
  <c r="W68" i="17"/>
  <c r="W69" i="17"/>
  <c r="W70" i="17"/>
  <c r="W71" i="17"/>
  <c r="W72" i="17"/>
  <c r="W73" i="17"/>
  <c r="W74" i="17"/>
  <c r="W75" i="17"/>
  <c r="W76" i="17"/>
  <c r="W77" i="17"/>
  <c r="W78" i="17"/>
  <c r="W79" i="17"/>
  <c r="W80" i="17"/>
  <c r="W81" i="17"/>
  <c r="W82" i="17"/>
  <c r="W83" i="17"/>
  <c r="W84" i="17"/>
  <c r="W85" i="17"/>
  <c r="W86" i="17"/>
  <c r="W87" i="17"/>
  <c r="W88" i="17"/>
  <c r="W89" i="17"/>
  <c r="W90" i="17"/>
  <c r="W91" i="17"/>
  <c r="W92" i="17"/>
  <c r="W93" i="17"/>
  <c r="W94" i="17"/>
  <c r="W95" i="17"/>
  <c r="W96" i="17"/>
  <c r="W97" i="17"/>
  <c r="W98" i="17"/>
  <c r="W99" i="17"/>
  <c r="W100" i="17"/>
  <c r="W101" i="17"/>
  <c r="W102" i="17"/>
  <c r="W103" i="17"/>
  <c r="W104" i="17"/>
  <c r="W105" i="17"/>
  <c r="W106" i="17"/>
  <c r="W107" i="17"/>
  <c r="W108" i="17"/>
  <c r="W109" i="17"/>
  <c r="W110" i="17"/>
  <c r="W111" i="17"/>
  <c r="W112" i="17"/>
  <c r="W113" i="17"/>
  <c r="W114" i="17"/>
  <c r="W115" i="17"/>
  <c r="W116" i="17"/>
  <c r="W117" i="17"/>
  <c r="W118" i="17"/>
  <c r="W119" i="17"/>
  <c r="W120" i="17"/>
  <c r="W121" i="17"/>
  <c r="W122" i="17"/>
  <c r="W123" i="17"/>
  <c r="W124" i="17"/>
  <c r="W125" i="17"/>
  <c r="W126" i="17"/>
  <c r="W127" i="17"/>
  <c r="W128" i="17"/>
  <c r="W129" i="17"/>
  <c r="W130" i="17"/>
  <c r="W131" i="17"/>
  <c r="W132" i="17"/>
  <c r="W133" i="17"/>
  <c r="W134" i="17"/>
  <c r="W135" i="17"/>
  <c r="W136" i="17"/>
  <c r="W137" i="17"/>
  <c r="W138" i="17"/>
  <c r="W139" i="17"/>
  <c r="W140" i="17"/>
  <c r="W141" i="17"/>
  <c r="W142" i="17"/>
  <c r="W143" i="17"/>
  <c r="W144" i="17"/>
  <c r="W145" i="17"/>
  <c r="W146" i="17"/>
  <c r="W147" i="17"/>
  <c r="W148" i="17"/>
  <c r="W149" i="17"/>
  <c r="W150" i="17"/>
  <c r="W151" i="17"/>
  <c r="W152" i="17"/>
  <c r="W153" i="17"/>
  <c r="W154" i="17"/>
  <c r="W155" i="17"/>
  <c r="W156" i="17"/>
  <c r="W157" i="17"/>
  <c r="W158" i="17"/>
  <c r="W159" i="17"/>
  <c r="W160" i="17"/>
  <c r="W161" i="17"/>
  <c r="W162" i="17"/>
  <c r="W163" i="17"/>
  <c r="W164" i="17"/>
  <c r="W165" i="17"/>
  <c r="W166" i="17"/>
  <c r="W167" i="17"/>
  <c r="W168" i="17"/>
  <c r="W169" i="17"/>
  <c r="W170" i="17"/>
  <c r="W171" i="17"/>
  <c r="W172" i="17"/>
  <c r="W173" i="17"/>
  <c r="W174" i="17"/>
  <c r="W175" i="17"/>
  <c r="W176" i="17"/>
  <c r="W177" i="17"/>
  <c r="W178" i="17"/>
  <c r="W2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8" i="17"/>
  <c r="U19" i="17"/>
  <c r="U20" i="17"/>
  <c r="U21" i="17"/>
  <c r="U22" i="17"/>
  <c r="U23" i="17"/>
  <c r="U24" i="17"/>
  <c r="U25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59" i="17"/>
  <c r="U60" i="17"/>
  <c r="U61" i="17"/>
  <c r="U62" i="17"/>
  <c r="U63" i="17"/>
  <c r="U64" i="17"/>
  <c r="U65" i="17"/>
  <c r="U66" i="17"/>
  <c r="U67" i="17"/>
  <c r="U68" i="17"/>
  <c r="U69" i="17"/>
  <c r="U70" i="17"/>
  <c r="U71" i="17"/>
  <c r="U72" i="17"/>
  <c r="U73" i="17"/>
  <c r="U74" i="17"/>
  <c r="U75" i="17"/>
  <c r="U76" i="17"/>
  <c r="U77" i="17"/>
  <c r="U78" i="17"/>
  <c r="U79" i="17"/>
  <c r="U80" i="17"/>
  <c r="U81" i="17"/>
  <c r="U82" i="17"/>
  <c r="U83" i="17"/>
  <c r="U84" i="17"/>
  <c r="U85" i="17"/>
  <c r="U86" i="17"/>
  <c r="U87" i="17"/>
  <c r="U88" i="17"/>
  <c r="U89" i="17"/>
  <c r="U90" i="17"/>
  <c r="U91" i="17"/>
  <c r="U92" i="17"/>
  <c r="U93" i="17"/>
  <c r="U94" i="17"/>
  <c r="U95" i="17"/>
  <c r="U96" i="17"/>
  <c r="U97" i="17"/>
  <c r="U98" i="17"/>
  <c r="U99" i="17"/>
  <c r="U100" i="17"/>
  <c r="U101" i="17"/>
  <c r="U102" i="17"/>
  <c r="U103" i="17"/>
  <c r="U104" i="17"/>
  <c r="U105" i="17"/>
  <c r="U106" i="17"/>
  <c r="U107" i="17"/>
  <c r="U108" i="17"/>
  <c r="U109" i="17"/>
  <c r="U110" i="17"/>
  <c r="U111" i="17"/>
  <c r="U112" i="17"/>
  <c r="U113" i="17"/>
  <c r="U114" i="17"/>
  <c r="U115" i="17"/>
  <c r="U116" i="17"/>
  <c r="U117" i="17"/>
  <c r="U118" i="17"/>
  <c r="U119" i="17"/>
  <c r="U120" i="17"/>
  <c r="U121" i="17"/>
  <c r="U122" i="17"/>
  <c r="U123" i="17"/>
  <c r="U124" i="17"/>
  <c r="U125" i="17"/>
  <c r="U126" i="17"/>
  <c r="U127" i="17"/>
  <c r="U128" i="17"/>
  <c r="U129" i="17"/>
  <c r="U130" i="17"/>
  <c r="U131" i="17"/>
  <c r="U132" i="17"/>
  <c r="U133" i="17"/>
  <c r="U134" i="17"/>
  <c r="U135" i="17"/>
  <c r="U136" i="17"/>
  <c r="U137" i="17"/>
  <c r="U138" i="17"/>
  <c r="U139" i="17"/>
  <c r="U140" i="17"/>
  <c r="U141" i="17"/>
  <c r="U142" i="17"/>
  <c r="U143" i="17"/>
  <c r="U144" i="17"/>
  <c r="U145" i="17"/>
  <c r="U146" i="17"/>
  <c r="U147" i="17"/>
  <c r="U148" i="17"/>
  <c r="U149" i="17"/>
  <c r="U150" i="17"/>
  <c r="U151" i="17"/>
  <c r="U152" i="17"/>
  <c r="U153" i="17"/>
  <c r="U154" i="17"/>
  <c r="U155" i="17"/>
  <c r="U156" i="17"/>
  <c r="U157" i="17"/>
  <c r="U158" i="17"/>
  <c r="U159" i="17"/>
  <c r="U160" i="17"/>
  <c r="U161" i="17"/>
  <c r="U162" i="17"/>
  <c r="U163" i="17"/>
  <c r="U164" i="17"/>
  <c r="U165" i="17"/>
  <c r="U166" i="17"/>
  <c r="U167" i="17"/>
  <c r="U168" i="17"/>
  <c r="U169" i="17"/>
  <c r="U170" i="17"/>
  <c r="U171" i="17"/>
  <c r="U172" i="17"/>
  <c r="U173" i="17"/>
  <c r="U174" i="17"/>
  <c r="U175" i="17"/>
  <c r="U176" i="17"/>
  <c r="U177" i="17"/>
  <c r="U178" i="17"/>
  <c r="U2" i="17"/>
  <c r="S3" i="17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8" i="17"/>
  <c r="S19" i="17"/>
  <c r="S20" i="17"/>
  <c r="S21" i="17"/>
  <c r="S22" i="17"/>
  <c r="S23" i="17"/>
  <c r="S24" i="17"/>
  <c r="S25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2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8" i="17"/>
  <c r="Q19" i="17"/>
  <c r="Q20" i="17"/>
  <c r="Q21" i="17"/>
  <c r="Q22" i="17"/>
  <c r="Q23" i="17"/>
  <c r="Q24" i="17"/>
  <c r="Q25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48" i="17"/>
  <c r="Q49" i="17"/>
  <c r="Q50" i="17"/>
  <c r="Q51" i="17"/>
  <c r="Q52" i="17"/>
  <c r="Q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8" i="17"/>
  <c r="Q69" i="17"/>
  <c r="Q70" i="17"/>
  <c r="Q71" i="17"/>
  <c r="Q72" i="17"/>
  <c r="Q73" i="17"/>
  <c r="Q74" i="17"/>
  <c r="Q75" i="17"/>
  <c r="Q76" i="17"/>
  <c r="Q77" i="17"/>
  <c r="Q78" i="17"/>
  <c r="Q79" i="17"/>
  <c r="Q80" i="17"/>
  <c r="Q81" i="17"/>
  <c r="Q82" i="17"/>
  <c r="Q83" i="17"/>
  <c r="Q84" i="17"/>
  <c r="Q85" i="17"/>
  <c r="Q86" i="17"/>
  <c r="Q87" i="17"/>
  <c r="Q88" i="17"/>
  <c r="Q89" i="17"/>
  <c r="Q90" i="17"/>
  <c r="Q91" i="17"/>
  <c r="Q92" i="17"/>
  <c r="Q93" i="17"/>
  <c r="Q94" i="17"/>
  <c r="Q95" i="17"/>
  <c r="Q96" i="17"/>
  <c r="Q97" i="17"/>
  <c r="Q98" i="17"/>
  <c r="Q99" i="17"/>
  <c r="Q100" i="17"/>
  <c r="Q101" i="17"/>
  <c r="Q102" i="17"/>
  <c r="Q103" i="17"/>
  <c r="Q104" i="17"/>
  <c r="Q105" i="17"/>
  <c r="Q106" i="17"/>
  <c r="Q107" i="17"/>
  <c r="Q108" i="17"/>
  <c r="Q109" i="17"/>
  <c r="Q110" i="17"/>
  <c r="Q111" i="17"/>
  <c r="Q112" i="17"/>
  <c r="Q113" i="17"/>
  <c r="Q114" i="17"/>
  <c r="Q115" i="17"/>
  <c r="Q116" i="17"/>
  <c r="Q117" i="17"/>
  <c r="Q118" i="17"/>
  <c r="Q119" i="17"/>
  <c r="Q120" i="17"/>
  <c r="Q121" i="17"/>
  <c r="Q122" i="17"/>
  <c r="Q123" i="17"/>
  <c r="Q124" i="17"/>
  <c r="Q125" i="17"/>
  <c r="Q126" i="17"/>
  <c r="Q127" i="17"/>
  <c r="Q128" i="17"/>
  <c r="Q129" i="17"/>
  <c r="Q130" i="17"/>
  <c r="Q131" i="17"/>
  <c r="Q132" i="17"/>
  <c r="Q133" i="17"/>
  <c r="Q134" i="17"/>
  <c r="Q135" i="17"/>
  <c r="Q136" i="17"/>
  <c r="Q137" i="17"/>
  <c r="Q138" i="17"/>
  <c r="Q139" i="17"/>
  <c r="Q140" i="17"/>
  <c r="Q141" i="17"/>
  <c r="Q142" i="17"/>
  <c r="Q143" i="17"/>
  <c r="Q144" i="17"/>
  <c r="Q145" i="17"/>
  <c r="Q146" i="17"/>
  <c r="Q147" i="17"/>
  <c r="Q148" i="17"/>
  <c r="Q149" i="17"/>
  <c r="Q150" i="17"/>
  <c r="Q151" i="17"/>
  <c r="Q152" i="17"/>
  <c r="Q153" i="17"/>
  <c r="Q154" i="17"/>
  <c r="Q155" i="17"/>
  <c r="Q156" i="17"/>
  <c r="Q157" i="17"/>
  <c r="Q158" i="17"/>
  <c r="Q159" i="17"/>
  <c r="Q160" i="17"/>
  <c r="Q161" i="17"/>
  <c r="Q162" i="17"/>
  <c r="Q163" i="17"/>
  <c r="Q164" i="17"/>
  <c r="Q165" i="17"/>
  <c r="Q166" i="17"/>
  <c r="Q167" i="17"/>
  <c r="Q168" i="17"/>
  <c r="Q169" i="17"/>
  <c r="Q170" i="17"/>
  <c r="Q171" i="17"/>
  <c r="Q172" i="17"/>
  <c r="Q173" i="17"/>
  <c r="Q174" i="17"/>
  <c r="Q175" i="17"/>
  <c r="Q176" i="17"/>
  <c r="Q177" i="17"/>
  <c r="Q178" i="17"/>
  <c r="Q2" i="17"/>
  <c r="O3" i="17"/>
  <c r="O4" i="17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O105" i="17"/>
  <c r="O106" i="17"/>
  <c r="O107" i="17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2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2" i="17"/>
  <c r="W4" i="16" l="1"/>
  <c r="U4" i="16"/>
  <c r="S4" i="16"/>
  <c r="Q4" i="16"/>
  <c r="O4" i="16"/>
  <c r="M4" i="16"/>
  <c r="G4" i="16"/>
  <c r="D4" i="16"/>
  <c r="W3" i="16"/>
  <c r="U3" i="16"/>
  <c r="S3" i="16"/>
  <c r="Q3" i="16"/>
  <c r="O3" i="16"/>
  <c r="M3" i="16"/>
  <c r="G3" i="16"/>
  <c r="D3" i="16"/>
  <c r="G2" i="16"/>
  <c r="W2" i="16"/>
  <c r="U2" i="16"/>
  <c r="S2" i="16"/>
  <c r="Q2" i="16"/>
  <c r="O2" i="16"/>
  <c r="M2" i="16"/>
  <c r="D2" i="16"/>
  <c r="AK2" i="7" l="1"/>
  <c r="AA2" i="7"/>
  <c r="S2" i="7"/>
  <c r="K2" i="7"/>
  <c r="A1" i="7" a="1"/>
  <c r="A1" i="7" s="1"/>
</calcChain>
</file>

<file path=xl/sharedStrings.xml><?xml version="1.0" encoding="utf-8"?>
<sst xmlns="http://schemas.openxmlformats.org/spreadsheetml/2006/main" count="3297" uniqueCount="275">
  <si>
    <t>システム</t>
  </si>
  <si>
    <t>画面名</t>
  </si>
  <si>
    <t>サブシステム</t>
  </si>
  <si>
    <t>機能ID</t>
  </si>
  <si>
    <t>作成日</t>
  </si>
  <si>
    <t>更新日</t>
  </si>
  <si>
    <t>担当</t>
  </si>
  <si>
    <t>No</t>
  </si>
  <si>
    <t>項　目　名</t>
  </si>
  <si>
    <t>Sasuke</t>
  </si>
  <si>
    <t>テーブル名</t>
  </si>
  <si>
    <t>テーブルID</t>
  </si>
  <si>
    <t>更新内容</t>
  </si>
  <si>
    <t>項　目　ＩＤ</t>
  </si>
  <si>
    <t>編集元</t>
  </si>
  <si>
    <t>編集元項目</t>
  </si>
  <si>
    <t>検索キー</t>
  </si>
  <si>
    <t>編集内容</t>
  </si>
  <si>
    <t>1</t>
  </si>
  <si>
    <t>該当約款コード</t>
  </si>
  <si>
    <t>販売商品コード</t>
  </si>
  <si>
    <t>プリセット汎用設定値6</t>
  </si>
  <si>
    <t>プリセット汎用設定項目7</t>
  </si>
  <si>
    <t>プリセット汎用設定値7</t>
  </si>
  <si>
    <t>プリセット汎用設定項目8</t>
  </si>
  <si>
    <t>プリセット汎用設定値8</t>
  </si>
  <si>
    <t>プリセット汎用設定項目9</t>
  </si>
  <si>
    <t>プリセット汎用設定値9</t>
  </si>
  <si>
    <t>プリセット汎用設定項目10</t>
  </si>
  <si>
    <t>プリセット汎用設定値10</t>
  </si>
  <si>
    <t>約款バージョン</t>
    <rPh sb="0" eb="2">
      <t>ヤッカn</t>
    </rPh>
    <phoneticPr fontId="10"/>
  </si>
  <si>
    <t>insurancePeriod</t>
    <phoneticPr fontId="10"/>
  </si>
  <si>
    <t>paymentPeriod</t>
    <phoneticPr fontId="10"/>
  </si>
  <si>
    <t>hosCovPayLimitClass</t>
    <phoneticPr fontId="10"/>
  </si>
  <si>
    <t>benefitPayConvCls</t>
    <phoneticPr fontId="10"/>
  </si>
  <si>
    <t>disHsptUnlmtDaysSpPrv</t>
    <phoneticPr fontId="10"/>
  </si>
  <si>
    <t>31A</t>
    <phoneticPr fontId="10"/>
  </si>
  <si>
    <t>医療終身保険（無解約払戻金型）</t>
    <phoneticPr fontId="10"/>
  </si>
  <si>
    <t>標準約款コード</t>
    <rPh sb="0" eb="4">
      <t>ヒョウジュn</t>
    </rPh>
    <phoneticPr fontId="10"/>
  </si>
  <si>
    <t>31A005</t>
    <phoneticPr fontId="10"/>
  </si>
  <si>
    <t>31E002</t>
    <phoneticPr fontId="10"/>
  </si>
  <si>
    <t>31C003</t>
    <phoneticPr fontId="10"/>
  </si>
  <si>
    <t>31D002</t>
    <phoneticPr fontId="10"/>
  </si>
  <si>
    <t>03A003</t>
    <phoneticPr fontId="10"/>
  </si>
  <si>
    <t>001</t>
    <phoneticPr fontId="10"/>
  </si>
  <si>
    <t>入院一時給付特約</t>
    <phoneticPr fontId="10"/>
  </si>
  <si>
    <t>D1B</t>
    <phoneticPr fontId="10"/>
  </si>
  <si>
    <t>D1C</t>
    <phoneticPr fontId="10"/>
  </si>
  <si>
    <t>女性医療特約</t>
    <phoneticPr fontId="10"/>
  </si>
  <si>
    <t>D1D</t>
    <phoneticPr fontId="10"/>
  </si>
  <si>
    <t>退院後通院特約</t>
    <phoneticPr fontId="10"/>
  </si>
  <si>
    <t>先進医療特約</t>
    <phoneticPr fontId="10"/>
  </si>
  <si>
    <t>D1A</t>
    <phoneticPr fontId="10"/>
  </si>
  <si>
    <t>D1R</t>
    <phoneticPr fontId="10"/>
  </si>
  <si>
    <t>特定疾病一時給付特約（２０）</t>
    <phoneticPr fontId="10"/>
  </si>
  <si>
    <t>抗がん剤・ホルモン剤治療特約</t>
    <phoneticPr fontId="10"/>
  </si>
  <si>
    <t>D1F</t>
    <phoneticPr fontId="10"/>
  </si>
  <si>
    <t>D1E</t>
    <phoneticPr fontId="10"/>
  </si>
  <si>
    <t>特定損傷特約</t>
    <phoneticPr fontId="10"/>
  </si>
  <si>
    <t>女性疾病入院一時給付特約</t>
    <phoneticPr fontId="10"/>
  </si>
  <si>
    <t>D1S</t>
    <phoneticPr fontId="10"/>
  </si>
  <si>
    <t>D1P</t>
    <phoneticPr fontId="10"/>
  </si>
  <si>
    <t>がん一時給付特約</t>
    <phoneticPr fontId="10"/>
  </si>
  <si>
    <t>特定疾病保険料払込免除特約</t>
    <phoneticPr fontId="10"/>
  </si>
  <si>
    <t>特定疾病一時給付保険（無解約払戻金型）（２０）</t>
    <phoneticPr fontId="10"/>
  </si>
  <si>
    <t>31E</t>
    <phoneticPr fontId="10"/>
  </si>
  <si>
    <t>引受緩和型医療終身保険（無解約払戻金型）</t>
    <phoneticPr fontId="10"/>
  </si>
  <si>
    <t>引受緩和型入院一時給付特約</t>
    <phoneticPr fontId="10"/>
  </si>
  <si>
    <t>31C</t>
    <phoneticPr fontId="10"/>
  </si>
  <si>
    <t>D1J</t>
    <phoneticPr fontId="10"/>
  </si>
  <si>
    <t>D1K</t>
    <phoneticPr fontId="10"/>
  </si>
  <si>
    <t>D1L</t>
    <phoneticPr fontId="10"/>
  </si>
  <si>
    <t>D1H</t>
    <phoneticPr fontId="10"/>
  </si>
  <si>
    <t>D1N</t>
    <phoneticPr fontId="10"/>
  </si>
  <si>
    <t>D1M</t>
    <phoneticPr fontId="10"/>
  </si>
  <si>
    <t>引受緩和型抗がん剤・ホルモン剤治療特約</t>
    <phoneticPr fontId="10"/>
  </si>
  <si>
    <t>引受緩和型先進医療特約</t>
    <phoneticPr fontId="10"/>
  </si>
  <si>
    <t>引受緩和型退院後通院特約</t>
    <phoneticPr fontId="10"/>
  </si>
  <si>
    <t>引受緩和型女性疾病入院特約</t>
    <phoneticPr fontId="10"/>
  </si>
  <si>
    <t>引受緩和型３大疾病保険料払込免除特約</t>
    <phoneticPr fontId="10"/>
  </si>
  <si>
    <t>引受緩和型特定疾病一時給付特約</t>
    <phoneticPr fontId="10"/>
  </si>
  <si>
    <t>31D</t>
    <phoneticPr fontId="10"/>
  </si>
  <si>
    <t>引受緩和型３大疾病一時給付保険（無解約払戻金型）</t>
    <phoneticPr fontId="10"/>
  </si>
  <si>
    <t>D1Q</t>
    <phoneticPr fontId="10"/>
  </si>
  <si>
    <t>引受緩和型がん一時給付特約</t>
    <phoneticPr fontId="10"/>
  </si>
  <si>
    <t>定期保険（無解約払戻金型）</t>
    <phoneticPr fontId="10"/>
  </si>
  <si>
    <t>３大疾病保険料払込免除特約</t>
    <phoneticPr fontId="10"/>
  </si>
  <si>
    <t>03A</t>
    <phoneticPr fontId="10"/>
  </si>
  <si>
    <t>31A005</t>
  </si>
  <si>
    <t>benefit</t>
    <phoneticPr fontId="10"/>
  </si>
  <si>
    <t>diseaseCoverageType</t>
    <phoneticPr fontId="10"/>
  </si>
  <si>
    <t>benefitFirstPayConvCls</t>
    <phoneticPr fontId="10"/>
  </si>
  <si>
    <t>freeOfPremiumRiderCls</t>
    <phoneticPr fontId="10"/>
  </si>
  <si>
    <t>約款名</t>
    <rPh sb="0" eb="3">
      <t>ヤッカn</t>
    </rPh>
    <phoneticPr fontId="10"/>
  </si>
  <si>
    <t>主契約:1
特約:0</t>
    <rPh sb="0" eb="3">
      <t>シュケイヤク</t>
    </rPh>
    <rPh sb="5" eb="7">
      <t>トクヤク</t>
    </rPh>
    <phoneticPr fontId="10"/>
  </si>
  <si>
    <t>1</t>
    <phoneticPr fontId="10"/>
  </si>
  <si>
    <t>プラン
番号</t>
    <phoneticPr fontId="10"/>
  </si>
  <si>
    <t>商品
レコメンドフラグ
0:未選択
1:選択</t>
    <rPh sb="0" eb="2">
      <t>ショウヒn</t>
    </rPh>
    <phoneticPr fontId="6"/>
  </si>
  <si>
    <t>プラン
レコメンドフラグ
0:未選択
1:選択</t>
    <phoneticPr fontId="6"/>
  </si>
  <si>
    <t>条件（性別）
1:男性
2:女性</t>
    <phoneticPr fontId="10"/>
  </si>
  <si>
    <t>20</t>
    <phoneticPr fontId="10"/>
  </si>
  <si>
    <t>条件FROM
（年齢）</t>
    <phoneticPr fontId="10"/>
  </si>
  <si>
    <t>条件TO
（年齢）</t>
    <phoneticPr fontId="10"/>
  </si>
  <si>
    <t>プリセット汎用
設定項目1</t>
    <phoneticPr fontId="10"/>
  </si>
  <si>
    <t>プリセット汎用
設定値1</t>
    <phoneticPr fontId="10"/>
  </si>
  <si>
    <t>プリセット汎用
設定項目2</t>
    <phoneticPr fontId="10"/>
  </si>
  <si>
    <t>プリセット汎用
設定値2</t>
    <phoneticPr fontId="10"/>
  </si>
  <si>
    <t>プリセット汎用
設定値3</t>
    <phoneticPr fontId="10"/>
  </si>
  <si>
    <t>プリセット汎用
設定項目3</t>
    <phoneticPr fontId="10"/>
  </si>
  <si>
    <t>プリセット汎用
設定項目4</t>
    <phoneticPr fontId="10"/>
  </si>
  <si>
    <t>プリセット汎用
設定値4</t>
    <phoneticPr fontId="10"/>
  </si>
  <si>
    <t>プリセット汎用
設定項目5</t>
    <phoneticPr fontId="10"/>
  </si>
  <si>
    <t>プリセット汎用
設定値5</t>
    <phoneticPr fontId="10"/>
  </si>
  <si>
    <t>プリセット汎用
設定項目6</t>
    <phoneticPr fontId="10"/>
  </si>
  <si>
    <t>プリセット汎用
設定値6</t>
    <phoneticPr fontId="10"/>
  </si>
  <si>
    <t>5000</t>
    <phoneticPr fontId="10"/>
  </si>
  <si>
    <t>3000</t>
    <phoneticPr fontId="10"/>
  </si>
  <si>
    <t>060</t>
    <phoneticPr fontId="10"/>
  </si>
  <si>
    <t>2</t>
    <phoneticPr fontId="10"/>
  </si>
  <si>
    <t>50000</t>
    <phoneticPr fontId="10"/>
  </si>
  <si>
    <t>5</t>
    <phoneticPr fontId="10"/>
  </si>
  <si>
    <t>10000</t>
    <phoneticPr fontId="10"/>
  </si>
  <si>
    <t>022</t>
    <phoneticPr fontId="10"/>
  </si>
  <si>
    <t>03A003</t>
  </si>
  <si>
    <t>該当約款コード表</t>
    <rPh sb="0" eb="4">
      <t>ガイトウ</t>
    </rPh>
    <rPh sb="7" eb="8">
      <t>ヒョウ</t>
    </rPh>
    <phoneticPr fontId="10"/>
  </si>
  <si>
    <t>該当約款コード(主契約)</t>
    <rPh sb="0" eb="4">
      <t>ガイトウ</t>
    </rPh>
    <rPh sb="8" eb="11">
      <t>シュケイヤク</t>
    </rPh>
    <phoneticPr fontId="10"/>
  </si>
  <si>
    <t>該当約款コード(特約)</t>
    <rPh sb="0" eb="4">
      <t>ガイトウ</t>
    </rPh>
    <rPh sb="8" eb="10">
      <t>トクヤク</t>
    </rPh>
    <phoneticPr fontId="10"/>
  </si>
  <si>
    <t>31A005_0</t>
    <phoneticPr fontId="10"/>
  </si>
  <si>
    <t>31E002_0</t>
    <phoneticPr fontId="10"/>
  </si>
  <si>
    <t>31C003_0</t>
    <phoneticPr fontId="10"/>
  </si>
  <si>
    <t>31D002_0</t>
    <phoneticPr fontId="10"/>
  </si>
  <si>
    <t>03A003_0</t>
    <phoneticPr fontId="10"/>
  </si>
  <si>
    <t>販売商品コード</t>
    <rPh sb="0" eb="4">
      <t>ハンバイ</t>
    </rPh>
    <phoneticPr fontId="10"/>
  </si>
  <si>
    <t>31A005_1</t>
    <phoneticPr fontId="10"/>
  </si>
  <si>
    <t>31E002_1</t>
    <phoneticPr fontId="10"/>
  </si>
  <si>
    <t>31C003_1</t>
    <phoneticPr fontId="10"/>
  </si>
  <si>
    <t>31D002_1</t>
    <phoneticPr fontId="10"/>
  </si>
  <si>
    <t>03A003_1</t>
    <phoneticPr fontId="10"/>
  </si>
  <si>
    <t>約款設定値</t>
    <rPh sb="0" eb="2">
      <t>ヤッカn</t>
    </rPh>
    <rPh sb="2" eb="4">
      <t>セッテイ</t>
    </rPh>
    <rPh sb="4" eb="5">
      <t>ch</t>
    </rPh>
    <phoneticPr fontId="10"/>
  </si>
  <si>
    <t>付与</t>
    <rPh sb="0" eb="2">
      <t>フヨス</t>
    </rPh>
    <phoneticPr fontId="10"/>
  </si>
  <si>
    <t>保険料</t>
    <rPh sb="0" eb="3">
      <t>ホケn</t>
    </rPh>
    <phoneticPr fontId="10"/>
  </si>
  <si>
    <t>120</t>
    <phoneticPr fontId="10"/>
  </si>
  <si>
    <t>入院給付金支払限度日数型区分
60日型:"060"
120日型:"120"</t>
    <phoneticPr fontId="10"/>
  </si>
  <si>
    <t>特定疾病支払日数無制限特則
３大疾病入院無制限:"1"
８大疾病入院無制限:"2"</t>
    <phoneticPr fontId="10"/>
  </si>
  <si>
    <t>保障範囲の型
３大疾病Ⅰ型:"6"
３大疾病Ⅱ型:"7"
特定８疾病・臓器移植Ⅰ型:"4"
特定８疾病・臓器移植Ⅱ型:"5"</t>
    <phoneticPr fontId="10"/>
  </si>
  <si>
    <t>初回給付金支払倍率型区分
同額型:"1"
初回２倍型:"2"</t>
    <phoneticPr fontId="10"/>
  </si>
  <si>
    <t>6</t>
    <phoneticPr fontId="10"/>
  </si>
  <si>
    <t>7</t>
    <phoneticPr fontId="10"/>
  </si>
  <si>
    <t>4</t>
    <phoneticPr fontId="10"/>
  </si>
  <si>
    <t>031</t>
    <phoneticPr fontId="10"/>
  </si>
  <si>
    <t>032</t>
    <phoneticPr fontId="10"/>
  </si>
  <si>
    <t>021</t>
    <phoneticPr fontId="10"/>
  </si>
  <si>
    <t>手術給付金支払倍率型区分
手術Ⅰ型:"1"
手術Ⅱ型:"2"</t>
    <phoneticPr fontId="10"/>
  </si>
  <si>
    <t>(リストにない値は直接入力ください)</t>
    <rPh sb="9" eb="11">
      <t>チョク</t>
    </rPh>
    <rPh sb="11" eb="13">
      <t>ニュウリョク</t>
    </rPh>
    <phoneticPr fontId="10"/>
  </si>
  <si>
    <t>2000</t>
    <phoneticPr fontId="10"/>
  </si>
  <si>
    <t>4000</t>
    <phoneticPr fontId="10"/>
  </si>
  <si>
    <t>6000</t>
    <phoneticPr fontId="10"/>
  </si>
  <si>
    <t>7000</t>
    <phoneticPr fontId="10"/>
  </si>
  <si>
    <t>8000</t>
    <phoneticPr fontId="10"/>
  </si>
  <si>
    <t>9000</t>
    <phoneticPr fontId="10"/>
  </si>
  <si>
    <t>20000</t>
    <phoneticPr fontId="10"/>
  </si>
  <si>
    <t>30000</t>
    <phoneticPr fontId="10"/>
  </si>
  <si>
    <t>40000</t>
    <phoneticPr fontId="10"/>
  </si>
  <si>
    <t>60000</t>
    <phoneticPr fontId="10"/>
  </si>
  <si>
    <t>70000</t>
    <phoneticPr fontId="10"/>
  </si>
  <si>
    <t>80000</t>
    <phoneticPr fontId="10"/>
  </si>
  <si>
    <t>90000</t>
    <phoneticPr fontId="10"/>
  </si>
  <si>
    <t>100000</t>
    <phoneticPr fontId="10"/>
  </si>
  <si>
    <t>(1固定です)</t>
    <rPh sb="2" eb="4">
      <t>コテイ</t>
    </rPh>
    <phoneticPr fontId="10"/>
  </si>
  <si>
    <t>31D002</t>
  </si>
  <si>
    <t>プラン
番号
(商品毎に3プラン)</t>
    <rPh sb="8" eb="11">
      <t>ショウヒn</t>
    </rPh>
    <phoneticPr fontId="10"/>
  </si>
  <si>
    <t>69</t>
    <phoneticPr fontId="10"/>
  </si>
  <si>
    <t>31A</t>
  </si>
  <si>
    <t>5000</t>
  </si>
  <si>
    <t>3000</t>
  </si>
  <si>
    <t>060</t>
  </si>
  <si>
    <t>2</t>
  </si>
  <si>
    <t>D1B</t>
  </si>
  <si>
    <t>D1A</t>
  </si>
  <si>
    <t>D1R</t>
  </si>
  <si>
    <t>D1F</t>
  </si>
  <si>
    <t>D1E</t>
  </si>
  <si>
    <t>D1P</t>
  </si>
  <si>
    <t>D1D</t>
  </si>
  <si>
    <t>該当約款コード表(テンプレート挿入用)</t>
    <rPh sb="0" eb="4">
      <t>ガイトウ</t>
    </rPh>
    <rPh sb="7" eb="8">
      <t>ヒョウ</t>
    </rPh>
    <rPh sb="15" eb="18">
      <t>ソウニュウヨウ</t>
    </rPh>
    <phoneticPr fontId="10"/>
  </si>
  <si>
    <t>31A1</t>
    <phoneticPr fontId="10"/>
  </si>
  <si>
    <t>D1B0</t>
    <phoneticPr fontId="10"/>
  </si>
  <si>
    <t>D1C0</t>
    <phoneticPr fontId="10"/>
  </si>
  <si>
    <t>D1D0</t>
    <phoneticPr fontId="10"/>
  </si>
  <si>
    <t>D1A0</t>
    <phoneticPr fontId="10"/>
  </si>
  <si>
    <t>D1R0</t>
    <phoneticPr fontId="10"/>
  </si>
  <si>
    <t>D1F0</t>
    <phoneticPr fontId="10"/>
  </si>
  <si>
    <t>D1E0</t>
    <phoneticPr fontId="10"/>
  </si>
  <si>
    <t>D1S0</t>
    <phoneticPr fontId="10"/>
  </si>
  <si>
    <t>D1P0</t>
    <phoneticPr fontId="10"/>
  </si>
  <si>
    <t>31A0</t>
    <phoneticPr fontId="10"/>
  </si>
  <si>
    <t>31E1</t>
    <phoneticPr fontId="10"/>
  </si>
  <si>
    <t>31E0</t>
    <phoneticPr fontId="10"/>
  </si>
  <si>
    <t>31C1</t>
    <phoneticPr fontId="10"/>
  </si>
  <si>
    <t>D1J0</t>
    <phoneticPr fontId="10"/>
  </si>
  <si>
    <t>D1K0</t>
    <phoneticPr fontId="10"/>
  </si>
  <si>
    <t>D1L0</t>
    <phoneticPr fontId="10"/>
  </si>
  <si>
    <t>D1H0</t>
    <phoneticPr fontId="10"/>
  </si>
  <si>
    <t>D1N0</t>
    <phoneticPr fontId="10"/>
  </si>
  <si>
    <t>D1M0</t>
    <phoneticPr fontId="10"/>
  </si>
  <si>
    <t>31C0</t>
    <phoneticPr fontId="10"/>
  </si>
  <si>
    <t>31D1</t>
    <phoneticPr fontId="10"/>
  </si>
  <si>
    <t>D1Q0</t>
    <phoneticPr fontId="10"/>
  </si>
  <si>
    <t>31D0</t>
    <phoneticPr fontId="10"/>
  </si>
  <si>
    <t>03A1</t>
    <phoneticPr fontId="10"/>
  </si>
  <si>
    <t>03A0</t>
    <phoneticPr fontId="10"/>
  </si>
  <si>
    <t>0</t>
  </si>
  <si>
    <t>additionType</t>
    <phoneticPr fontId="10"/>
  </si>
  <si>
    <t>3</t>
    <phoneticPr fontId="10"/>
  </si>
  <si>
    <t>31E002</t>
  </si>
  <si>
    <t>31E</t>
  </si>
  <si>
    <t>31C003</t>
  </si>
  <si>
    <t>31C</t>
  </si>
  <si>
    <t>D1J</t>
  </si>
  <si>
    <t>D1K</t>
  </si>
  <si>
    <t>D1H</t>
  </si>
  <si>
    <t>0</t>
    <phoneticPr fontId="10"/>
  </si>
  <si>
    <t>D1N</t>
  </si>
  <si>
    <t>D1M</t>
  </si>
  <si>
    <t>31D</t>
  </si>
  <si>
    <t>D1Q</t>
  </si>
  <si>
    <t>03A</t>
  </si>
  <si>
    <t>60</t>
    <phoneticPr fontId="10"/>
  </si>
  <si>
    <t>65</t>
    <phoneticPr fontId="10"/>
  </si>
  <si>
    <t>70</t>
    <phoneticPr fontId="10"/>
  </si>
  <si>
    <t>75</t>
    <phoneticPr fontId="10"/>
  </si>
  <si>
    <t>80</t>
    <phoneticPr fontId="10"/>
  </si>
  <si>
    <t xml:space="preserve">保険期間
終身:"3000"
60歳:"60"
65歳:"65"
70歳:"70"
75歳:"75"
80歳:"80"
</t>
    <rPh sb="0" eb="4">
      <t>ホケn</t>
    </rPh>
    <phoneticPr fontId="10"/>
  </si>
  <si>
    <t xml:space="preserve">払込期間
終身:"3000"
60歳:"60"
65歳:"65"
70歳:"70"
75歳:"75"
80歳:"80"
</t>
    <rPh sb="0" eb="2">
      <t>ハライコミ</t>
    </rPh>
    <rPh sb="2" eb="4">
      <t>キカn</t>
    </rPh>
    <phoneticPr fontId="10"/>
  </si>
  <si>
    <t xml:space="preserve">保険期間種別
年満了:"1"		
歳満了:"2"
終身:"3"		</t>
    <rPh sb="4" eb="6">
      <t>sy</t>
    </rPh>
    <rPh sb="25" eb="27">
      <t>シュウシn</t>
    </rPh>
    <phoneticPr fontId="10"/>
  </si>
  <si>
    <t xml:space="preserve">払込期間種別
年満了:"1"		
歳満了:"2"
終身:"3"		</t>
    <rPh sb="0" eb="2">
      <t>ハライコミ</t>
    </rPh>
    <rPh sb="4" eb="6">
      <t>sy</t>
    </rPh>
    <rPh sb="25" eb="27">
      <t>シュウシn</t>
    </rPh>
    <phoneticPr fontId="10"/>
  </si>
  <si>
    <t>insurancePeriodClass</t>
  </si>
  <si>
    <t>insurancePeriodClass</t>
    <phoneticPr fontId="10"/>
  </si>
  <si>
    <t>paymentPeriodClass</t>
  </si>
  <si>
    <t>paymentPeriodClass</t>
    <phoneticPr fontId="10"/>
  </si>
  <si>
    <t>3</t>
  </si>
  <si>
    <t>freeOfPRiderFlg</t>
    <phoneticPr fontId="10"/>
  </si>
  <si>
    <t xml:space="preserve">保険料払込免除特約有無
無し:"0"
有り:"1"			</t>
    <rPh sb="18" eb="19">
      <t xml:space="preserve">アリ </t>
    </rPh>
    <phoneticPr fontId="10"/>
  </si>
  <si>
    <t>保険料払込免除特約種類
000:特約付加無し
001:３大疾病保険料払込免除特約011:上皮内がん保障あり型
012:上皮内がん保障なし型
021:特定８疾病・臓器移植Ⅰ型
022:特定８疾病・臓器移植Ⅱ型
031:３大疾病Ⅰ型
032:３大疾病Ⅱ型</t>
    <phoneticPr fontId="10"/>
  </si>
  <si>
    <t>000</t>
    <phoneticPr fontId="10"/>
  </si>
  <si>
    <t>001</t>
  </si>
  <si>
    <t>011</t>
  </si>
  <si>
    <t>011</t>
    <phoneticPr fontId="10"/>
  </si>
  <si>
    <t>012</t>
    <phoneticPr fontId="10"/>
  </si>
  <si>
    <t>031</t>
  </si>
  <si>
    <t>6</t>
  </si>
  <si>
    <t>D1L</t>
  </si>
  <si>
    <t>D1C</t>
  </si>
  <si>
    <t>D1S</t>
  </si>
  <si>
    <t>該当約款コード</t>
    <phoneticPr fontId="10"/>
  </si>
  <si>
    <t>一時金</t>
    <rPh sb="0" eb="3">
      <t>イチジ</t>
    </rPh>
    <phoneticPr fontId="10"/>
  </si>
  <si>
    <t>"31E002"</t>
    <phoneticPr fontId="10"/>
  </si>
  <si>
    <t>固定値："310"</t>
  </si>
  <si>
    <t>固定値："31E"</t>
  </si>
  <si>
    <t>固定値："001"</t>
  </si>
  <si>
    <t>標準約款コード</t>
  </si>
  <si>
    <t>該当約款バージョン</t>
  </si>
  <si>
    <t>保険期間</t>
    <rPh sb="0" eb="4">
      <t>ホケn</t>
    </rPh>
    <phoneticPr fontId="10"/>
  </si>
  <si>
    <t>終身</t>
    <rPh sb="0" eb="2">
      <t>シュウセィ</t>
    </rPh>
    <phoneticPr fontId="10"/>
  </si>
  <si>
    <t>払込期間</t>
    <rPh sb="0" eb="2">
      <t>ハライコミ</t>
    </rPh>
    <rPh sb="2" eb="4">
      <t>キカn</t>
    </rPh>
    <phoneticPr fontId="10"/>
  </si>
  <si>
    <t>終身</t>
    <rPh sb="0" eb="1">
      <t>シュウセィ</t>
    </rPh>
    <phoneticPr fontId="10"/>
  </si>
  <si>
    <t>・300000
・400000
　　︙
・1000000</t>
    <phoneticPr fontId="10"/>
  </si>
  <si>
    <t>給付金額</t>
    <rPh sb="0" eb="4">
      <t>キュウフ</t>
    </rPh>
    <phoneticPr fontId="10"/>
  </si>
  <si>
    <t>保障範囲の型</t>
    <phoneticPr fontId="10"/>
  </si>
  <si>
    <t>[{"label":"３大疾病Ⅰ型","value":"6"},{"label":"３大疾病Ⅱ型","value":"7"},{"label":"特定８疾病・臓器移植Ⅰ型","value":"4"},{"label":"特定８疾病・臓器移植Ⅱ型","value":"5"}]</t>
    <phoneticPr fontId="10"/>
  </si>
  <si>
    <t>初回給付金支払倍率型</t>
    <rPh sb="0" eb="2">
      <t>ショカイ</t>
    </rPh>
    <rPh sb="2" eb="4">
      <t>キュウフ</t>
    </rPh>
    <rPh sb="4" eb="5">
      <t>キn</t>
    </rPh>
    <rPh sb="5" eb="7">
      <t>シハライ</t>
    </rPh>
    <rPh sb="7" eb="9">
      <t>バイリテゥ</t>
    </rPh>
    <rPh sb="9" eb="10">
      <t>ガタ</t>
    </rPh>
    <phoneticPr fontId="10"/>
  </si>
  <si>
    <t>[{"label":"同額型","value":"1"},{"label":"初回２倍型","value":"2"}]</t>
  </si>
  <si>
    <t>保険料払込免除特約種類</t>
  </si>
  <si>
    <t>保険料払込免除特約有無</t>
  </si>
  <si>
    <t>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</si>
</sst>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rgb="FF000000"/>
      <name val="MS PGothic"/>
    </font>
    <font>
      <sz val="11"/>
      <color theme="1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name val="MS PGothic"/>
      <family val="2"/>
      <charset val="128"/>
    </font>
    <font>
      <b/>
      <sz val="10"/>
      <color theme="1"/>
      <name val="Meiryo UI"/>
      <family val="2"/>
      <charset val="128"/>
    </font>
    <font>
      <b/>
      <sz val="12"/>
      <color theme="1"/>
      <name val="Meiryo UI"/>
      <family val="2"/>
      <charset val="128"/>
    </font>
    <font>
      <sz val="6"/>
      <name val="Tsukushi A Round Gothic Bold"/>
      <family val="3"/>
      <charset val="128"/>
    </font>
    <font>
      <sz val="11"/>
      <name val="ＭＳ Ｐゴシック"/>
      <family val="3"/>
      <charset val="128"/>
    </font>
    <font>
      <sz val="10"/>
      <color rgb="FF000000"/>
      <name val="MS PGothic"/>
      <family val="2"/>
      <charset val="128"/>
    </font>
    <font>
      <sz val="10"/>
      <color rgb="FF000000"/>
      <name val="Calibri"/>
      <family val="2"/>
    </font>
    <font>
      <sz val="6"/>
      <name val="Noto Sans CJK JP Black"/>
      <family val="3"/>
      <charset val="128"/>
    </font>
    <font>
      <sz val="12"/>
      <color rgb="FF000000"/>
      <name val="Meiryo UI"/>
      <family val="2"/>
      <charset val="128"/>
    </font>
    <font>
      <sz val="10"/>
      <color rgb="FF000000"/>
      <name val="Meiryo UI"/>
      <family val="2"/>
      <charset val="128"/>
    </font>
    <font>
      <sz val="11"/>
      <color rgb="FF000000"/>
      <name val="MS PGothic"/>
      <family val="2"/>
      <charset val="128"/>
    </font>
    <font>
      <sz val="10"/>
      <color rgb="FF000000"/>
      <name val="MS Gothic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CCFFCC"/>
        <bgColor rgb="FFCCFFCC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/>
    </xf>
    <xf numFmtId="49" fontId="11" fillId="0" borderId="0" xfId="0" applyNumberFormat="1" applyFont="1" applyAlignment="1"/>
    <xf numFmtId="49" fontId="11" fillId="4" borderId="26" xfId="0" applyNumberFormat="1" applyFont="1" applyFill="1" applyBorder="1" applyAlignment="1"/>
    <xf numFmtId="49" fontId="11" fillId="0" borderId="26" xfId="0" applyNumberFormat="1" applyFont="1" applyBorder="1" applyAlignment="1"/>
    <xf numFmtId="49" fontId="8" fillId="3" borderId="28" xfId="0" applyNumberFormat="1" applyFont="1" applyFill="1" applyBorder="1" applyAlignment="1"/>
    <xf numFmtId="49" fontId="8" fillId="3" borderId="29" xfId="0" applyNumberFormat="1" applyFont="1" applyFill="1" applyBorder="1" applyAlignment="1"/>
    <xf numFmtId="0" fontId="8" fillId="0" borderId="26" xfId="0" applyFont="1" applyBorder="1" applyAlignment="1"/>
    <xf numFmtId="49" fontId="12" fillId="0" borderId="26" xfId="0" applyNumberFormat="1" applyFont="1" applyBorder="1" applyAlignment="1"/>
    <xf numFmtId="0" fontId="8" fillId="0" borderId="0" xfId="0" applyFont="1" applyAlignment="1"/>
    <xf numFmtId="0" fontId="8" fillId="0" borderId="25" xfId="0" applyFont="1" applyBorder="1" applyAlignment="1"/>
    <xf numFmtId="0" fontId="9" fillId="3" borderId="23" xfId="0" applyFont="1" applyFill="1" applyBorder="1" applyAlignment="1">
      <alignment wrapText="1"/>
    </xf>
    <xf numFmtId="0" fontId="9" fillId="3" borderId="27" xfId="0" applyFont="1" applyFill="1" applyBorder="1" applyAlignment="1">
      <alignment wrapText="1"/>
    </xf>
    <xf numFmtId="0" fontId="9" fillId="3" borderId="27" xfId="0" applyFont="1" applyFill="1" applyBorder="1" applyAlignment="1"/>
    <xf numFmtId="0" fontId="8" fillId="3" borderId="28" xfId="0" applyFont="1" applyFill="1" applyBorder="1" applyAlignment="1">
      <alignment horizontal="center" vertical="center" wrapText="1"/>
    </xf>
    <xf numFmtId="0" fontId="9" fillId="3" borderId="24" xfId="0" applyFont="1" applyFill="1" applyBorder="1" applyAlignment="1">
      <alignment wrapText="1"/>
    </xf>
    <xf numFmtId="49" fontId="11" fillId="0" borderId="26" xfId="0" applyNumberFormat="1" applyFont="1" applyFill="1" applyBorder="1" applyAlignment="1"/>
    <xf numFmtId="0" fontId="11" fillId="0" borderId="26" xfId="0" applyNumberFormat="1" applyFont="1" applyBorder="1" applyAlignment="1"/>
    <xf numFmtId="0" fontId="11" fillId="0" borderId="26" xfId="0" applyFont="1" applyBorder="1" applyAlignment="1"/>
    <xf numFmtId="0" fontId="12" fillId="0" borderId="26" xfId="0" applyNumberFormat="1" applyFont="1" applyBorder="1" applyAlignment="1"/>
    <xf numFmtId="0" fontId="8" fillId="0" borderId="26" xfId="0" quotePrefix="1" applyFont="1" applyBorder="1" applyAlignment="1"/>
    <xf numFmtId="49" fontId="11" fillId="0" borderId="30" xfId="0" applyNumberFormat="1" applyFont="1" applyBorder="1" applyAlignment="1"/>
    <xf numFmtId="49" fontId="11" fillId="0" borderId="31" xfId="0" applyNumberFormat="1" applyFont="1" applyBorder="1" applyAlignment="1"/>
    <xf numFmtId="49" fontId="11" fillId="4" borderId="26" xfId="0" applyNumberFormat="1" applyFont="1" applyFill="1" applyBorder="1" applyAlignment="1">
      <alignment horizontal="left" vertical="top"/>
    </xf>
    <xf numFmtId="49" fontId="11" fillId="4" borderId="26" xfId="0" applyNumberFormat="1" applyFont="1" applyFill="1" applyBorder="1" applyAlignment="1">
      <alignment horizontal="left" vertical="top" wrapText="1"/>
    </xf>
    <xf numFmtId="49" fontId="11" fillId="0" borderId="26" xfId="0" quotePrefix="1" applyNumberFormat="1" applyFont="1" applyBorder="1" applyAlignment="1"/>
    <xf numFmtId="0" fontId="12" fillId="0" borderId="26" xfId="0" applyNumberFormat="1" applyFont="1" applyFill="1" applyBorder="1" applyAlignment="1"/>
    <xf numFmtId="49" fontId="8" fillId="0" borderId="26" xfId="0" applyNumberFormat="1" applyFont="1" applyBorder="1" applyAlignment="1"/>
    <xf numFmtId="49" fontId="11" fillId="4" borderId="26" xfId="0" applyNumberFormat="1" applyFont="1" applyFill="1" applyBorder="1" applyAlignment="1">
      <alignment vertical="top" wrapText="1"/>
    </xf>
    <xf numFmtId="49" fontId="11" fillId="0" borderId="25" xfId="0" applyNumberFormat="1" applyFont="1" applyBorder="1" applyAlignment="1"/>
    <xf numFmtId="0" fontId="13" fillId="0" borderId="0" xfId="0" applyFont="1" applyAlignment="1"/>
    <xf numFmtId="0" fontId="14" fillId="0" borderId="0" xfId="0" applyFont="1" applyAlignment="1"/>
    <xf numFmtId="0" fontId="13" fillId="0" borderId="0" xfId="0" applyFont="1" applyAlignment="1">
      <alignment wrapText="1"/>
    </xf>
    <xf numFmtId="0" fontId="13" fillId="0" borderId="0" xfId="0" quotePrefix="1" applyFont="1" applyAlignment="1"/>
    <xf numFmtId="49" fontId="11" fillId="4" borderId="25" xfId="0" applyNumberFormat="1" applyFont="1" applyFill="1" applyBorder="1" applyAlignment="1">
      <alignment horizontal="left"/>
    </xf>
    <xf numFmtId="49" fontId="11" fillId="4" borderId="31" xfId="0" applyNumberFormat="1" applyFont="1" applyFill="1" applyBorder="1" applyAlignment="1">
      <alignment horizontal="left"/>
    </xf>
    <xf numFmtId="49" fontId="11" fillId="4" borderId="32" xfId="0" applyNumberFormat="1" applyFont="1" applyFill="1" applyBorder="1" applyAlignment="1">
      <alignment horizontal="left"/>
    </xf>
    <xf numFmtId="49" fontId="11" fillId="4" borderId="26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3" fillId="0" borderId="3" xfId="0" applyFont="1" applyBorder="1"/>
    <xf numFmtId="0" fontId="1" fillId="0" borderId="1" xfId="0" applyFont="1" applyBorder="1" applyAlignment="1">
      <alignment vertical="center"/>
    </xf>
    <xf numFmtId="0" fontId="3" fillId="0" borderId="2" xfId="0" applyFont="1" applyBorder="1"/>
    <xf numFmtId="14" fontId="2" fillId="0" borderId="10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13" xfId="0" applyFont="1" applyBorder="1"/>
    <xf numFmtId="0" fontId="2" fillId="0" borderId="1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3" fillId="0" borderId="8" xfId="0" applyFont="1" applyBorder="1"/>
    <xf numFmtId="0" fontId="3" fillId="0" borderId="9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5" fillId="2" borderId="7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3" fillId="0" borderId="12" xfId="0" applyFont="1" applyBorder="1"/>
    <xf numFmtId="0" fontId="2" fillId="0" borderId="7" xfId="0" applyFont="1" applyBorder="1" applyAlignment="1">
      <alignment horizontal="center" vertical="center"/>
    </xf>
    <xf numFmtId="0" fontId="3" fillId="0" borderId="17" xfId="0" applyFont="1" applyBorder="1"/>
    <xf numFmtId="0" fontId="3" fillId="0" borderId="19" xfId="0" applyFont="1" applyBorder="1"/>
    <xf numFmtId="0" fontId="3" fillId="0" borderId="18" xfId="0" applyFont="1" applyBorder="1"/>
    <xf numFmtId="0" fontId="2" fillId="0" borderId="10" xfId="0" applyFont="1" applyBorder="1" applyAlignment="1">
      <alignment horizontal="center" vertical="center" shrinkToFit="1"/>
    </xf>
    <xf numFmtId="0" fontId="1" fillId="0" borderId="7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6" xfId="0" applyFont="1" applyBorder="1"/>
    <xf numFmtId="0" fontId="1" fillId="0" borderId="4" xfId="0" applyFont="1" applyBorder="1" applyAlignment="1">
      <alignment vertical="center"/>
    </xf>
    <xf numFmtId="0" fontId="3" fillId="0" borderId="5" xfId="0" applyFont="1" applyBorder="1"/>
    <xf numFmtId="0" fontId="1" fillId="0" borderId="20" xfId="0" applyFont="1" applyBorder="1" applyAlignment="1">
      <alignment horizontal="center" vertical="center"/>
    </xf>
    <xf numFmtId="0" fontId="3" fillId="0" borderId="21" xfId="0" applyFont="1" applyBorder="1"/>
    <xf numFmtId="0" fontId="1" fillId="0" borderId="20" xfId="0" applyFont="1" applyBorder="1" applyAlignment="1">
      <alignment vertical="center"/>
    </xf>
    <xf numFmtId="0" fontId="3" fillId="0" borderId="22" xfId="0" applyFont="1" applyBorder="1"/>
  </cellXfs>
  <cellStyles count="2">
    <cellStyle name="標準" xfId="0" builtinId="0"/>
    <cellStyle name="標準 2" xfId="1" xr:uid="{2D43746D-E594-E947-BD26-0944ED067817}"/>
  </cellStyles>
  <dxfs count="221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869674</xdr:colOff>
      <xdr:row>6</xdr:row>
      <xdr:rowOff>13805</xdr:rowOff>
    </xdr:from>
    <xdr:to>
      <xdr:col>14</xdr:col>
      <xdr:colOff>786849</xdr:colOff>
      <xdr:row>13</xdr:row>
      <xdr:rowOff>124239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A6DCC74-F355-784E-8968-F12913C78272}"/>
            </a:ext>
          </a:extLst>
        </xdr:cNvPr>
        <xdr:cNvSpPr/>
      </xdr:nvSpPr>
      <xdr:spPr>
        <a:xfrm>
          <a:off x="13956196" y="1725544"/>
          <a:ext cx="2678044" cy="1366630"/>
        </a:xfrm>
        <a:prstGeom prst="wedgeRoundRectCallout">
          <a:avLst>
            <a:gd name="adj1" fmla="val -22379"/>
            <a:gd name="adj2" fmla="val -6311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/>
            <a:t>設定値を入力ください。</a:t>
          </a:r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設定項目は、販売商品コード・標準約款コードを設定すると、</a:t>
          </a:r>
          <a:endParaRPr kumimoji="1" lang="en-US" altLang="ja-JP" sz="1100"/>
        </a:p>
        <a:p>
          <a:pPr algn="l"/>
          <a:r>
            <a:rPr kumimoji="1" lang="ja-JP" altLang="en-US" sz="1100"/>
            <a:t>自動で入力されます。</a:t>
          </a:r>
          <a:endParaRPr kumimoji="1" lang="en-US" altLang="ja-JP" sz="1100"/>
        </a:p>
      </xdr:txBody>
    </xdr:sp>
    <xdr:clientData/>
  </xdr:twoCellAnchor>
  <xdr:twoCellAnchor>
    <xdr:from>
      <xdr:col>0</xdr:col>
      <xdr:colOff>138594</xdr:colOff>
      <xdr:row>5</xdr:row>
      <xdr:rowOff>110987</xdr:rowOff>
    </xdr:from>
    <xdr:to>
      <xdr:col>6</xdr:col>
      <xdr:colOff>151847</xdr:colOff>
      <xdr:row>27</xdr:row>
      <xdr:rowOff>179456</xdr:rowOff>
    </xdr:to>
    <xdr:sp macro="" textlink="">
      <xdr:nvSpPr>
        <xdr:cNvPr id="4" name="角丸四角形吹き出し 3">
          <a:extLst>
            <a:ext uri="{FF2B5EF4-FFF2-40B4-BE49-F238E27FC236}">
              <a16:creationId xmlns:a16="http://schemas.microsoft.com/office/drawing/2014/main" id="{FBB13906-E123-9A49-8B23-EA7655F9927D}"/>
            </a:ext>
          </a:extLst>
        </xdr:cNvPr>
        <xdr:cNvSpPr/>
      </xdr:nvSpPr>
      <xdr:spPr>
        <a:xfrm>
          <a:off x="138594" y="1643270"/>
          <a:ext cx="6114775" cy="4016512"/>
        </a:xfrm>
        <a:prstGeom prst="wedgeRoundRectCallout">
          <a:avLst>
            <a:gd name="adj1" fmla="val -17300"/>
            <a:gd name="adj2" fmla="val -2103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/>
            <a:t>下記の順で入力ください</a:t>
          </a:r>
          <a:endParaRPr kumimoji="1" lang="en-US" altLang="ja-JP" sz="1400"/>
        </a:p>
        <a:p>
          <a:pPr algn="l"/>
          <a:endParaRPr kumimoji="1" lang="en-US" altLang="ja-JP" sz="1400"/>
        </a:p>
        <a:p>
          <a:pPr algn="l"/>
          <a:r>
            <a:rPr kumimoji="1" lang="en-US" altLang="ja-JP" sz="1400"/>
            <a:t>①</a:t>
          </a:r>
          <a:r>
            <a:rPr kumimoji="1" lang="ja-JP" altLang="en-US" sz="1400"/>
            <a:t>プラン番号</a:t>
          </a:r>
          <a:endParaRPr kumimoji="1" lang="en-US" altLang="ja-JP" sz="1400"/>
        </a:p>
        <a:p>
          <a:pPr algn="l"/>
          <a:r>
            <a:rPr kumimoji="1" lang="en-US" altLang="ja-JP" sz="1400"/>
            <a:t>②</a:t>
          </a:r>
          <a:r>
            <a:rPr kumimoji="1" lang="ja-JP" altLang="en-US" sz="1400"/>
            <a:t>販売商品コード</a:t>
          </a:r>
          <a:endParaRPr kumimoji="1" lang="en-US" altLang="ja-JP" sz="1400"/>
        </a:p>
        <a:p>
          <a:pPr algn="l"/>
          <a:r>
            <a:rPr kumimoji="1" lang="en-US" altLang="ja-JP" sz="1400"/>
            <a:t>③</a:t>
          </a:r>
          <a:r>
            <a:rPr kumimoji="1" lang="ja-JP" altLang="en-US" sz="1400"/>
            <a:t>主契約</a:t>
          </a:r>
          <a:r>
            <a:rPr kumimoji="1" lang="en-US" altLang="ja-JP" sz="1400"/>
            <a:t>/</a:t>
          </a:r>
          <a:r>
            <a:rPr kumimoji="1" lang="ja-JP" altLang="en-US" sz="1400"/>
            <a:t>特約</a:t>
          </a:r>
          <a:endParaRPr kumimoji="1" lang="en-US" altLang="ja-JP" sz="1400"/>
        </a:p>
        <a:p>
          <a:pPr algn="l"/>
          <a:r>
            <a:rPr kumimoji="1" lang="ja-JP" altLang="en-US" sz="1400"/>
            <a:t>　</a:t>
          </a:r>
          <a:r>
            <a:rPr kumimoji="1" lang="en-US" altLang="ja-JP" sz="1400"/>
            <a:t>※</a:t>
          </a:r>
          <a:r>
            <a:rPr kumimoji="1" lang="ja-JP" altLang="en-US" sz="1400"/>
            <a:t>該当約款コードは自動入力</a:t>
          </a:r>
          <a:endParaRPr kumimoji="1" lang="en-US" altLang="ja-JP" sz="1400"/>
        </a:p>
        <a:p>
          <a:pPr algn="l"/>
          <a:r>
            <a:rPr kumimoji="1" lang="en-US" altLang="ja-JP" sz="1400"/>
            <a:t>④</a:t>
          </a:r>
          <a:r>
            <a:rPr kumimoji="1" lang="ja-JP" altLang="en-US" sz="1400"/>
            <a:t>標準約款コード</a:t>
          </a:r>
          <a:endParaRPr kumimoji="1" lang="en-US" altLang="ja-JP" sz="1400"/>
        </a:p>
        <a:p>
          <a:pPr algn="l"/>
          <a:r>
            <a:rPr kumimoji="1" lang="ja-JP" altLang="en-US" sz="1400"/>
            <a:t>　</a:t>
          </a:r>
          <a:r>
            <a:rPr kumimoji="1" lang="en-US" altLang="ja-JP" sz="1400"/>
            <a:t>※</a:t>
          </a:r>
          <a:r>
            <a:rPr kumimoji="1" lang="ja-JP" altLang="en-US" sz="1400"/>
            <a:t>約款バージョンは固定</a:t>
          </a:r>
          <a:r>
            <a:rPr kumimoji="1" lang="en-US" altLang="ja-JP" sz="1400"/>
            <a:t>001</a:t>
          </a:r>
        </a:p>
        <a:p>
          <a:pPr algn="l"/>
          <a:r>
            <a:rPr kumimoji="1" lang="ja-JP" altLang="en-US" sz="1400"/>
            <a:t>　</a:t>
          </a:r>
          <a:r>
            <a:rPr kumimoji="1" lang="en-US" altLang="ja-JP" sz="1400"/>
            <a:t>※</a:t>
          </a:r>
          <a:r>
            <a:rPr kumimoji="1" lang="ja-JP" altLang="en-US" sz="1400"/>
            <a:t>約款名は自動入力</a:t>
          </a:r>
          <a:endParaRPr kumimoji="1" lang="en-US" altLang="ja-JP" sz="1400"/>
        </a:p>
        <a:p>
          <a:pPr algn="l"/>
          <a:r>
            <a:rPr kumimoji="1" lang="en-US" altLang="ja-JP" sz="1400"/>
            <a:t>⑤</a:t>
          </a:r>
          <a:r>
            <a:rPr kumimoji="1" lang="ja-JP" altLang="en-US" sz="1400"/>
            <a:t>条件</a:t>
          </a:r>
          <a:r>
            <a:rPr kumimoji="1" lang="en-US" altLang="ja-JP" sz="1400"/>
            <a:t>(</a:t>
          </a:r>
          <a:r>
            <a:rPr kumimoji="1" lang="ja-JP" altLang="en-US" sz="1400"/>
            <a:t>性別</a:t>
          </a:r>
          <a:r>
            <a:rPr kumimoji="1" lang="en-US" altLang="ja-JP" sz="1400"/>
            <a:t>)</a:t>
          </a:r>
        </a:p>
        <a:p>
          <a:pPr algn="l"/>
          <a:r>
            <a:rPr kumimoji="1" lang="en-US" altLang="ja-JP" sz="1400"/>
            <a:t>⑥</a:t>
          </a:r>
          <a:r>
            <a:rPr kumimoji="1" lang="ja-JP" altLang="en-US" sz="1400"/>
            <a:t>条件</a:t>
          </a:r>
          <a:r>
            <a:rPr kumimoji="1" lang="en-US" altLang="ja-JP" sz="1400"/>
            <a:t>From(</a:t>
          </a:r>
          <a:r>
            <a:rPr kumimoji="1" lang="ja-JP" altLang="en-US" sz="1400"/>
            <a:t>年齢</a:t>
          </a:r>
          <a:r>
            <a:rPr kumimoji="1" lang="en-US" altLang="ja-JP" sz="1400"/>
            <a:t>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/>
            <a:t>⑦</a:t>
          </a:r>
          <a:r>
            <a:rPr kumimoji="1" lang="ja-JP" altLang="en-US" sz="1400"/>
            <a:t>条件</a:t>
          </a:r>
          <a:r>
            <a:rPr kumimoji="1" lang="en-US" altLang="ja-JP" sz="1400"/>
            <a:t>To(</a:t>
          </a:r>
          <a:r>
            <a:rPr kumimoji="1" lang="ja-JP" altLang="en-US" sz="1400"/>
            <a:t>年齢</a:t>
          </a:r>
          <a:r>
            <a:rPr kumimoji="1" lang="en-US" altLang="ja-JP" sz="1400"/>
            <a:t>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/>
            <a:t>⑧</a:t>
          </a:r>
          <a:r>
            <a:rPr kumimoji="1" lang="ja-JP" altLang="en-US" sz="1400"/>
            <a:t>商品レコメンドフラグ</a:t>
          </a:r>
          <a:endParaRPr kumimoji="1" lang="en-US" altLang="ja-JP" sz="14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/>
            <a:t>⑨</a:t>
          </a:r>
          <a:r>
            <a:rPr kumimoji="1" lang="ja-JP" altLang="en-US" sz="1400"/>
            <a:t>プランレコメンドフラグ</a:t>
          </a:r>
          <a:endParaRPr kumimoji="1" lang="en-US" altLang="ja-JP" sz="14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/>
            <a:t>⑩</a:t>
          </a:r>
          <a:r>
            <a:rPr kumimoji="1" lang="ja-JP" altLang="en-US" sz="1400"/>
            <a:t>プリセット汎用設定値</a:t>
          </a:r>
          <a:endParaRPr kumimoji="1" lang="en-US" altLang="ja-JP" sz="14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4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165653</xdr:colOff>
      <xdr:row>5</xdr:row>
      <xdr:rowOff>165651</xdr:rowOff>
    </xdr:from>
    <xdr:to>
      <xdr:col>12</xdr:col>
      <xdr:colOff>759240</xdr:colOff>
      <xdr:row>13</xdr:row>
      <xdr:rowOff>138042</xdr:rowOff>
    </xdr:to>
    <xdr:sp macro="" textlink="">
      <xdr:nvSpPr>
        <xdr:cNvPr id="5" name="角丸四角形吹き出し 4">
          <a:extLst>
            <a:ext uri="{FF2B5EF4-FFF2-40B4-BE49-F238E27FC236}">
              <a16:creationId xmlns:a16="http://schemas.microsoft.com/office/drawing/2014/main" id="{6ED49647-DA8B-A243-88E6-2E086A52AA15}"/>
            </a:ext>
          </a:extLst>
        </xdr:cNvPr>
        <xdr:cNvSpPr/>
      </xdr:nvSpPr>
      <xdr:spPr>
        <a:xfrm>
          <a:off x="11167718" y="1697934"/>
          <a:ext cx="2678044" cy="1408043"/>
        </a:xfrm>
        <a:prstGeom prst="wedgeRoundRectCallout">
          <a:avLst>
            <a:gd name="adj1" fmla="val -22379"/>
            <a:gd name="adj2" fmla="val -6311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商品レコメンドフラグ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灰色セルになった場合は入力不要です。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13</xdr:row>
      <xdr:rowOff>0</xdr:rowOff>
    </xdr:from>
    <xdr:ext cx="1762125" cy="87630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>
        <a:xfrm>
          <a:off x="4474463" y="3356138"/>
          <a:ext cx="1743075" cy="847725"/>
        </a:xfrm>
        <a:prstGeom prst="rect">
          <a:avLst/>
        </a:prstGeom>
        <a:solidFill>
          <a:srgbClr val="4472C4">
            <a:alpha val="65882"/>
          </a:srgbClr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6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sample</a:t>
          </a:r>
          <a:endParaRPr sz="6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90C-3A6F-D846-AC53-FCE8B9C55090}">
  <sheetPr codeName="Sheet2"/>
  <dimension ref="A1:AG1048460"/>
  <sheetViews>
    <sheetView zoomScale="92" workbookViewId="0">
      <selection activeCell="G47" sqref="G47"/>
    </sheetView>
  </sheetViews>
  <sheetFormatPr baseColWidth="10" defaultRowHeight="14"/>
  <cols>
    <col min="1" max="1" width="12.83203125" style="9" customWidth="1"/>
    <col min="2" max="2" width="15.33203125" style="9" customWidth="1"/>
    <col min="3" max="3" width="7.83203125" style="9" customWidth="1"/>
    <col min="4" max="4" width="15.6640625" style="9" customWidth="1"/>
    <col min="5" max="5" width="14.83203125" style="9" customWidth="1"/>
    <col min="6" max="6" width="13.6640625" style="9" customWidth="1"/>
    <col min="7" max="7" width="34" style="9" customWidth="1"/>
    <col min="8" max="8" width="11.6640625" style="9" customWidth="1"/>
    <col min="9" max="9" width="9.5" style="9" customWidth="1"/>
    <col min="10" max="10" width="9.1640625" style="9" customWidth="1"/>
    <col min="11" max="11" width="13.83203125" style="9" customWidth="1"/>
    <col min="12" max="12" width="13.6640625" style="9" customWidth="1"/>
    <col min="13" max="13" width="21" style="9" customWidth="1"/>
    <col min="14" max="14" width="15.1640625" style="9" customWidth="1"/>
    <col min="15" max="15" width="20.6640625" style="9" customWidth="1"/>
    <col min="16" max="16" width="13.5" style="9" customWidth="1"/>
    <col min="17" max="17" width="18" style="9" customWidth="1"/>
    <col min="18" max="18" width="15" style="9" customWidth="1"/>
    <col min="19" max="19" width="20.83203125" style="9" customWidth="1"/>
    <col min="20" max="20" width="27.6640625" style="9" customWidth="1"/>
    <col min="21" max="21" width="21.83203125" style="9" customWidth="1"/>
    <col min="22" max="22" width="14.5" style="9" customWidth="1"/>
    <col min="23" max="23" width="23.1640625" style="9" customWidth="1"/>
    <col min="24" max="24" width="15.6640625" style="9" customWidth="1"/>
    <col min="25" max="33" width="27.6640625" style="9" customWidth="1"/>
    <col min="34" max="16384" width="10.83203125" style="9"/>
  </cols>
  <sheetData>
    <row r="1" spans="1:33" ht="61" customHeight="1">
      <c r="A1" s="12" t="s">
        <v>170</v>
      </c>
      <c r="B1" s="13" t="s">
        <v>20</v>
      </c>
      <c r="C1" s="12" t="s">
        <v>94</v>
      </c>
      <c r="D1" s="13" t="s">
        <v>19</v>
      </c>
      <c r="E1" s="13" t="s">
        <v>38</v>
      </c>
      <c r="F1" s="13" t="s">
        <v>30</v>
      </c>
      <c r="G1" s="13" t="s">
        <v>93</v>
      </c>
      <c r="H1" s="12" t="s">
        <v>99</v>
      </c>
      <c r="I1" s="12" t="s">
        <v>101</v>
      </c>
      <c r="J1" s="11" t="s">
        <v>102</v>
      </c>
      <c r="K1" s="14" t="s">
        <v>97</v>
      </c>
      <c r="L1" s="14" t="s">
        <v>98</v>
      </c>
      <c r="M1" s="15" t="s">
        <v>103</v>
      </c>
      <c r="N1" s="12" t="s">
        <v>104</v>
      </c>
      <c r="O1" s="12" t="s">
        <v>105</v>
      </c>
      <c r="P1" s="12" t="s">
        <v>106</v>
      </c>
      <c r="Q1" s="12" t="s">
        <v>108</v>
      </c>
      <c r="R1" s="12" t="s">
        <v>107</v>
      </c>
      <c r="S1" s="12" t="s">
        <v>109</v>
      </c>
      <c r="T1" s="12" t="s">
        <v>110</v>
      </c>
      <c r="U1" s="12" t="s">
        <v>111</v>
      </c>
      <c r="V1" s="12" t="s">
        <v>112</v>
      </c>
      <c r="W1" s="12" t="s">
        <v>113</v>
      </c>
      <c r="X1" s="11" t="s">
        <v>114</v>
      </c>
      <c r="Y1" s="5" t="s">
        <v>21</v>
      </c>
      <c r="Z1" s="5" t="s">
        <v>22</v>
      </c>
      <c r="AA1" s="5" t="s">
        <v>23</v>
      </c>
      <c r="AB1" s="5" t="s">
        <v>24</v>
      </c>
      <c r="AC1" s="5" t="s">
        <v>25</v>
      </c>
      <c r="AD1" s="5" t="s">
        <v>26</v>
      </c>
      <c r="AE1" s="5" t="s">
        <v>27</v>
      </c>
      <c r="AF1" s="5" t="s">
        <v>28</v>
      </c>
      <c r="AG1" s="6" t="s">
        <v>29</v>
      </c>
    </row>
    <row r="2" spans="1:33" ht="15">
      <c r="A2" s="7">
        <v>1</v>
      </c>
      <c r="B2" s="7" t="s">
        <v>169</v>
      </c>
      <c r="C2" s="7">
        <v>0</v>
      </c>
      <c r="D2" s="7" t="str">
        <f>IF(B2="03A003","030",IF(C2=1,"310","D10"))</f>
        <v>D10</v>
      </c>
      <c r="E2" s="7"/>
      <c r="F2" s="20" t="s">
        <v>44</v>
      </c>
      <c r="G2" s="19" t="str">
        <f>IFERROR(VLOOKUP(E2,設定値!B22:K52,3,FALSE),"")</f>
        <v/>
      </c>
      <c r="H2" s="8" t="s">
        <v>18</v>
      </c>
      <c r="I2" s="8" t="s">
        <v>100</v>
      </c>
      <c r="J2" s="8" t="s">
        <v>171</v>
      </c>
      <c r="K2" s="26"/>
      <c r="L2" s="19"/>
      <c r="M2" s="19" t="str">
        <f>IFERROR(VLOOKUP(E2,設定値!B22:K52,4,FALSE)&amp;"","")</f>
        <v/>
      </c>
      <c r="N2" s="19"/>
      <c r="O2" s="19" t="str">
        <f>IFERROR(VLOOKUP(E2,設定値!B22:K52,5,FALSE)&amp;"","")</f>
        <v/>
      </c>
      <c r="P2" s="19"/>
      <c r="Q2" s="19" t="str">
        <f>IFERROR(VLOOKUP(E2,設定値!B22:K52,6,FALSE)&amp;"","")</f>
        <v/>
      </c>
      <c r="R2" s="19"/>
      <c r="S2" s="19" t="str">
        <f>IFERROR(VLOOKUP(E2,設定値!B22:K52,7,FALSE)&amp;"","")</f>
        <v/>
      </c>
      <c r="T2" s="19"/>
      <c r="U2" s="19" t="str">
        <f>IFERROR(VLOOKUP(E2,設定値!B22:K52,8,FALSE)&amp;"","")</f>
        <v/>
      </c>
      <c r="V2" s="19"/>
      <c r="W2" s="19" t="str">
        <f>IFERROR(VLOOKUP(E2,設定値!B22:K52,9,FALSE)&amp;"","")</f>
        <v/>
      </c>
      <c r="X2" s="19"/>
      <c r="Y2" s="19"/>
      <c r="Z2" s="7"/>
      <c r="AA2" s="7"/>
      <c r="AB2" s="7"/>
      <c r="AC2" s="7"/>
      <c r="AD2" s="7"/>
      <c r="AE2" s="7"/>
      <c r="AF2" s="7"/>
      <c r="AG2" s="7"/>
    </row>
    <row r="3" spans="1:33" ht="15">
      <c r="A3" s="7">
        <v>1</v>
      </c>
      <c r="B3" s="7" t="s">
        <v>123</v>
      </c>
      <c r="C3" s="7">
        <v>0</v>
      </c>
      <c r="D3" s="7" t="str">
        <f>IF(B3="03A003","030",IF(C3=1,"310","D10"))</f>
        <v>030</v>
      </c>
      <c r="E3" s="7"/>
      <c r="F3" s="20" t="s">
        <v>44</v>
      </c>
      <c r="G3" s="19" t="str">
        <f>IFERROR(VLOOKUP(E3,設定値!B23:K53,3,FALSE),"")</f>
        <v/>
      </c>
      <c r="H3" s="8" t="s">
        <v>18</v>
      </c>
      <c r="I3" s="8" t="s">
        <v>100</v>
      </c>
      <c r="J3" s="8" t="s">
        <v>171</v>
      </c>
      <c r="K3" s="26"/>
      <c r="L3" s="19"/>
      <c r="M3" s="19" t="str">
        <f>IFERROR(VLOOKUP(E3,設定値!B23:K53,4,FALSE)&amp;"","")</f>
        <v/>
      </c>
      <c r="N3" s="19"/>
      <c r="O3" s="19" t="str">
        <f>IFERROR(VLOOKUP(E3,設定値!B23:K53,5,FALSE)&amp;"","")</f>
        <v/>
      </c>
      <c r="P3" s="19"/>
      <c r="Q3" s="19" t="str">
        <f>IFERROR(VLOOKUP(E3,設定値!B23:K53,6,FALSE)&amp;"","")</f>
        <v/>
      </c>
      <c r="R3" s="19"/>
      <c r="S3" s="19" t="str">
        <f>IFERROR(VLOOKUP(E3,設定値!B23:K53,7,FALSE)&amp;"","")</f>
        <v/>
      </c>
      <c r="T3" s="19"/>
      <c r="U3" s="19" t="str">
        <f>IFERROR(VLOOKUP(E3,設定値!B23:K53,8,FALSE)&amp;"","")</f>
        <v/>
      </c>
      <c r="V3" s="19"/>
      <c r="W3" s="19" t="str">
        <f>IFERROR(VLOOKUP(E3,設定値!B23:K53,9,FALSE)&amp;"","")</f>
        <v/>
      </c>
      <c r="X3" s="19"/>
      <c r="Y3" s="19"/>
      <c r="Z3" s="7"/>
      <c r="AA3" s="7"/>
      <c r="AB3" s="7"/>
      <c r="AC3" s="7"/>
      <c r="AD3" s="7"/>
      <c r="AE3" s="7"/>
      <c r="AF3" s="7"/>
      <c r="AG3" s="7"/>
    </row>
    <row r="4" spans="1:33" ht="15">
      <c r="A4" s="7">
        <v>2</v>
      </c>
      <c r="B4" s="7" t="s">
        <v>88</v>
      </c>
      <c r="C4" s="7">
        <v>1</v>
      </c>
      <c r="D4" s="7" t="str">
        <f>IF(B4="03A003","030",IF(C4=1,"310","D10"))</f>
        <v>310</v>
      </c>
      <c r="E4" s="7"/>
      <c r="F4" s="20" t="s">
        <v>44</v>
      </c>
      <c r="G4" s="19" t="str">
        <f>IFERROR(VLOOKUP(E4,設定値!B24:K87,3,FALSE),"")</f>
        <v/>
      </c>
      <c r="H4" s="8" t="s">
        <v>18</v>
      </c>
      <c r="I4" s="8" t="s">
        <v>100</v>
      </c>
      <c r="J4" s="8" t="s">
        <v>171</v>
      </c>
      <c r="K4" s="26"/>
      <c r="L4" s="19"/>
      <c r="M4" s="19" t="str">
        <f>IFERROR(VLOOKUP(E4,設定値!B24:K87,4,FALSE)&amp;"","")</f>
        <v/>
      </c>
      <c r="N4" s="19"/>
      <c r="O4" s="19" t="str">
        <f>IFERROR(VLOOKUP(E4,設定値!B24:K87,5,FALSE)&amp;"","")</f>
        <v/>
      </c>
      <c r="P4" s="19"/>
      <c r="Q4" s="19" t="str">
        <f>IFERROR(VLOOKUP(E4,設定値!B24:K87,6,FALSE)&amp;"","")</f>
        <v/>
      </c>
      <c r="R4" s="19"/>
      <c r="S4" s="19" t="str">
        <f>IFERROR(VLOOKUP(E4,設定値!B24:K87,7,FALSE)&amp;"","")</f>
        <v/>
      </c>
      <c r="T4" s="19"/>
      <c r="U4" s="19" t="str">
        <f>IFERROR(VLOOKUP(E4,設定値!B24:K87,8,FALSE)&amp;"","")</f>
        <v/>
      </c>
      <c r="V4" s="19"/>
      <c r="W4" s="19" t="str">
        <f>IFERROR(VLOOKUP(E4,設定値!B24:K87,9,FALSE)&amp;"","")</f>
        <v/>
      </c>
      <c r="X4" s="19"/>
      <c r="Y4" s="19"/>
      <c r="Z4" s="7"/>
      <c r="AA4" s="7"/>
      <c r="AB4" s="7"/>
      <c r="AC4" s="7"/>
      <c r="AD4" s="7"/>
      <c r="AE4" s="7"/>
      <c r="AF4" s="7"/>
      <c r="AG4" s="7"/>
    </row>
    <row r="1047442" spans="1:2">
      <c r="A1047442" s="7"/>
      <c r="B1047442" s="10"/>
    </row>
    <row r="1048460" spans="16:16" ht="15">
      <c r="P1048460" s="8"/>
    </row>
  </sheetData>
  <dataConsolidate/>
  <phoneticPr fontId="10"/>
  <conditionalFormatting sqref="K2:K3">
    <cfRule type="expression" dxfId="220" priority="11">
      <formula>OR($A2&lt;&gt;1,$C2&lt;&gt;1)</formula>
    </cfRule>
  </conditionalFormatting>
  <conditionalFormatting sqref="K3">
    <cfRule type="expression" dxfId="219" priority="7">
      <formula>AND($A3&lt;&gt;1,$C3&lt;&gt;1)</formula>
    </cfRule>
  </conditionalFormatting>
  <conditionalFormatting sqref="L2">
    <cfRule type="expression" dxfId="218" priority="6">
      <formula>$C2=0</formula>
    </cfRule>
  </conditionalFormatting>
  <conditionalFormatting sqref="L3">
    <cfRule type="expression" dxfId="217" priority="4">
      <formula>$C3=0</formula>
    </cfRule>
  </conditionalFormatting>
  <conditionalFormatting sqref="K4">
    <cfRule type="expression" dxfId="216" priority="3">
      <formula>OR($A4&lt;&gt;1,$C4&lt;&gt;1)</formula>
    </cfRule>
  </conditionalFormatting>
  <conditionalFormatting sqref="K4">
    <cfRule type="expression" dxfId="215" priority="2">
      <formula>AND($A4&lt;&gt;1,$C4&lt;&gt;1)</formula>
    </cfRule>
  </conditionalFormatting>
  <conditionalFormatting sqref="L4">
    <cfRule type="expression" dxfId="214" priority="1">
      <formula>$C4=0</formula>
    </cfRule>
  </conditionalFormatting>
  <dataValidations count="5">
    <dataValidation type="list" allowBlank="1" showInputMessage="1" showErrorMessage="1" sqref="C2:C4" xr:uid="{43236932-23C3-8F45-9261-1FEA005946A8}">
      <formula1>"1,0"</formula1>
    </dataValidation>
    <dataValidation type="list" allowBlank="1" showInputMessage="1" showErrorMessage="1" sqref="H2:H4" xr:uid="{E31DDABA-D56F-CA43-9445-3017B5351C0B}">
      <formula1>"1,2"</formula1>
    </dataValidation>
    <dataValidation type="list" allowBlank="1" showInputMessage="1" showErrorMessage="1" sqref="A2:A4" xr:uid="{DB14FFCB-BD8D-3E4C-A0EB-3FA09B161EE5}">
      <formula1>"1,2,3"</formula1>
    </dataValidation>
    <dataValidation type="list" errorStyle="information" allowBlank="1" showInputMessage="1" sqref="N2:N4 P2:P4 R2:R4 T2:T4 V2:V4 X2:X4" xr:uid="{0FDADF48-DD75-1444-998B-EE1DCC65F26F}">
      <formula1>INDIRECT(M2)</formula1>
    </dataValidation>
    <dataValidation type="list" allowBlank="1" showInputMessage="1" showErrorMessage="1" sqref="E2:E4" xr:uid="{DA425C98-7323-4442-94C6-44B665BC4BD9}">
      <formula1>INDIRECT("_"&amp;B2&amp;"_"&amp;C2)</formula1>
    </dataValidation>
  </dataValidations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74790F-856F-524C-BE54-A5200F1281B1}">
          <x14:formula1>
            <xm:f>設定値!#REF!</xm:f>
          </x14:formula1>
          <xm:sqref>B1047442:B1048576</xm:sqref>
        </x14:dataValidation>
        <x14:dataValidation type="list" allowBlank="1" showInputMessage="1" showErrorMessage="1" xr:uid="{27C14E02-5F9B-5349-9348-CD48B61E7CD7}">
          <x14:formula1>
            <xm:f>設定値!$B$2:$F$2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8EBD4-FAB7-2045-BF5D-D2A31C381A43}">
  <sheetPr codeName="Sheet5">
    <tabColor rgb="FFFFFF00"/>
  </sheetPr>
  <dimension ref="A1:AF1048363"/>
  <sheetViews>
    <sheetView tabSelected="1" topLeftCell="O32" zoomScale="92" workbookViewId="0">
      <selection activeCell="W58" sqref="W58"/>
    </sheetView>
  </sheetViews>
  <sheetFormatPr baseColWidth="10" defaultRowHeight="14"/>
  <cols>
    <col min="1" max="1" width="6.1640625" style="9" customWidth="1"/>
    <col min="2" max="2" width="15.33203125" style="9" customWidth="1"/>
    <col min="3" max="3" width="7.83203125" style="9" customWidth="1"/>
    <col min="4" max="4" width="15.6640625" style="9" customWidth="1"/>
    <col min="5" max="5" width="14.83203125" style="9" customWidth="1"/>
    <col min="6" max="6" width="13.6640625" style="9" customWidth="1"/>
    <col min="7" max="7" width="34" style="9" customWidth="1"/>
    <col min="8" max="8" width="11.6640625" style="9" customWidth="1"/>
    <col min="9" max="9" width="9.5" style="9" customWidth="1"/>
    <col min="10" max="10" width="9.1640625" style="9" customWidth="1"/>
    <col min="11" max="11" width="13.83203125" style="9" customWidth="1"/>
    <col min="12" max="12" width="13.6640625" style="9" customWidth="1"/>
    <col min="13" max="13" width="21" style="9" customWidth="1"/>
    <col min="14" max="14" width="15.1640625" style="9" customWidth="1"/>
    <col min="15" max="15" width="20.6640625" style="9" customWidth="1"/>
    <col min="16" max="16" width="13.5" style="9" customWidth="1"/>
    <col min="17" max="17" width="18" style="9" customWidth="1"/>
    <col min="18" max="18" width="15" style="9" customWidth="1"/>
    <col min="19" max="19" width="20.83203125" style="9" customWidth="1"/>
    <col min="20" max="20" width="17" style="9" customWidth="1"/>
    <col min="21" max="21" width="21.83203125" style="9" customWidth="1"/>
    <col min="22" max="22" width="14.5" style="9" customWidth="1"/>
    <col min="23" max="23" width="23.1640625" style="9" customWidth="1"/>
    <col min="24" max="24" width="15.6640625" style="9" customWidth="1"/>
    <col min="25" max="32" width="27.6640625" style="9" customWidth="1"/>
    <col min="33" max="16384" width="10.83203125" style="9"/>
  </cols>
  <sheetData>
    <row r="1" spans="1:32" ht="61" customHeight="1">
      <c r="A1" s="12" t="s">
        <v>96</v>
      </c>
      <c r="B1" s="13" t="s">
        <v>20</v>
      </c>
      <c r="C1" s="12" t="s">
        <v>94</v>
      </c>
      <c r="D1" s="13" t="s">
        <v>254</v>
      </c>
      <c r="E1" s="13" t="s">
        <v>38</v>
      </c>
      <c r="F1" s="13" t="s">
        <v>30</v>
      </c>
      <c r="G1" s="13" t="s">
        <v>93</v>
      </c>
      <c r="H1" s="12" t="s">
        <v>99</v>
      </c>
      <c r="I1" s="12" t="s">
        <v>101</v>
      </c>
      <c r="J1" s="11" t="s">
        <v>102</v>
      </c>
      <c r="K1" s="14" t="s">
        <v>97</v>
      </c>
      <c r="L1" s="14" t="s">
        <v>98</v>
      </c>
      <c r="M1" s="15" t="s">
        <v>103</v>
      </c>
      <c r="N1" s="12" t="s">
        <v>104</v>
      </c>
      <c r="O1" s="12" t="s">
        <v>105</v>
      </c>
      <c r="P1" s="12" t="s">
        <v>106</v>
      </c>
      <c r="Q1" s="12" t="s">
        <v>108</v>
      </c>
      <c r="R1" s="12" t="s">
        <v>107</v>
      </c>
      <c r="S1" s="12" t="s">
        <v>109</v>
      </c>
      <c r="T1" s="12" t="s">
        <v>110</v>
      </c>
      <c r="U1" s="12" t="s">
        <v>111</v>
      </c>
      <c r="V1" s="12" t="s">
        <v>112</v>
      </c>
      <c r="W1" s="12" t="s">
        <v>113</v>
      </c>
      <c r="X1" s="11" t="s">
        <v>114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6" t="s">
        <v>29</v>
      </c>
    </row>
    <row r="2" spans="1:32" ht="15">
      <c r="A2" s="27" t="s">
        <v>18</v>
      </c>
      <c r="B2" s="7" t="s">
        <v>88</v>
      </c>
      <c r="C2" s="27" t="s">
        <v>18</v>
      </c>
      <c r="D2" s="7" t="s">
        <v>172</v>
      </c>
      <c r="E2" s="7" t="str">
        <f>IF(B2="03A003","030",IF(C2="1","310","D10"))</f>
        <v>310</v>
      </c>
      <c r="F2" s="20" t="s">
        <v>44</v>
      </c>
      <c r="G2" s="19" t="str">
        <f>IFERROR(VLOOKUP(D2&amp;C2,設定値!$B$55:$L$85,3,FALSE),"")</f>
        <v>医療終身保険（無解約払戻金型）</v>
      </c>
      <c r="H2" s="8" t="s">
        <v>18</v>
      </c>
      <c r="I2" s="8" t="s">
        <v>100</v>
      </c>
      <c r="J2" s="8" t="s">
        <v>171</v>
      </c>
      <c r="K2" s="26">
        <v>1</v>
      </c>
      <c r="L2" s="19">
        <v>1</v>
      </c>
      <c r="M2" s="19" t="str">
        <f>IFERROR(VLOOKUP($D2&amp;$C2,設定値!$B$55:$N$85,4,FALSE)&amp;"","")</f>
        <v>benefit</v>
      </c>
      <c r="N2" s="19">
        <v>3000</v>
      </c>
      <c r="O2" s="19" t="str">
        <f>IFERROR(VLOOKUP($D2&amp;$C2,設定値!$B$55:$N$85,5,FALSE)&amp;"","")</f>
        <v>insurancePeriodClass</v>
      </c>
      <c r="P2" s="19" t="s">
        <v>240</v>
      </c>
      <c r="Q2" s="19" t="str">
        <f>IFERROR(VLOOKUP($D2&amp;$C2,設定値!$B$55:$N$85,6,FALSE)&amp;"","")</f>
        <v>insurancePeriod</v>
      </c>
      <c r="R2" s="19" t="s">
        <v>174</v>
      </c>
      <c r="S2" s="19" t="str">
        <f>IFERROR(VLOOKUP($D2&amp;$C2,設定値!$B$55:$N$85,7,FALSE)&amp;"","")</f>
        <v>paymentPeriodClass</v>
      </c>
      <c r="T2" s="19" t="s">
        <v>240</v>
      </c>
      <c r="U2" s="19" t="str">
        <f>IFERROR(VLOOKUP($D2&amp;$C2,設定値!$B$55:$N$85,8,FALSE)&amp;"","")</f>
        <v>paymentPeriod</v>
      </c>
      <c r="V2" s="19" t="s">
        <v>174</v>
      </c>
      <c r="W2" s="19" t="str">
        <f>IFERROR(VLOOKUP($D2&amp;$C2,設定値!$B$55:$N$85,9,FALSE)&amp;"","")</f>
        <v>hosCovPayLimitClass</v>
      </c>
      <c r="X2" s="19" t="s">
        <v>175</v>
      </c>
      <c r="Y2" s="19" t="str">
        <f>IFERROR(VLOOKUP($D2&amp;$C2,設定値!$B$55:$N$85,10,FALSE)&amp;"","")</f>
        <v>benefitPayConvCls</v>
      </c>
      <c r="Z2" s="19" t="s">
        <v>18</v>
      </c>
      <c r="AA2" s="19" t="str">
        <f>IFERROR(VLOOKUP($D2&amp;$C2,設定値!$B$55:$N$85,11,FALSE)&amp;"","")</f>
        <v>disHsptUnlmtDaysSpPrv</v>
      </c>
      <c r="AB2" s="19" t="s">
        <v>18</v>
      </c>
      <c r="AC2" s="19" t="str">
        <f>IFERROR(VLOOKUP($D2&amp;$C2,設定値!$B$55:$N$85,12,FALSE)&amp;"","")</f>
        <v>freeOfPRiderFlg</v>
      </c>
      <c r="AD2" s="19" t="s">
        <v>18</v>
      </c>
      <c r="AE2" s="19" t="str">
        <f>IFERROR(VLOOKUP($D2&amp;$C2,設定値!$B$55:$N$85,13,FALSE)&amp;"","")</f>
        <v>freeOfPremiumRiderCls</v>
      </c>
      <c r="AF2" s="19" t="s">
        <v>249</v>
      </c>
    </row>
    <row r="3" spans="1:32" ht="15">
      <c r="A3" s="27" t="s">
        <v>18</v>
      </c>
      <c r="B3" s="7" t="s">
        <v>88</v>
      </c>
      <c r="C3" s="27" t="s">
        <v>211</v>
      </c>
      <c r="D3" s="7" t="s">
        <v>177</v>
      </c>
      <c r="E3" s="7" t="str">
        <f t="shared" ref="E3:E66" si="0">IF(B3="03A003","030",IF(C3="1","310","D10"))</f>
        <v>D10</v>
      </c>
      <c r="F3" s="20" t="s">
        <v>44</v>
      </c>
      <c r="G3" s="19" t="str">
        <f>IFERROR(VLOOKUP(D3&amp;C3,設定値!$B$55:$L$85,3,FALSE),"")</f>
        <v>入院一時給付特約</v>
      </c>
      <c r="H3" s="8" t="s">
        <v>18</v>
      </c>
      <c r="I3" s="8" t="s">
        <v>100</v>
      </c>
      <c r="J3" s="8" t="s">
        <v>171</v>
      </c>
      <c r="K3" s="26"/>
      <c r="L3" s="19"/>
      <c r="M3" s="19" t="str">
        <f>IFERROR(VLOOKUP($D3&amp;$C3,設定値!$B$55:$N$85,4,FALSE)&amp;"","")</f>
        <v>benefit</v>
      </c>
      <c r="N3" s="19">
        <v>10000</v>
      </c>
      <c r="O3" s="19" t="str">
        <f>IFERROR(VLOOKUP($D3&amp;$C3,設定値!$B$55:$N$85,5,FALSE)&amp;"","")</f>
        <v>insurancePeriodClass</v>
      </c>
      <c r="P3" s="19" t="s">
        <v>240</v>
      </c>
      <c r="Q3" s="19" t="str">
        <f>IFERROR(VLOOKUP($D3&amp;$C3,設定値!$B$55:$N$85,6,FALSE)&amp;"","")</f>
        <v>insurancePeriod</v>
      </c>
      <c r="R3" s="19" t="s">
        <v>174</v>
      </c>
      <c r="S3" s="19" t="str">
        <f>IFERROR(VLOOKUP($D3&amp;$C3,設定値!$B$55:$N$85,7,FALSE)&amp;"","")</f>
        <v>paymentPeriodClass</v>
      </c>
      <c r="T3" s="19" t="s">
        <v>240</v>
      </c>
      <c r="U3" s="19" t="str">
        <f>IFERROR(VLOOKUP($D3&amp;$C3,設定値!$B$55:$N$85,8,FALSE)&amp;"","")</f>
        <v>paymentPeriod</v>
      </c>
      <c r="V3" s="19" t="s">
        <v>174</v>
      </c>
      <c r="W3" s="19" t="str">
        <f>IFERROR(VLOOKUP($D3&amp;$C3,設定値!$B$55:$N$85,9,FALSE)&amp;"","")</f>
        <v/>
      </c>
      <c r="X3" s="19"/>
      <c r="Y3" s="19" t="str">
        <f>IFERROR(VLOOKUP($D3&amp;$C3,設定値!$B$55:$N$85,10,FALSE)&amp;"","")</f>
        <v/>
      </c>
      <c r="Z3" s="19"/>
      <c r="AA3" s="19" t="str">
        <f>IFERROR(VLOOKUP($D3&amp;$C3,設定値!$B$55:$N$85,11,FALSE)&amp;"","")</f>
        <v/>
      </c>
      <c r="AB3" s="19"/>
      <c r="AC3" s="19" t="str">
        <f>IFERROR(VLOOKUP($D3&amp;$C3,設定値!$B$55:$N$85,12,FALSE)&amp;"","")</f>
        <v/>
      </c>
      <c r="AD3" s="19"/>
      <c r="AE3" s="19" t="str">
        <f>IFERROR(VLOOKUP($D3&amp;$C3,設定値!$B$55:$N$85,13,FALSE)&amp;"","")</f>
        <v/>
      </c>
      <c r="AF3" s="19"/>
    </row>
    <row r="4" spans="1:32" ht="15">
      <c r="A4" s="27" t="s">
        <v>18</v>
      </c>
      <c r="B4" s="7" t="s">
        <v>88</v>
      </c>
      <c r="C4" s="27" t="s">
        <v>211</v>
      </c>
      <c r="D4" s="7" t="s">
        <v>183</v>
      </c>
      <c r="E4" s="7" t="str">
        <f t="shared" si="0"/>
        <v>D10</v>
      </c>
      <c r="F4" s="20" t="s">
        <v>44</v>
      </c>
      <c r="G4" s="19" t="str">
        <f>IFERROR(VLOOKUP(D4&amp;C4,設定値!$B$55:$L$85,3,FALSE),"")</f>
        <v>退院後通院特約</v>
      </c>
      <c r="H4" s="8" t="s">
        <v>18</v>
      </c>
      <c r="I4" s="8" t="s">
        <v>100</v>
      </c>
      <c r="J4" s="8" t="s">
        <v>171</v>
      </c>
      <c r="K4" s="26"/>
      <c r="L4" s="19"/>
      <c r="M4" s="19" t="str">
        <f>IFERROR(VLOOKUP($D4&amp;$C4,設定値!$B$55:$N$85,4,FALSE)&amp;"","")</f>
        <v>benefit</v>
      </c>
      <c r="N4" s="19">
        <v>2000</v>
      </c>
      <c r="O4" s="19" t="str">
        <f>IFERROR(VLOOKUP($D4&amp;$C4,設定値!$B$55:$N$85,5,FALSE)&amp;"","")</f>
        <v>insurancePeriodClass</v>
      </c>
      <c r="P4" s="19" t="s">
        <v>240</v>
      </c>
      <c r="Q4" s="19" t="str">
        <f>IFERROR(VLOOKUP($D4&amp;$C4,設定値!$B$55:$N$85,6,FALSE)&amp;"","")</f>
        <v>insurancePeriod</v>
      </c>
      <c r="R4" s="19" t="s">
        <v>174</v>
      </c>
      <c r="S4" s="19" t="str">
        <f>IFERROR(VLOOKUP($D4&amp;$C4,設定値!$B$55:$N$85,7,FALSE)&amp;"","")</f>
        <v>paymentPeriodClass</v>
      </c>
      <c r="T4" s="19" t="s">
        <v>240</v>
      </c>
      <c r="U4" s="19" t="str">
        <f>IFERROR(VLOOKUP($D4&amp;$C4,設定値!$B$55:$N$85,8,FALSE)&amp;"","")</f>
        <v>paymentPeriod</v>
      </c>
      <c r="V4" s="19" t="s">
        <v>174</v>
      </c>
      <c r="W4" s="19" t="str">
        <f>IFERROR(VLOOKUP($D4&amp;$C4,設定値!$B$55:$N$85,9,FALSE)&amp;"","")</f>
        <v/>
      </c>
      <c r="X4" s="19"/>
      <c r="Y4" s="19" t="str">
        <f>IFERROR(VLOOKUP($D4&amp;$C4,設定値!$B$55:$N$85,10,FALSE)&amp;"","")</f>
        <v/>
      </c>
      <c r="Z4" s="19"/>
      <c r="AA4" s="19" t="str">
        <f>IFERROR(VLOOKUP($D4&amp;$C4,設定値!$B$55:$N$85,11,FALSE)&amp;"","")</f>
        <v/>
      </c>
      <c r="AB4" s="19"/>
      <c r="AC4" s="19" t="str">
        <f>IFERROR(VLOOKUP($D4&amp;$C4,設定値!$B$55:$N$85,12,FALSE)&amp;"","")</f>
        <v/>
      </c>
      <c r="AD4" s="19"/>
      <c r="AE4" s="19" t="str">
        <f>IFERROR(VLOOKUP($D4&amp;$C4,設定値!$B$55:$N$85,13,FALSE)&amp;"","")</f>
        <v/>
      </c>
      <c r="AF4" s="19"/>
    </row>
    <row r="5" spans="1:32" ht="15">
      <c r="A5" s="27" t="s">
        <v>18</v>
      </c>
      <c r="B5" s="7" t="s">
        <v>88</v>
      </c>
      <c r="C5" s="27" t="s">
        <v>211</v>
      </c>
      <c r="D5" s="7" t="s">
        <v>178</v>
      </c>
      <c r="E5" s="7" t="str">
        <f t="shared" si="0"/>
        <v>D10</v>
      </c>
      <c r="F5" s="20" t="s">
        <v>44</v>
      </c>
      <c r="G5" s="19" t="str">
        <f>IFERROR(VLOOKUP(D5&amp;C5,設定値!$B$55:$L$85,3,FALSE),"")</f>
        <v>先進医療特約</v>
      </c>
      <c r="H5" s="8" t="s">
        <v>18</v>
      </c>
      <c r="I5" s="8" t="s">
        <v>100</v>
      </c>
      <c r="J5" s="8" t="s">
        <v>171</v>
      </c>
      <c r="K5" s="26"/>
      <c r="L5" s="19"/>
      <c r="M5" s="19" t="str">
        <f>IFERROR(VLOOKUP($D5&amp;$C5,設定値!$B$55:$N$85,4,FALSE)&amp;"","")</f>
        <v>additionType</v>
      </c>
      <c r="N5" s="19" t="s">
        <v>18</v>
      </c>
      <c r="O5" s="19" t="str">
        <f>IFERROR(VLOOKUP($D5&amp;$C5,設定値!$B$55:$N$85,5,FALSE)&amp;"","")</f>
        <v>insurancePeriodClass</v>
      </c>
      <c r="P5" s="19" t="s">
        <v>240</v>
      </c>
      <c r="Q5" s="19" t="str">
        <f>IFERROR(VLOOKUP($D5&amp;$C5,設定値!$B$55:$N$85,6,FALSE)&amp;"","")</f>
        <v>insurancePeriod</v>
      </c>
      <c r="R5" s="19" t="s">
        <v>174</v>
      </c>
      <c r="S5" s="19" t="str">
        <f>IFERROR(VLOOKUP($D5&amp;$C5,設定値!$B$55:$N$85,7,FALSE)&amp;"","")</f>
        <v>paymentPeriodClass</v>
      </c>
      <c r="T5" s="19" t="s">
        <v>240</v>
      </c>
      <c r="U5" s="19" t="str">
        <f>IFERROR(VLOOKUP($D5&amp;$C5,設定値!$B$55:$N$85,8,FALSE)&amp;"","")</f>
        <v>paymentPeriod</v>
      </c>
      <c r="V5" s="19" t="s">
        <v>174</v>
      </c>
      <c r="W5" s="19" t="str">
        <f>IFERROR(VLOOKUP($D5&amp;$C5,設定値!$B$55:$N$85,9,FALSE)&amp;"","")</f>
        <v/>
      </c>
      <c r="X5" s="19"/>
      <c r="Y5" s="19" t="str">
        <f>IFERROR(VLOOKUP($D5&amp;$C5,設定値!$B$55:$N$85,10,FALSE)&amp;"","")</f>
        <v/>
      </c>
      <c r="Z5" s="19"/>
      <c r="AA5" s="19" t="str">
        <f>IFERROR(VLOOKUP($D5&amp;$C5,設定値!$B$55:$N$85,11,FALSE)&amp;"","")</f>
        <v/>
      </c>
      <c r="AB5" s="19"/>
      <c r="AC5" s="19" t="str">
        <f>IFERROR(VLOOKUP($D5&amp;$C5,設定値!$B$55:$N$85,12,FALSE)&amp;"","")</f>
        <v/>
      </c>
      <c r="AD5" s="19"/>
      <c r="AE5" s="19" t="str">
        <f>IFERROR(VLOOKUP($D5&amp;$C5,設定値!$B$55:$N$85,13,FALSE)&amp;"","")</f>
        <v/>
      </c>
      <c r="AF5" s="19"/>
    </row>
    <row r="6" spans="1:32" ht="15">
      <c r="A6" s="27" t="s">
        <v>18</v>
      </c>
      <c r="B6" s="7" t="s">
        <v>88</v>
      </c>
      <c r="C6" s="27" t="s">
        <v>211</v>
      </c>
      <c r="D6" s="7" t="s">
        <v>179</v>
      </c>
      <c r="E6" s="7" t="str">
        <f t="shared" si="0"/>
        <v>D10</v>
      </c>
      <c r="F6" s="20" t="s">
        <v>44</v>
      </c>
      <c r="G6" s="19" t="str">
        <f>IFERROR(VLOOKUP(D6&amp;C6,設定値!$B$55:$L$85,3,FALSE),"")</f>
        <v>特定疾病一時給付特約（２０）</v>
      </c>
      <c r="H6" s="8" t="s">
        <v>18</v>
      </c>
      <c r="I6" s="8" t="s">
        <v>100</v>
      </c>
      <c r="J6" s="8" t="s">
        <v>171</v>
      </c>
      <c r="K6" s="26"/>
      <c r="L6" s="19"/>
      <c r="M6" s="19" t="str">
        <f>IFERROR(VLOOKUP($D6&amp;$C6,設定値!$B$55:$N$85,4,FALSE)&amp;"","")</f>
        <v>benefit</v>
      </c>
      <c r="N6" s="19">
        <v>100000</v>
      </c>
      <c r="O6" s="19" t="str">
        <f>IFERROR(VLOOKUP($D6&amp;$C6,設定値!$B$55:$N$85,5,FALSE)&amp;"","")</f>
        <v>insurancePeriodClass</v>
      </c>
      <c r="P6" s="19" t="s">
        <v>240</v>
      </c>
      <c r="Q6" s="19" t="str">
        <f>IFERROR(VLOOKUP($D6&amp;$C6,設定値!$B$55:$N$85,6,FALSE)&amp;"","")</f>
        <v>insurancePeriod</v>
      </c>
      <c r="R6" s="19" t="s">
        <v>174</v>
      </c>
      <c r="S6" s="19" t="str">
        <f>IFERROR(VLOOKUP($D6&amp;$C6,設定値!$B$55:$N$85,7,FALSE)&amp;"","")</f>
        <v>paymentPeriodClass</v>
      </c>
      <c r="T6" s="19" t="s">
        <v>240</v>
      </c>
      <c r="U6" s="19" t="str">
        <f>IFERROR(VLOOKUP($D6&amp;$C6,設定値!$B$55:$N$85,8,FALSE)&amp;"","")</f>
        <v>paymentPeriod</v>
      </c>
      <c r="V6" s="19" t="s">
        <v>174</v>
      </c>
      <c r="W6" s="19" t="str">
        <f>IFERROR(VLOOKUP($D6&amp;$C6,設定値!$B$55:$N$85,9,FALSE)&amp;"","")</f>
        <v>diseaseCoverageType</v>
      </c>
      <c r="X6" s="19" t="s">
        <v>250</v>
      </c>
      <c r="Y6" s="19" t="str">
        <f>IFERROR(VLOOKUP($D6&amp;$C6,設定値!$B$55:$N$85,10,FALSE)&amp;"","")</f>
        <v>benefitFirstPayConvCls</v>
      </c>
      <c r="Z6" s="19" t="s">
        <v>18</v>
      </c>
      <c r="AA6" s="19" t="str">
        <f>IFERROR(VLOOKUP($D6&amp;$C6,設定値!$B$55:$N$85,11,FALSE)&amp;"","")</f>
        <v/>
      </c>
      <c r="AB6" s="19"/>
      <c r="AC6" s="19" t="str">
        <f>IFERROR(VLOOKUP($D6&amp;$C6,設定値!$B$55:$N$85,12,FALSE)&amp;"","")</f>
        <v/>
      </c>
      <c r="AD6" s="19"/>
      <c r="AE6" s="19" t="str">
        <f>IFERROR(VLOOKUP($D6&amp;$C6,設定値!$B$55:$N$85,13,FALSE)&amp;"","")</f>
        <v/>
      </c>
      <c r="AF6" s="19"/>
    </row>
    <row r="7" spans="1:32" ht="15">
      <c r="A7" s="27" t="s">
        <v>18</v>
      </c>
      <c r="B7" s="7" t="s">
        <v>88</v>
      </c>
      <c r="C7" s="27" t="s">
        <v>211</v>
      </c>
      <c r="D7" s="7" t="s">
        <v>180</v>
      </c>
      <c r="E7" s="7" t="str">
        <f t="shared" si="0"/>
        <v>D10</v>
      </c>
      <c r="F7" s="20" t="s">
        <v>44</v>
      </c>
      <c r="G7" s="19" t="str">
        <f>IFERROR(VLOOKUP(D7&amp;C7,設定値!$B$55:$L$85,3,FALSE),"")</f>
        <v>抗がん剤・ホルモン剤治療特約</v>
      </c>
      <c r="H7" s="8" t="s">
        <v>18</v>
      </c>
      <c r="I7" s="8" t="s">
        <v>100</v>
      </c>
      <c r="J7" s="8" t="s">
        <v>171</v>
      </c>
      <c r="K7" s="26"/>
      <c r="L7" s="19"/>
      <c r="M7" s="19" t="str">
        <f>IFERROR(VLOOKUP($D7&amp;$C7,設定値!$B$55:$N$85,4,FALSE)&amp;"","")</f>
        <v>benefit</v>
      </c>
      <c r="N7" s="19">
        <v>10000</v>
      </c>
      <c r="O7" s="19" t="str">
        <f>IFERROR(VLOOKUP($D7&amp;$C7,設定値!$B$55:$N$85,5,FALSE)&amp;"","")</f>
        <v>insurancePeriodClass</v>
      </c>
      <c r="P7" s="19" t="s">
        <v>240</v>
      </c>
      <c r="Q7" s="19" t="str">
        <f>IFERROR(VLOOKUP($D7&amp;$C7,設定値!$B$55:$N$85,6,FALSE)&amp;"","")</f>
        <v>insurancePeriod</v>
      </c>
      <c r="R7" s="19" t="s">
        <v>174</v>
      </c>
      <c r="S7" s="19" t="str">
        <f>IFERROR(VLOOKUP($D7&amp;$C7,設定値!$B$55:$N$85,7,FALSE)&amp;"","")</f>
        <v>paymentPeriodClass</v>
      </c>
      <c r="T7" s="19" t="s">
        <v>240</v>
      </c>
      <c r="U7" s="19" t="str">
        <f>IFERROR(VLOOKUP($D7&amp;$C7,設定値!$B$55:$N$85,8,FALSE)&amp;"","")</f>
        <v>paymentPeriod</v>
      </c>
      <c r="V7" s="19" t="s">
        <v>174</v>
      </c>
      <c r="W7" s="19" t="str">
        <f>IFERROR(VLOOKUP($D7&amp;$C7,設定値!$B$55:$N$85,9,FALSE)&amp;"","")</f>
        <v/>
      </c>
      <c r="X7" s="19"/>
      <c r="Y7" s="19" t="str">
        <f>IFERROR(VLOOKUP($D7&amp;$C7,設定値!$B$55:$N$85,10,FALSE)&amp;"","")</f>
        <v/>
      </c>
      <c r="Z7" s="19"/>
      <c r="AA7" s="19" t="str">
        <f>IFERROR(VLOOKUP($D7&amp;$C7,設定値!$B$55:$N$85,11,FALSE)&amp;"","")</f>
        <v/>
      </c>
      <c r="AB7" s="19"/>
      <c r="AC7" s="19" t="str">
        <f>IFERROR(VLOOKUP($D7&amp;$C7,設定値!$B$55:$N$85,12,FALSE)&amp;"","")</f>
        <v/>
      </c>
      <c r="AD7" s="19"/>
      <c r="AE7" s="19" t="str">
        <f>IFERROR(VLOOKUP($D7&amp;$C7,設定値!$B$55:$N$85,13,FALSE)&amp;"","")</f>
        <v/>
      </c>
      <c r="AF7" s="19"/>
    </row>
    <row r="8" spans="1:32" ht="15">
      <c r="A8" s="27" t="s">
        <v>18</v>
      </c>
      <c r="B8" s="7" t="s">
        <v>88</v>
      </c>
      <c r="C8" s="27" t="s">
        <v>211</v>
      </c>
      <c r="D8" s="7" t="s">
        <v>181</v>
      </c>
      <c r="E8" s="7" t="str">
        <f t="shared" si="0"/>
        <v>D10</v>
      </c>
      <c r="F8" s="20" t="s">
        <v>44</v>
      </c>
      <c r="G8" s="19" t="str">
        <f>IFERROR(VLOOKUP(D8&amp;C8,設定値!$B$55:$L$85,3,FALSE),"")</f>
        <v>特定損傷特約</v>
      </c>
      <c r="H8" s="8" t="s">
        <v>18</v>
      </c>
      <c r="I8" s="8" t="s">
        <v>100</v>
      </c>
      <c r="J8" s="8" t="s">
        <v>171</v>
      </c>
      <c r="K8" s="26"/>
      <c r="L8" s="19"/>
      <c r="M8" s="19" t="str">
        <f>IFERROR(VLOOKUP($D8&amp;$C8,設定値!$B$55:$N$85,4,FALSE)&amp;"","")</f>
        <v>benefit</v>
      </c>
      <c r="N8" s="19">
        <v>50000</v>
      </c>
      <c r="O8" s="19" t="str">
        <f>IFERROR(VLOOKUP($D8&amp;$C8,設定値!$B$55:$N$85,5,FALSE)&amp;"","")</f>
        <v>insurancePeriodClass</v>
      </c>
      <c r="P8" s="19" t="s">
        <v>176</v>
      </c>
      <c r="Q8" s="19" t="str">
        <f>IFERROR(VLOOKUP($D8&amp;$C8,設定値!$B$55:$N$85,6,FALSE)&amp;"","")</f>
        <v>insurancePeriod</v>
      </c>
      <c r="R8" s="19" t="s">
        <v>274</v>
      </c>
      <c r="S8" s="19" t="str">
        <f>IFERROR(VLOOKUP($D8&amp;$C8,設定値!$B$55:$N$85,7,FALSE)&amp;"","")</f>
        <v>paymentPeriodClass</v>
      </c>
      <c r="T8" s="19" t="s">
        <v>176</v>
      </c>
      <c r="U8" s="19" t="str">
        <f>IFERROR(VLOOKUP($D8&amp;$C8,設定値!$B$55:$N$85,8,FALSE)&amp;"","")</f>
        <v>paymentPeriod</v>
      </c>
      <c r="V8" s="19" t="s">
        <v>274</v>
      </c>
      <c r="W8" s="19" t="str">
        <f>IFERROR(VLOOKUP($D8&amp;$C8,設定値!$B$55:$N$85,9,FALSE)&amp;"","")</f>
        <v/>
      </c>
      <c r="X8" s="19"/>
      <c r="Y8" s="19" t="str">
        <f>IFERROR(VLOOKUP($D8&amp;$C8,設定値!$B$55:$N$85,10,FALSE)&amp;"","")</f>
        <v/>
      </c>
      <c r="Z8" s="19"/>
      <c r="AA8" s="19" t="str">
        <f>IFERROR(VLOOKUP($D8&amp;$C8,設定値!$B$55:$N$85,11,FALSE)&amp;"","")</f>
        <v/>
      </c>
      <c r="AB8" s="19"/>
      <c r="AC8" s="19" t="str">
        <f>IFERROR(VLOOKUP($D8&amp;$C8,設定値!$B$55:$N$85,12,FALSE)&amp;"","")</f>
        <v/>
      </c>
      <c r="AD8" s="19"/>
      <c r="AE8" s="19" t="str">
        <f>IFERROR(VLOOKUP($D8&amp;$C8,設定値!$B$55:$N$85,13,FALSE)&amp;"","")</f>
        <v/>
      </c>
      <c r="AF8" s="19"/>
    </row>
    <row r="9" spans="1:32" ht="15">
      <c r="A9" s="27" t="s">
        <v>18</v>
      </c>
      <c r="B9" s="7" t="s">
        <v>88</v>
      </c>
      <c r="C9" s="27" t="s">
        <v>211</v>
      </c>
      <c r="D9" s="7" t="s">
        <v>182</v>
      </c>
      <c r="E9" s="7" t="str">
        <f t="shared" si="0"/>
        <v>D10</v>
      </c>
      <c r="F9" s="20" t="s">
        <v>44</v>
      </c>
      <c r="G9" s="19" t="str">
        <f>IFERROR(VLOOKUP(D9&amp;C9,設定値!$B$55:$L$85,3,FALSE),"")</f>
        <v>がん一時給付特約</v>
      </c>
      <c r="H9" s="8" t="s">
        <v>18</v>
      </c>
      <c r="I9" s="8" t="s">
        <v>100</v>
      </c>
      <c r="J9" s="8" t="s">
        <v>171</v>
      </c>
      <c r="K9" s="26"/>
      <c r="L9" s="19"/>
      <c r="M9" s="19" t="str">
        <f>IFERROR(VLOOKUP($D9&amp;$C9,設定値!$B$55:$N$85,4,FALSE)&amp;"","")</f>
        <v>benefit</v>
      </c>
      <c r="N9" s="19">
        <v>100000</v>
      </c>
      <c r="O9" s="19" t="str">
        <f>IFERROR(VLOOKUP($D9&amp;$C9,設定値!$B$55:$N$85,5,FALSE)&amp;"","")</f>
        <v>insurancePeriodClass</v>
      </c>
      <c r="P9" s="19" t="s">
        <v>240</v>
      </c>
      <c r="Q9" s="19" t="str">
        <f>IFERROR(VLOOKUP($D9&amp;$C9,設定値!$B$55:$N$85,6,FALSE)&amp;"","")</f>
        <v>insurancePeriod</v>
      </c>
      <c r="R9" s="19" t="s">
        <v>174</v>
      </c>
      <c r="S9" s="19" t="str">
        <f>IFERROR(VLOOKUP($D9&amp;$C9,設定値!$B$55:$N$85,7,FALSE)&amp;"","")</f>
        <v>paymentPeriodClass</v>
      </c>
      <c r="T9" s="19" t="s">
        <v>240</v>
      </c>
      <c r="U9" s="19" t="str">
        <f>IFERROR(VLOOKUP($D9&amp;$C9,設定値!$B$55:$N$85,8,FALSE)&amp;"","")</f>
        <v>paymentPeriod</v>
      </c>
      <c r="V9" s="19" t="s">
        <v>174</v>
      </c>
      <c r="W9" s="19" t="str">
        <f>IFERROR(VLOOKUP($D9&amp;$C9,設定値!$B$55:$N$85,9,FALSE)&amp;"","")</f>
        <v/>
      </c>
      <c r="X9" s="19"/>
      <c r="Y9" s="19" t="str">
        <f>IFERROR(VLOOKUP($D9&amp;$C9,設定値!$B$55:$N$85,10,FALSE)&amp;"","")</f>
        <v/>
      </c>
      <c r="Z9" s="19"/>
      <c r="AA9" s="19" t="str">
        <f>IFERROR(VLOOKUP($D9&amp;$C9,設定値!$B$55:$N$85,11,FALSE)&amp;"","")</f>
        <v/>
      </c>
      <c r="AB9" s="19"/>
      <c r="AC9" s="19" t="str">
        <f>IFERROR(VLOOKUP($D9&amp;$C9,設定値!$B$55:$N$85,12,FALSE)&amp;"","")</f>
        <v/>
      </c>
      <c r="AD9" s="19"/>
      <c r="AE9" s="19" t="str">
        <f>IFERROR(VLOOKUP($D9&amp;$C9,設定値!$B$55:$N$85,13,FALSE)&amp;"","")</f>
        <v/>
      </c>
      <c r="AF9" s="19"/>
    </row>
    <row r="10" spans="1:32" ht="15">
      <c r="A10" s="27" t="s">
        <v>18</v>
      </c>
      <c r="B10" s="7" t="s">
        <v>88</v>
      </c>
      <c r="C10" s="27" t="s">
        <v>211</v>
      </c>
      <c r="D10" s="7" t="s">
        <v>172</v>
      </c>
      <c r="E10" s="7" t="str">
        <f t="shared" si="0"/>
        <v>D10</v>
      </c>
      <c r="F10" s="20" t="s">
        <v>44</v>
      </c>
      <c r="G10" s="19" t="str">
        <f>IFERROR(VLOOKUP(D10&amp;C10,設定値!$B$55:$L$85,3,FALSE),"")</f>
        <v>特定疾病保険料払込免除特約</v>
      </c>
      <c r="H10" s="8" t="s">
        <v>18</v>
      </c>
      <c r="I10" s="8" t="s">
        <v>100</v>
      </c>
      <c r="J10" s="8" t="s">
        <v>171</v>
      </c>
      <c r="K10" s="26"/>
      <c r="L10" s="19"/>
      <c r="M10" s="19" t="str">
        <f>IFERROR(VLOOKUP($D10&amp;$C10,設定値!$B$55:$N$85,4,FALSE)&amp;"","")</f>
        <v>additionType</v>
      </c>
      <c r="N10" s="19" t="s">
        <v>18</v>
      </c>
      <c r="O10" s="19" t="str">
        <f>IFERROR(VLOOKUP($D10&amp;$C10,設定値!$B$55:$N$85,5,FALSE)&amp;"","")</f>
        <v>insurancePeriodClass</v>
      </c>
      <c r="P10" s="19" t="s">
        <v>240</v>
      </c>
      <c r="Q10" s="19" t="str">
        <f>IFERROR(VLOOKUP($D10&amp;$C10,設定値!$B$55:$N$85,6,FALSE)&amp;"","")</f>
        <v>insurancePeriod</v>
      </c>
      <c r="R10" s="19" t="s">
        <v>174</v>
      </c>
      <c r="S10" s="19" t="str">
        <f>IFERROR(VLOOKUP($D10&amp;$C10,設定値!$B$55:$N$85,7,FALSE)&amp;"","")</f>
        <v>paymentPeriodClass</v>
      </c>
      <c r="T10" s="19" t="s">
        <v>240</v>
      </c>
      <c r="U10" s="19" t="str">
        <f>IFERROR(VLOOKUP($D10&amp;$C10,設定値!$B$55:$N$85,8,FALSE)&amp;"","")</f>
        <v>paymentPeriod</v>
      </c>
      <c r="V10" s="19" t="s">
        <v>174</v>
      </c>
      <c r="W10" s="19" t="str">
        <f>IFERROR(VLOOKUP($D10&amp;$C10,設定値!$B$55:$N$85,9,FALSE)&amp;"","")</f>
        <v>freeOfPremiumRiderCls</v>
      </c>
      <c r="X10" s="19" t="s">
        <v>249</v>
      </c>
      <c r="Y10" s="19" t="str">
        <f>IFERROR(VLOOKUP($D10&amp;$C10,設定値!$B$55:$N$85,10,FALSE)&amp;"","")</f>
        <v/>
      </c>
      <c r="Z10" s="19"/>
      <c r="AA10" s="19" t="str">
        <f>IFERROR(VLOOKUP($D10&amp;$C10,設定値!$B$55:$N$85,11,FALSE)&amp;"","")</f>
        <v/>
      </c>
      <c r="AB10" s="19"/>
      <c r="AC10" s="19" t="str">
        <f>IFERROR(VLOOKUP($D10&amp;$C10,設定値!$B$55:$N$85,12,FALSE)&amp;"","")</f>
        <v/>
      </c>
      <c r="AD10" s="19"/>
      <c r="AE10" s="19" t="str">
        <f>IFERROR(VLOOKUP($D10&amp;$C10,設定値!$B$55:$N$85,13,FALSE)&amp;"","")</f>
        <v/>
      </c>
      <c r="AF10" s="19"/>
    </row>
    <row r="11" spans="1:32" ht="15">
      <c r="A11" s="27" t="s">
        <v>118</v>
      </c>
      <c r="B11" s="7" t="s">
        <v>88</v>
      </c>
      <c r="C11" s="27" t="s">
        <v>18</v>
      </c>
      <c r="D11" s="7" t="s">
        <v>172</v>
      </c>
      <c r="E11" s="7" t="str">
        <f t="shared" si="0"/>
        <v>310</v>
      </c>
      <c r="F11" s="20" t="s">
        <v>44</v>
      </c>
      <c r="G11" s="19" t="str">
        <f>IFERROR(VLOOKUP(D11&amp;C11,設定値!$B$55:$L$85,3,FALSE),"")</f>
        <v>医療終身保険（無解約払戻金型）</v>
      </c>
      <c r="H11" s="8" t="s">
        <v>18</v>
      </c>
      <c r="I11" s="8" t="s">
        <v>100</v>
      </c>
      <c r="J11" s="8" t="s">
        <v>171</v>
      </c>
      <c r="K11" s="26"/>
      <c r="L11" s="19">
        <v>0</v>
      </c>
      <c r="M11" s="19" t="str">
        <f>IFERROR(VLOOKUP($D11&amp;$C11,設定値!$B$55:$N$85,4,FALSE)&amp;"","")</f>
        <v>benefit</v>
      </c>
      <c r="N11" s="19">
        <v>3000</v>
      </c>
      <c r="O11" s="19" t="str">
        <f>IFERROR(VLOOKUP($D11&amp;$C11,設定値!$B$55:$N$85,5,FALSE)&amp;"","")</f>
        <v>insurancePeriodClass</v>
      </c>
      <c r="P11" s="19" t="s">
        <v>240</v>
      </c>
      <c r="Q11" s="19" t="str">
        <f>IFERROR(VLOOKUP($D11&amp;$C11,設定値!$B$55:$N$85,6,FALSE)&amp;"","")</f>
        <v>insurancePeriod</v>
      </c>
      <c r="R11" s="19" t="s">
        <v>174</v>
      </c>
      <c r="S11" s="19" t="str">
        <f>IFERROR(VLOOKUP($D11&amp;$C11,設定値!$B$55:$N$85,7,FALSE)&amp;"","")</f>
        <v>paymentPeriodClass</v>
      </c>
      <c r="T11" s="19" t="s">
        <v>240</v>
      </c>
      <c r="U11" s="19" t="str">
        <f>IFERROR(VLOOKUP($D11&amp;$C11,設定値!$B$55:$N$85,8,FALSE)&amp;"","")</f>
        <v>paymentPeriod</v>
      </c>
      <c r="V11" s="19" t="s">
        <v>174</v>
      </c>
      <c r="W11" s="19" t="str">
        <f>IFERROR(VLOOKUP($D11&amp;$C11,設定値!$B$55:$N$85,9,FALSE)&amp;"","")</f>
        <v>hosCovPayLimitClass</v>
      </c>
      <c r="X11" s="19" t="s">
        <v>175</v>
      </c>
      <c r="Y11" s="19" t="str">
        <f>IFERROR(VLOOKUP($D11&amp;$C11,設定値!$B$55:$N$85,10,FALSE)&amp;"","")</f>
        <v>benefitPayConvCls</v>
      </c>
      <c r="Z11" s="19" t="s">
        <v>18</v>
      </c>
      <c r="AA11" s="19" t="str">
        <f>IFERROR(VLOOKUP($D11&amp;$C11,設定値!$B$55:$N$85,11,FALSE)&amp;"","")</f>
        <v>disHsptUnlmtDaysSpPrv</v>
      </c>
      <c r="AB11" s="19" t="s">
        <v>176</v>
      </c>
      <c r="AC11" s="19" t="str">
        <f>IFERROR(VLOOKUP($D11&amp;$C11,設定値!$B$55:$N$85,12,FALSE)&amp;"","")</f>
        <v>freeOfPRiderFlg</v>
      </c>
      <c r="AD11" s="19" t="s">
        <v>18</v>
      </c>
      <c r="AE11" s="19" t="str">
        <f>IFERROR(VLOOKUP($D11&amp;$C11,設定値!$B$55:$N$85,13,FALSE)&amp;"","")</f>
        <v>freeOfPremiumRiderCls</v>
      </c>
      <c r="AF11" s="19" t="s">
        <v>249</v>
      </c>
    </row>
    <row r="12" spans="1:32" ht="15">
      <c r="A12" s="27" t="s">
        <v>118</v>
      </c>
      <c r="B12" s="7" t="s">
        <v>88</v>
      </c>
      <c r="C12" s="27" t="s">
        <v>211</v>
      </c>
      <c r="D12" s="7" t="s">
        <v>177</v>
      </c>
      <c r="E12" s="7" t="str">
        <f t="shared" si="0"/>
        <v>D10</v>
      </c>
      <c r="F12" s="20" t="s">
        <v>44</v>
      </c>
      <c r="G12" s="19" t="str">
        <f>IFERROR(VLOOKUP(D12&amp;C12,設定値!$B$55:$L$85,3,FALSE),"")</f>
        <v>入院一時給付特約</v>
      </c>
      <c r="H12" s="8" t="s">
        <v>18</v>
      </c>
      <c r="I12" s="8" t="s">
        <v>100</v>
      </c>
      <c r="J12" s="8" t="s">
        <v>171</v>
      </c>
      <c r="K12" s="26"/>
      <c r="L12" s="19"/>
      <c r="M12" s="19" t="str">
        <f>IFERROR(VLOOKUP($D12&amp;$C12,設定値!$B$55:$N$85,4,FALSE)&amp;"","")</f>
        <v>benefit</v>
      </c>
      <c r="N12" s="19">
        <v>10000</v>
      </c>
      <c r="O12" s="19" t="str">
        <f>IFERROR(VLOOKUP($D12&amp;$C12,設定値!$B$55:$N$85,5,FALSE)&amp;"","")</f>
        <v>insurancePeriodClass</v>
      </c>
      <c r="P12" s="19" t="s">
        <v>240</v>
      </c>
      <c r="Q12" s="19" t="str">
        <f>IFERROR(VLOOKUP($D12&amp;$C12,設定値!$B$55:$N$85,6,FALSE)&amp;"","")</f>
        <v>insurancePeriod</v>
      </c>
      <c r="R12" s="19" t="s">
        <v>174</v>
      </c>
      <c r="S12" s="19" t="str">
        <f>IFERROR(VLOOKUP($D12&amp;$C12,設定値!$B$55:$N$85,7,FALSE)&amp;"","")</f>
        <v>paymentPeriodClass</v>
      </c>
      <c r="T12" s="19" t="s">
        <v>240</v>
      </c>
      <c r="U12" s="19" t="str">
        <f>IFERROR(VLOOKUP($D12&amp;$C12,設定値!$B$55:$N$85,8,FALSE)&amp;"","")</f>
        <v>paymentPeriod</v>
      </c>
      <c r="V12" s="19" t="s">
        <v>174</v>
      </c>
      <c r="W12" s="19" t="str">
        <f>IFERROR(VLOOKUP($D12&amp;$C12,設定値!$B$55:$N$85,9,FALSE)&amp;"","")</f>
        <v/>
      </c>
      <c r="X12" s="19"/>
      <c r="Y12" s="19" t="str">
        <f>IFERROR(VLOOKUP($D12&amp;$C12,設定値!$B$55:$N$85,10,FALSE)&amp;"","")</f>
        <v/>
      </c>
      <c r="Z12" s="19"/>
      <c r="AA12" s="19" t="str">
        <f>IFERROR(VLOOKUP($D12&amp;$C12,設定値!$B$55:$N$85,11,FALSE)&amp;"","")</f>
        <v/>
      </c>
      <c r="AB12" s="19"/>
      <c r="AC12" s="19" t="str">
        <f>IFERROR(VLOOKUP($D12&amp;$C12,設定値!$B$55:$N$85,12,FALSE)&amp;"","")</f>
        <v/>
      </c>
      <c r="AD12" s="19"/>
      <c r="AE12" s="19" t="str">
        <f>IFERROR(VLOOKUP($D12&amp;$C12,設定値!$B$55:$N$85,13,FALSE)&amp;"","")</f>
        <v/>
      </c>
      <c r="AF12" s="19"/>
    </row>
    <row r="13" spans="1:32" ht="15">
      <c r="A13" s="27" t="s">
        <v>118</v>
      </c>
      <c r="B13" s="7" t="s">
        <v>88</v>
      </c>
      <c r="C13" s="27" t="s">
        <v>211</v>
      </c>
      <c r="D13" s="7" t="s">
        <v>183</v>
      </c>
      <c r="E13" s="7" t="str">
        <f t="shared" si="0"/>
        <v>D10</v>
      </c>
      <c r="F13" s="20" t="s">
        <v>44</v>
      </c>
      <c r="G13" s="19" t="str">
        <f>IFERROR(VLOOKUP(D13&amp;C13,設定値!$B$55:$L$85,3,FALSE),"")</f>
        <v>退院後通院特約</v>
      </c>
      <c r="H13" s="8" t="s">
        <v>18</v>
      </c>
      <c r="I13" s="8" t="s">
        <v>100</v>
      </c>
      <c r="J13" s="8" t="s">
        <v>171</v>
      </c>
      <c r="K13" s="26"/>
      <c r="L13" s="19"/>
      <c r="M13" s="19" t="str">
        <f>IFERROR(VLOOKUP($D13&amp;$C13,設定値!$B$55:$N$85,4,FALSE)&amp;"","")</f>
        <v>benefit</v>
      </c>
      <c r="N13" s="19">
        <v>2000</v>
      </c>
      <c r="O13" s="19" t="str">
        <f>IFERROR(VLOOKUP($D13&amp;$C13,設定値!$B$55:$N$85,5,FALSE)&amp;"","")</f>
        <v>insurancePeriodClass</v>
      </c>
      <c r="P13" s="19" t="s">
        <v>240</v>
      </c>
      <c r="Q13" s="19" t="str">
        <f>IFERROR(VLOOKUP($D13&amp;$C13,設定値!$B$55:$N$85,6,FALSE)&amp;"","")</f>
        <v>insurancePeriod</v>
      </c>
      <c r="R13" s="19" t="s">
        <v>174</v>
      </c>
      <c r="S13" s="19" t="str">
        <f>IFERROR(VLOOKUP($D13&amp;$C13,設定値!$B$55:$N$85,7,FALSE)&amp;"","")</f>
        <v>paymentPeriodClass</v>
      </c>
      <c r="T13" s="19" t="s">
        <v>240</v>
      </c>
      <c r="U13" s="19" t="str">
        <f>IFERROR(VLOOKUP($D13&amp;$C13,設定値!$B$55:$N$85,8,FALSE)&amp;"","")</f>
        <v>paymentPeriod</v>
      </c>
      <c r="V13" s="19" t="s">
        <v>174</v>
      </c>
      <c r="W13" s="19" t="str">
        <f>IFERROR(VLOOKUP($D13&amp;$C13,設定値!$B$55:$N$85,9,FALSE)&amp;"","")</f>
        <v/>
      </c>
      <c r="X13" s="19"/>
      <c r="Y13" s="19" t="str">
        <f>IFERROR(VLOOKUP($D13&amp;$C13,設定値!$B$55:$N$85,10,FALSE)&amp;"","")</f>
        <v/>
      </c>
      <c r="Z13" s="19"/>
      <c r="AA13" s="19" t="str">
        <f>IFERROR(VLOOKUP($D13&amp;$C13,設定値!$B$55:$N$85,11,FALSE)&amp;"","")</f>
        <v/>
      </c>
      <c r="AB13" s="19"/>
      <c r="AC13" s="19" t="str">
        <f>IFERROR(VLOOKUP($D13&amp;$C13,設定値!$B$55:$N$85,12,FALSE)&amp;"","")</f>
        <v/>
      </c>
      <c r="AD13" s="19"/>
      <c r="AE13" s="19" t="str">
        <f>IFERROR(VLOOKUP($D13&amp;$C13,設定値!$B$55:$N$85,13,FALSE)&amp;"","")</f>
        <v/>
      </c>
      <c r="AF13" s="19"/>
    </row>
    <row r="14" spans="1:32" ht="15">
      <c r="A14" s="27" t="s">
        <v>118</v>
      </c>
      <c r="B14" s="7" t="s">
        <v>88</v>
      </c>
      <c r="C14" s="27" t="s">
        <v>211</v>
      </c>
      <c r="D14" s="7" t="s">
        <v>178</v>
      </c>
      <c r="E14" s="7" t="str">
        <f t="shared" si="0"/>
        <v>D10</v>
      </c>
      <c r="F14" s="20" t="s">
        <v>44</v>
      </c>
      <c r="G14" s="19" t="str">
        <f>IFERROR(VLOOKUP(D14&amp;C14,設定値!$B$55:$L$85,3,FALSE),"")</f>
        <v>先進医療特約</v>
      </c>
      <c r="H14" s="8" t="s">
        <v>18</v>
      </c>
      <c r="I14" s="8" t="s">
        <v>100</v>
      </c>
      <c r="J14" s="8" t="s">
        <v>171</v>
      </c>
      <c r="K14" s="26"/>
      <c r="L14" s="19"/>
      <c r="M14" s="19" t="str">
        <f>IFERROR(VLOOKUP($D14&amp;$C14,設定値!$B$55:$N$85,4,FALSE)&amp;"","")</f>
        <v>additionType</v>
      </c>
      <c r="N14" s="19" t="s">
        <v>18</v>
      </c>
      <c r="O14" s="19" t="str">
        <f>IFERROR(VLOOKUP($D14&amp;$C14,設定値!$B$55:$N$85,5,FALSE)&amp;"","")</f>
        <v>insurancePeriodClass</v>
      </c>
      <c r="P14" s="19" t="s">
        <v>240</v>
      </c>
      <c r="Q14" s="19" t="str">
        <f>IFERROR(VLOOKUP($D14&amp;$C14,設定値!$B$55:$N$85,6,FALSE)&amp;"","")</f>
        <v>insurancePeriod</v>
      </c>
      <c r="R14" s="19" t="s">
        <v>174</v>
      </c>
      <c r="S14" s="19" t="str">
        <f>IFERROR(VLOOKUP($D14&amp;$C14,設定値!$B$55:$N$85,7,FALSE)&amp;"","")</f>
        <v>paymentPeriodClass</v>
      </c>
      <c r="T14" s="19" t="s">
        <v>240</v>
      </c>
      <c r="U14" s="19" t="str">
        <f>IFERROR(VLOOKUP($D14&amp;$C14,設定値!$B$55:$N$85,8,FALSE)&amp;"","")</f>
        <v>paymentPeriod</v>
      </c>
      <c r="V14" s="19" t="s">
        <v>174</v>
      </c>
      <c r="W14" s="19" t="str">
        <f>IFERROR(VLOOKUP($D14&amp;$C14,設定値!$B$55:$N$85,9,FALSE)&amp;"","")</f>
        <v/>
      </c>
      <c r="X14" s="19"/>
      <c r="Y14" s="19" t="str">
        <f>IFERROR(VLOOKUP($D14&amp;$C14,設定値!$B$55:$N$85,10,FALSE)&amp;"","")</f>
        <v/>
      </c>
      <c r="Z14" s="19"/>
      <c r="AA14" s="19" t="str">
        <f>IFERROR(VLOOKUP($D14&amp;$C14,設定値!$B$55:$N$85,11,FALSE)&amp;"","")</f>
        <v/>
      </c>
      <c r="AB14" s="19"/>
      <c r="AC14" s="19" t="str">
        <f>IFERROR(VLOOKUP($D14&amp;$C14,設定値!$B$55:$N$85,12,FALSE)&amp;"","")</f>
        <v/>
      </c>
      <c r="AD14" s="19"/>
      <c r="AE14" s="19" t="str">
        <f>IFERROR(VLOOKUP($D14&amp;$C14,設定値!$B$55:$N$85,13,FALSE)&amp;"","")</f>
        <v/>
      </c>
      <c r="AF14" s="19"/>
    </row>
    <row r="15" spans="1:32" ht="15">
      <c r="A15" s="27" t="s">
        <v>118</v>
      </c>
      <c r="B15" s="7" t="s">
        <v>88</v>
      </c>
      <c r="C15" s="27" t="s">
        <v>211</v>
      </c>
      <c r="D15" s="7" t="s">
        <v>179</v>
      </c>
      <c r="E15" s="7" t="str">
        <f t="shared" si="0"/>
        <v>D10</v>
      </c>
      <c r="F15" s="20" t="s">
        <v>44</v>
      </c>
      <c r="G15" s="19" t="str">
        <f>IFERROR(VLOOKUP(D15&amp;C15,設定値!$B$55:$L$85,3,FALSE),"")</f>
        <v>特定疾病一時給付特約（２０）</v>
      </c>
      <c r="H15" s="8" t="s">
        <v>18</v>
      </c>
      <c r="I15" s="8" t="s">
        <v>100</v>
      </c>
      <c r="J15" s="8" t="s">
        <v>171</v>
      </c>
      <c r="K15" s="26"/>
      <c r="L15" s="19"/>
      <c r="M15" s="19" t="str">
        <f>IFERROR(VLOOKUP($D15&amp;$C15,設定値!$B$55:$N$85,4,FALSE)&amp;"","")</f>
        <v>benefit</v>
      </c>
      <c r="N15" s="19">
        <v>100000</v>
      </c>
      <c r="O15" s="19" t="str">
        <f>IFERROR(VLOOKUP($D15&amp;$C15,設定値!$B$55:$N$85,5,FALSE)&amp;"","")</f>
        <v>insurancePeriodClass</v>
      </c>
      <c r="P15" s="19" t="s">
        <v>240</v>
      </c>
      <c r="Q15" s="19" t="str">
        <f>IFERROR(VLOOKUP($D15&amp;$C15,設定値!$B$55:$N$85,6,FALSE)&amp;"","")</f>
        <v>insurancePeriod</v>
      </c>
      <c r="R15" s="19" t="s">
        <v>174</v>
      </c>
      <c r="S15" s="19" t="str">
        <f>IFERROR(VLOOKUP($D15&amp;$C15,設定値!$B$55:$N$85,7,FALSE)&amp;"","")</f>
        <v>paymentPeriodClass</v>
      </c>
      <c r="T15" s="19" t="s">
        <v>240</v>
      </c>
      <c r="U15" s="19" t="str">
        <f>IFERROR(VLOOKUP($D15&amp;$C15,設定値!$B$55:$N$85,8,FALSE)&amp;"","")</f>
        <v>paymentPeriod</v>
      </c>
      <c r="V15" s="19" t="s">
        <v>174</v>
      </c>
      <c r="W15" s="19" t="str">
        <f>IFERROR(VLOOKUP($D15&amp;$C15,設定値!$B$55:$N$85,9,FALSE)&amp;"","")</f>
        <v>diseaseCoverageType</v>
      </c>
      <c r="X15" s="19" t="s">
        <v>250</v>
      </c>
      <c r="Y15" s="19" t="str">
        <f>IFERROR(VLOOKUP($D15&amp;$C15,設定値!$B$55:$N$85,10,FALSE)&amp;"","")</f>
        <v>benefitFirstPayConvCls</v>
      </c>
      <c r="Z15" s="19" t="s">
        <v>18</v>
      </c>
      <c r="AA15" s="19" t="str">
        <f>IFERROR(VLOOKUP($D15&amp;$C15,設定値!$B$55:$N$85,11,FALSE)&amp;"","")</f>
        <v/>
      </c>
      <c r="AB15" s="19"/>
      <c r="AC15" s="19" t="str">
        <f>IFERROR(VLOOKUP($D15&amp;$C15,設定値!$B$55:$N$85,12,FALSE)&amp;"","")</f>
        <v/>
      </c>
      <c r="AD15" s="19"/>
      <c r="AE15" s="19" t="str">
        <f>IFERROR(VLOOKUP($D15&amp;$C15,設定値!$B$55:$N$85,13,FALSE)&amp;"","")</f>
        <v/>
      </c>
      <c r="AF15" s="19"/>
    </row>
    <row r="16" spans="1:32" ht="15">
      <c r="A16" s="27" t="s">
        <v>118</v>
      </c>
      <c r="B16" s="7" t="s">
        <v>88</v>
      </c>
      <c r="C16" s="27" t="s">
        <v>211</v>
      </c>
      <c r="D16" s="7" t="s">
        <v>180</v>
      </c>
      <c r="E16" s="7" t="str">
        <f t="shared" si="0"/>
        <v>D10</v>
      </c>
      <c r="F16" s="20" t="s">
        <v>44</v>
      </c>
      <c r="G16" s="19" t="str">
        <f>IFERROR(VLOOKUP(D16&amp;C16,設定値!$B$55:$L$85,3,FALSE),"")</f>
        <v>抗がん剤・ホルモン剤治療特約</v>
      </c>
      <c r="H16" s="8" t="s">
        <v>18</v>
      </c>
      <c r="I16" s="8" t="s">
        <v>100</v>
      </c>
      <c r="J16" s="8" t="s">
        <v>171</v>
      </c>
      <c r="K16" s="26"/>
      <c r="L16" s="19"/>
      <c r="M16" s="19" t="str">
        <f>IFERROR(VLOOKUP($D16&amp;$C16,設定値!$B$55:$N$85,4,FALSE)&amp;"","")</f>
        <v>benefit</v>
      </c>
      <c r="N16" s="19">
        <v>10000</v>
      </c>
      <c r="O16" s="19" t="str">
        <f>IFERROR(VLOOKUP($D16&amp;$C16,設定値!$B$55:$N$85,5,FALSE)&amp;"","")</f>
        <v>insurancePeriodClass</v>
      </c>
      <c r="P16" s="19" t="s">
        <v>240</v>
      </c>
      <c r="Q16" s="19" t="str">
        <f>IFERROR(VLOOKUP($D16&amp;$C16,設定値!$B$55:$N$85,6,FALSE)&amp;"","")</f>
        <v>insurancePeriod</v>
      </c>
      <c r="R16" s="19" t="s">
        <v>174</v>
      </c>
      <c r="S16" s="19" t="str">
        <f>IFERROR(VLOOKUP($D16&amp;$C16,設定値!$B$55:$N$85,7,FALSE)&amp;"","")</f>
        <v>paymentPeriodClass</v>
      </c>
      <c r="T16" s="19" t="s">
        <v>240</v>
      </c>
      <c r="U16" s="19" t="str">
        <f>IFERROR(VLOOKUP($D16&amp;$C16,設定値!$B$55:$N$85,8,FALSE)&amp;"","")</f>
        <v>paymentPeriod</v>
      </c>
      <c r="V16" s="19" t="s">
        <v>174</v>
      </c>
      <c r="W16" s="19" t="str">
        <f>IFERROR(VLOOKUP($D16&amp;$C16,設定値!$B$55:$N$85,9,FALSE)&amp;"","")</f>
        <v/>
      </c>
      <c r="X16" s="19"/>
      <c r="Y16" s="19" t="str">
        <f>IFERROR(VLOOKUP($D16&amp;$C16,設定値!$B$55:$N$85,10,FALSE)&amp;"","")</f>
        <v/>
      </c>
      <c r="Z16" s="19"/>
      <c r="AA16" s="19" t="str">
        <f>IFERROR(VLOOKUP($D16&amp;$C16,設定値!$B$55:$N$85,11,FALSE)&amp;"","")</f>
        <v/>
      </c>
      <c r="AB16" s="19"/>
      <c r="AC16" s="19" t="str">
        <f>IFERROR(VLOOKUP($D16&amp;$C16,設定値!$B$55:$N$85,12,FALSE)&amp;"","")</f>
        <v/>
      </c>
      <c r="AD16" s="19"/>
      <c r="AE16" s="19" t="str">
        <f>IFERROR(VLOOKUP($D16&amp;$C16,設定値!$B$55:$N$85,13,FALSE)&amp;"","")</f>
        <v/>
      </c>
      <c r="AF16" s="19"/>
    </row>
    <row r="17" spans="1:32" ht="15">
      <c r="A17" s="27" t="s">
        <v>118</v>
      </c>
      <c r="B17" s="7" t="s">
        <v>88</v>
      </c>
      <c r="C17" s="27" t="s">
        <v>211</v>
      </c>
      <c r="D17" s="7" t="s">
        <v>181</v>
      </c>
      <c r="E17" s="7" t="str">
        <f t="shared" si="0"/>
        <v>D10</v>
      </c>
      <c r="F17" s="20" t="s">
        <v>44</v>
      </c>
      <c r="G17" s="19" t="str">
        <f>IFERROR(VLOOKUP(D17&amp;C17,設定値!$B$55:$L$85,3,FALSE),"")</f>
        <v>特定損傷特約</v>
      </c>
      <c r="H17" s="8" t="s">
        <v>18</v>
      </c>
      <c r="I17" s="8" t="s">
        <v>100</v>
      </c>
      <c r="J17" s="8" t="s">
        <v>171</v>
      </c>
      <c r="K17" s="26"/>
      <c r="L17" s="19"/>
      <c r="M17" s="19" t="str">
        <f>IFERROR(VLOOKUP($D17&amp;$C17,設定値!$B$55:$N$85,4,FALSE)&amp;"","")</f>
        <v>benefit</v>
      </c>
      <c r="N17" s="19">
        <v>50000</v>
      </c>
      <c r="O17" s="19" t="str">
        <f>IFERROR(VLOOKUP($D17&amp;$C17,設定値!$B$55:$N$85,5,FALSE)&amp;"","")</f>
        <v>insurancePeriodClass</v>
      </c>
      <c r="P17" s="19" t="s">
        <v>176</v>
      </c>
      <c r="Q17" s="19" t="str">
        <f>IFERROR(VLOOKUP($D17&amp;$C17,設定値!$B$55:$N$85,6,FALSE)&amp;"","")</f>
        <v>insurancePeriod</v>
      </c>
      <c r="R17" s="19" t="s">
        <v>274</v>
      </c>
      <c r="S17" s="19" t="str">
        <f>IFERROR(VLOOKUP($D17&amp;$C17,設定値!$B$55:$N$85,7,FALSE)&amp;"","")</f>
        <v>paymentPeriodClass</v>
      </c>
      <c r="T17" s="19" t="s">
        <v>176</v>
      </c>
      <c r="U17" s="19" t="str">
        <f>IFERROR(VLOOKUP($D17&amp;$C17,設定値!$B$55:$N$85,8,FALSE)&amp;"","")</f>
        <v>paymentPeriod</v>
      </c>
      <c r="V17" s="19" t="s">
        <v>274</v>
      </c>
      <c r="W17" s="19" t="str">
        <f>IFERROR(VLOOKUP($D17&amp;$C17,設定値!$B$55:$N$85,9,FALSE)&amp;"","")</f>
        <v/>
      </c>
      <c r="X17" s="19"/>
      <c r="Y17" s="19" t="str">
        <f>IFERROR(VLOOKUP($D17&amp;$C17,設定値!$B$55:$N$85,10,FALSE)&amp;"","")</f>
        <v/>
      </c>
      <c r="Z17" s="19"/>
      <c r="AA17" s="19" t="str">
        <f>IFERROR(VLOOKUP($D17&amp;$C17,設定値!$B$55:$N$85,11,FALSE)&amp;"","")</f>
        <v/>
      </c>
      <c r="AB17" s="19"/>
      <c r="AC17" s="19" t="str">
        <f>IFERROR(VLOOKUP($D17&amp;$C17,設定値!$B$55:$N$85,12,FALSE)&amp;"","")</f>
        <v/>
      </c>
      <c r="AD17" s="19"/>
      <c r="AE17" s="19" t="str">
        <f>IFERROR(VLOOKUP($D17&amp;$C17,設定値!$B$55:$N$85,13,FALSE)&amp;"","")</f>
        <v/>
      </c>
      <c r="AF17" s="19"/>
    </row>
    <row r="18" spans="1:32" ht="15">
      <c r="A18" s="27" t="s">
        <v>118</v>
      </c>
      <c r="B18" s="7" t="s">
        <v>88</v>
      </c>
      <c r="C18" s="27" t="s">
        <v>211</v>
      </c>
      <c r="D18" s="7" t="s">
        <v>182</v>
      </c>
      <c r="E18" s="7" t="str">
        <f t="shared" si="0"/>
        <v>D10</v>
      </c>
      <c r="F18" s="20" t="s">
        <v>44</v>
      </c>
      <c r="G18" s="19" t="str">
        <f>IFERROR(VLOOKUP(D18&amp;C18,設定値!$B$55:$L$85,3,FALSE),"")</f>
        <v>がん一時給付特約</v>
      </c>
      <c r="H18" s="8" t="s">
        <v>18</v>
      </c>
      <c r="I18" s="8" t="s">
        <v>100</v>
      </c>
      <c r="J18" s="8" t="s">
        <v>171</v>
      </c>
      <c r="K18" s="26"/>
      <c r="L18" s="19"/>
      <c r="M18" s="19" t="str">
        <f>IFERROR(VLOOKUP($D18&amp;$C18,設定値!$B$55:$N$85,4,FALSE)&amp;"","")</f>
        <v>benefit</v>
      </c>
      <c r="N18" s="19">
        <v>100000</v>
      </c>
      <c r="O18" s="19" t="str">
        <f>IFERROR(VLOOKUP($D18&amp;$C18,設定値!$B$55:$N$85,5,FALSE)&amp;"","")</f>
        <v>insurancePeriodClass</v>
      </c>
      <c r="P18" s="19" t="s">
        <v>240</v>
      </c>
      <c r="Q18" s="19" t="str">
        <f>IFERROR(VLOOKUP($D18&amp;$C18,設定値!$B$55:$N$85,6,FALSE)&amp;"","")</f>
        <v>insurancePeriod</v>
      </c>
      <c r="R18" s="19" t="s">
        <v>174</v>
      </c>
      <c r="S18" s="19" t="str">
        <f>IFERROR(VLOOKUP($D18&amp;$C18,設定値!$B$55:$N$85,7,FALSE)&amp;"","")</f>
        <v>paymentPeriodClass</v>
      </c>
      <c r="T18" s="19" t="s">
        <v>240</v>
      </c>
      <c r="U18" s="19" t="str">
        <f>IFERROR(VLOOKUP($D18&amp;$C18,設定値!$B$55:$N$85,8,FALSE)&amp;"","")</f>
        <v>paymentPeriod</v>
      </c>
      <c r="V18" s="19" t="s">
        <v>174</v>
      </c>
      <c r="W18" s="19" t="str">
        <f>IFERROR(VLOOKUP($D18&amp;$C18,設定値!$B$55:$N$85,9,FALSE)&amp;"","")</f>
        <v/>
      </c>
      <c r="X18" s="19"/>
      <c r="Y18" s="19" t="str">
        <f>IFERROR(VLOOKUP($D18&amp;$C18,設定値!$B$55:$N$85,10,FALSE)&amp;"","")</f>
        <v/>
      </c>
      <c r="Z18" s="19"/>
      <c r="AA18" s="19" t="str">
        <f>IFERROR(VLOOKUP($D18&amp;$C18,設定値!$B$55:$N$85,11,FALSE)&amp;"","")</f>
        <v/>
      </c>
      <c r="AB18" s="19"/>
      <c r="AC18" s="19" t="str">
        <f>IFERROR(VLOOKUP($D18&amp;$C18,設定値!$B$55:$N$85,12,FALSE)&amp;"","")</f>
        <v/>
      </c>
      <c r="AD18" s="19"/>
      <c r="AE18" s="19" t="str">
        <f>IFERROR(VLOOKUP($D18&amp;$C18,設定値!$B$55:$N$85,13,FALSE)&amp;"","")</f>
        <v/>
      </c>
      <c r="AF18" s="19"/>
    </row>
    <row r="19" spans="1:32" ht="15">
      <c r="A19" s="27" t="s">
        <v>118</v>
      </c>
      <c r="B19" s="7" t="s">
        <v>88</v>
      </c>
      <c r="C19" s="27" t="s">
        <v>211</v>
      </c>
      <c r="D19" s="7" t="s">
        <v>172</v>
      </c>
      <c r="E19" s="7" t="str">
        <f t="shared" si="0"/>
        <v>D10</v>
      </c>
      <c r="F19" s="20" t="s">
        <v>44</v>
      </c>
      <c r="G19" s="19" t="str">
        <f>IFERROR(VLOOKUP(D19&amp;C19,設定値!$B$55:$L$85,3,FALSE),"")</f>
        <v>特定疾病保険料払込免除特約</v>
      </c>
      <c r="H19" s="8" t="s">
        <v>18</v>
      </c>
      <c r="I19" s="8" t="s">
        <v>100</v>
      </c>
      <c r="J19" s="8" t="s">
        <v>171</v>
      </c>
      <c r="K19" s="26"/>
      <c r="L19" s="19"/>
      <c r="M19" s="19" t="str">
        <f>IFERROR(VLOOKUP($D19&amp;$C19,設定値!$B$55:$N$85,4,FALSE)&amp;"","")</f>
        <v>additionType</v>
      </c>
      <c r="N19" s="19" t="s">
        <v>18</v>
      </c>
      <c r="O19" s="19" t="str">
        <f>IFERROR(VLOOKUP($D19&amp;$C19,設定値!$B$55:$N$85,5,FALSE)&amp;"","")</f>
        <v>insurancePeriodClass</v>
      </c>
      <c r="P19" s="19" t="s">
        <v>240</v>
      </c>
      <c r="Q19" s="19" t="str">
        <f>IFERROR(VLOOKUP($D19&amp;$C19,設定値!$B$55:$N$85,6,FALSE)&amp;"","")</f>
        <v>insurancePeriod</v>
      </c>
      <c r="R19" s="19" t="s">
        <v>174</v>
      </c>
      <c r="S19" s="19" t="str">
        <f>IFERROR(VLOOKUP($D19&amp;$C19,設定値!$B$55:$N$85,7,FALSE)&amp;"","")</f>
        <v>paymentPeriodClass</v>
      </c>
      <c r="T19" s="19" t="s">
        <v>240</v>
      </c>
      <c r="U19" s="19" t="str">
        <f>IFERROR(VLOOKUP($D19&amp;$C19,設定値!$B$55:$N$85,8,FALSE)&amp;"","")</f>
        <v>paymentPeriod</v>
      </c>
      <c r="V19" s="19" t="s">
        <v>174</v>
      </c>
      <c r="W19" s="19" t="str">
        <f>IFERROR(VLOOKUP($D19&amp;$C19,設定値!$B$55:$N$85,9,FALSE)&amp;"","")</f>
        <v>freeOfPremiumRiderCls</v>
      </c>
      <c r="X19" s="19" t="s">
        <v>249</v>
      </c>
      <c r="Y19" s="19" t="str">
        <f>IFERROR(VLOOKUP($D19&amp;$C19,設定値!$B$55:$N$85,10,FALSE)&amp;"","")</f>
        <v/>
      </c>
      <c r="Z19" s="19"/>
      <c r="AA19" s="19" t="str">
        <f>IFERROR(VLOOKUP($D19&amp;$C19,設定値!$B$55:$N$85,11,FALSE)&amp;"","")</f>
        <v/>
      </c>
      <c r="AB19" s="19"/>
      <c r="AC19" s="19" t="str">
        <f>IFERROR(VLOOKUP($D19&amp;$C19,設定値!$B$55:$N$85,12,FALSE)&amp;"","")</f>
        <v/>
      </c>
      <c r="AD19" s="19"/>
      <c r="AE19" s="19" t="str">
        <f>IFERROR(VLOOKUP($D19&amp;$C19,設定値!$B$55:$N$85,13,FALSE)&amp;"","")</f>
        <v/>
      </c>
      <c r="AF19" s="19"/>
    </row>
    <row r="20" spans="1:32" ht="15">
      <c r="A20" s="27" t="s">
        <v>213</v>
      </c>
      <c r="B20" s="7" t="s">
        <v>88</v>
      </c>
      <c r="C20" s="27" t="s">
        <v>18</v>
      </c>
      <c r="D20" s="7" t="s">
        <v>172</v>
      </c>
      <c r="E20" s="7" t="str">
        <f t="shared" si="0"/>
        <v>310</v>
      </c>
      <c r="F20" s="20" t="s">
        <v>44</v>
      </c>
      <c r="G20" s="19" t="str">
        <f>IFERROR(VLOOKUP(D20&amp;C20,設定値!$B$55:$L$85,3,FALSE),"")</f>
        <v>医療終身保険（無解約払戻金型）</v>
      </c>
      <c r="H20" s="8" t="s">
        <v>18</v>
      </c>
      <c r="I20" s="8" t="s">
        <v>100</v>
      </c>
      <c r="J20" s="8" t="s">
        <v>171</v>
      </c>
      <c r="K20" s="26"/>
      <c r="L20" s="19">
        <v>0</v>
      </c>
      <c r="M20" s="19" t="str">
        <f>IFERROR(VLOOKUP($D20&amp;$C20,設定値!$B$55:$N$85,4,FALSE)&amp;"","")</f>
        <v>benefit</v>
      </c>
      <c r="N20" s="19">
        <v>3000</v>
      </c>
      <c r="O20" s="19" t="str">
        <f>IFERROR(VLOOKUP($D20&amp;$C20,設定値!$B$55:$N$85,5,FALSE)&amp;"","")</f>
        <v>insurancePeriodClass</v>
      </c>
      <c r="P20" s="19" t="s">
        <v>240</v>
      </c>
      <c r="Q20" s="19" t="str">
        <f>IFERROR(VLOOKUP($D20&amp;$C20,設定値!$B$55:$N$85,6,FALSE)&amp;"","")</f>
        <v>insurancePeriod</v>
      </c>
      <c r="R20" s="19" t="s">
        <v>174</v>
      </c>
      <c r="S20" s="19" t="str">
        <f>IFERROR(VLOOKUP($D20&amp;$C20,設定値!$B$55:$N$85,7,FALSE)&amp;"","")</f>
        <v>paymentPeriodClass</v>
      </c>
      <c r="T20" s="19" t="s">
        <v>240</v>
      </c>
      <c r="U20" s="19" t="str">
        <f>IFERROR(VLOOKUP($D20&amp;$C20,設定値!$B$55:$N$85,8,FALSE)&amp;"","")</f>
        <v>paymentPeriod</v>
      </c>
      <c r="V20" s="19" t="s">
        <v>174</v>
      </c>
      <c r="W20" s="19" t="str">
        <f>IFERROR(VLOOKUP($D20&amp;$C20,設定値!$B$55:$N$85,9,FALSE)&amp;"","")</f>
        <v>hosCovPayLimitClass</v>
      </c>
      <c r="X20" s="19" t="s">
        <v>175</v>
      </c>
      <c r="Y20" s="19" t="str">
        <f>IFERROR(VLOOKUP($D20&amp;$C20,設定値!$B$55:$N$85,10,FALSE)&amp;"","")</f>
        <v>benefitPayConvCls</v>
      </c>
      <c r="Z20" s="19" t="s">
        <v>18</v>
      </c>
      <c r="AA20" s="19" t="str">
        <f>IFERROR(VLOOKUP($D20&amp;$C20,設定値!$B$55:$N$85,11,FALSE)&amp;"","")</f>
        <v>disHsptUnlmtDaysSpPrv</v>
      </c>
      <c r="AB20" s="19" t="s">
        <v>176</v>
      </c>
      <c r="AC20" s="19" t="str">
        <f>IFERROR(VLOOKUP($D20&amp;$C20,設定値!$B$55:$N$85,12,FALSE)&amp;"","")</f>
        <v>freeOfPRiderFlg</v>
      </c>
      <c r="AD20" s="19" t="s">
        <v>18</v>
      </c>
      <c r="AE20" s="19" t="str">
        <f>IFERROR(VLOOKUP($D20&amp;$C20,設定値!$B$55:$N$85,13,FALSE)&amp;"","")</f>
        <v>freeOfPremiumRiderCls</v>
      </c>
      <c r="AF20" s="19" t="s">
        <v>249</v>
      </c>
    </row>
    <row r="21" spans="1:32" ht="15">
      <c r="A21" s="27" t="s">
        <v>213</v>
      </c>
      <c r="B21" s="7" t="s">
        <v>88</v>
      </c>
      <c r="C21" s="27" t="s">
        <v>211</v>
      </c>
      <c r="D21" s="7" t="s">
        <v>177</v>
      </c>
      <c r="E21" s="7" t="str">
        <f t="shared" si="0"/>
        <v>D10</v>
      </c>
      <c r="F21" s="20" t="s">
        <v>44</v>
      </c>
      <c r="G21" s="19" t="str">
        <f>IFERROR(VLOOKUP(D21&amp;C21,設定値!$B$55:$L$85,3,FALSE),"")</f>
        <v>入院一時給付特約</v>
      </c>
      <c r="H21" s="8" t="s">
        <v>18</v>
      </c>
      <c r="I21" s="8" t="s">
        <v>100</v>
      </c>
      <c r="J21" s="8" t="s">
        <v>171</v>
      </c>
      <c r="K21" s="26"/>
      <c r="L21" s="19"/>
      <c r="M21" s="19" t="str">
        <f>IFERROR(VLOOKUP($D21&amp;$C21,設定値!$B$55:$N$85,4,FALSE)&amp;"","")</f>
        <v>benefit</v>
      </c>
      <c r="N21" s="19">
        <v>10000</v>
      </c>
      <c r="O21" s="19" t="str">
        <f>IFERROR(VLOOKUP($D21&amp;$C21,設定値!$B$55:$N$85,5,FALSE)&amp;"","")</f>
        <v>insurancePeriodClass</v>
      </c>
      <c r="P21" s="19" t="s">
        <v>240</v>
      </c>
      <c r="Q21" s="19" t="str">
        <f>IFERROR(VLOOKUP($D21&amp;$C21,設定値!$B$55:$N$85,6,FALSE)&amp;"","")</f>
        <v>insurancePeriod</v>
      </c>
      <c r="R21" s="19" t="s">
        <v>174</v>
      </c>
      <c r="S21" s="19" t="str">
        <f>IFERROR(VLOOKUP($D21&amp;$C21,設定値!$B$55:$N$85,7,FALSE)&amp;"","")</f>
        <v>paymentPeriodClass</v>
      </c>
      <c r="T21" s="19" t="s">
        <v>240</v>
      </c>
      <c r="U21" s="19" t="str">
        <f>IFERROR(VLOOKUP($D21&amp;$C21,設定値!$B$55:$N$85,8,FALSE)&amp;"","")</f>
        <v>paymentPeriod</v>
      </c>
      <c r="V21" s="19" t="s">
        <v>174</v>
      </c>
      <c r="W21" s="19" t="str">
        <f>IFERROR(VLOOKUP($D21&amp;$C21,設定値!$B$55:$N$85,9,FALSE)&amp;"","")</f>
        <v/>
      </c>
      <c r="X21" s="19"/>
      <c r="Y21" s="19" t="str">
        <f>IFERROR(VLOOKUP($D21&amp;$C21,設定値!$B$55:$N$85,10,FALSE)&amp;"","")</f>
        <v/>
      </c>
      <c r="Z21" s="19"/>
      <c r="AA21" s="19" t="str">
        <f>IFERROR(VLOOKUP($D21&amp;$C21,設定値!$B$55:$N$85,11,FALSE)&amp;"","")</f>
        <v/>
      </c>
      <c r="AB21" s="19"/>
      <c r="AC21" s="19" t="str">
        <f>IFERROR(VLOOKUP($D21&amp;$C21,設定値!$B$55:$N$85,12,FALSE)&amp;"","")</f>
        <v/>
      </c>
      <c r="AD21" s="19"/>
      <c r="AE21" s="19" t="str">
        <f>IFERROR(VLOOKUP($D21&amp;$C21,設定値!$B$55:$N$85,13,FALSE)&amp;"","")</f>
        <v/>
      </c>
      <c r="AF21" s="19"/>
    </row>
    <row r="22" spans="1:32" ht="15">
      <c r="A22" s="27" t="s">
        <v>213</v>
      </c>
      <c r="B22" s="7" t="s">
        <v>88</v>
      </c>
      <c r="C22" s="27" t="s">
        <v>211</v>
      </c>
      <c r="D22" s="7" t="s">
        <v>183</v>
      </c>
      <c r="E22" s="7" t="str">
        <f t="shared" si="0"/>
        <v>D10</v>
      </c>
      <c r="F22" s="20" t="s">
        <v>44</v>
      </c>
      <c r="G22" s="19" t="str">
        <f>IFERROR(VLOOKUP(D22&amp;C22,設定値!$B$55:$L$85,3,FALSE),"")</f>
        <v>退院後通院特約</v>
      </c>
      <c r="H22" s="8" t="s">
        <v>18</v>
      </c>
      <c r="I22" s="8" t="s">
        <v>100</v>
      </c>
      <c r="J22" s="8" t="s">
        <v>171</v>
      </c>
      <c r="K22" s="26"/>
      <c r="L22" s="19"/>
      <c r="M22" s="19" t="str">
        <f>IFERROR(VLOOKUP($D22&amp;$C22,設定値!$B$55:$N$85,4,FALSE)&amp;"","")</f>
        <v>benefit</v>
      </c>
      <c r="N22" s="19">
        <v>2000</v>
      </c>
      <c r="O22" s="19" t="str">
        <f>IFERROR(VLOOKUP($D22&amp;$C22,設定値!$B$55:$N$85,5,FALSE)&amp;"","")</f>
        <v>insurancePeriodClass</v>
      </c>
      <c r="P22" s="19" t="s">
        <v>240</v>
      </c>
      <c r="Q22" s="19" t="str">
        <f>IFERROR(VLOOKUP($D22&amp;$C22,設定値!$B$55:$N$85,6,FALSE)&amp;"","")</f>
        <v>insurancePeriod</v>
      </c>
      <c r="R22" s="19" t="s">
        <v>174</v>
      </c>
      <c r="S22" s="19" t="str">
        <f>IFERROR(VLOOKUP($D22&amp;$C22,設定値!$B$55:$N$85,7,FALSE)&amp;"","")</f>
        <v>paymentPeriodClass</v>
      </c>
      <c r="T22" s="19" t="s">
        <v>240</v>
      </c>
      <c r="U22" s="19" t="str">
        <f>IFERROR(VLOOKUP($D22&amp;$C22,設定値!$B$55:$N$85,8,FALSE)&amp;"","")</f>
        <v>paymentPeriod</v>
      </c>
      <c r="V22" s="19" t="s">
        <v>174</v>
      </c>
      <c r="W22" s="19" t="str">
        <f>IFERROR(VLOOKUP($D22&amp;$C22,設定値!$B$55:$N$85,9,FALSE)&amp;"","")</f>
        <v/>
      </c>
      <c r="X22" s="19"/>
      <c r="Y22" s="19" t="str">
        <f>IFERROR(VLOOKUP($D22&amp;$C22,設定値!$B$55:$N$85,10,FALSE)&amp;"","")</f>
        <v/>
      </c>
      <c r="Z22" s="19"/>
      <c r="AA22" s="19" t="str">
        <f>IFERROR(VLOOKUP($D22&amp;$C22,設定値!$B$55:$N$85,11,FALSE)&amp;"","")</f>
        <v/>
      </c>
      <c r="AB22" s="19"/>
      <c r="AC22" s="19" t="str">
        <f>IFERROR(VLOOKUP($D22&amp;$C22,設定値!$B$55:$N$85,12,FALSE)&amp;"","")</f>
        <v/>
      </c>
      <c r="AD22" s="19"/>
      <c r="AE22" s="19" t="str">
        <f>IFERROR(VLOOKUP($D22&amp;$C22,設定値!$B$55:$N$85,13,FALSE)&amp;"","")</f>
        <v/>
      </c>
      <c r="AF22" s="19"/>
    </row>
    <row r="23" spans="1:32" ht="15">
      <c r="A23" s="27" t="s">
        <v>213</v>
      </c>
      <c r="B23" s="7" t="s">
        <v>88</v>
      </c>
      <c r="C23" s="27" t="s">
        <v>211</v>
      </c>
      <c r="D23" s="7" t="s">
        <v>178</v>
      </c>
      <c r="E23" s="7" t="str">
        <f t="shared" si="0"/>
        <v>D10</v>
      </c>
      <c r="F23" s="20" t="s">
        <v>44</v>
      </c>
      <c r="G23" s="19" t="str">
        <f>IFERROR(VLOOKUP(D23&amp;C23,設定値!$B$55:$L$85,3,FALSE),"")</f>
        <v>先進医療特約</v>
      </c>
      <c r="H23" s="8" t="s">
        <v>18</v>
      </c>
      <c r="I23" s="8" t="s">
        <v>100</v>
      </c>
      <c r="J23" s="8" t="s">
        <v>171</v>
      </c>
      <c r="K23" s="26"/>
      <c r="L23" s="19"/>
      <c r="M23" s="19" t="str">
        <f>IFERROR(VLOOKUP($D23&amp;$C23,設定値!$B$55:$N$85,4,FALSE)&amp;"","")</f>
        <v>additionType</v>
      </c>
      <c r="N23" s="19" t="s">
        <v>18</v>
      </c>
      <c r="O23" s="19" t="str">
        <f>IFERROR(VLOOKUP($D23&amp;$C23,設定値!$B$55:$N$85,5,FALSE)&amp;"","")</f>
        <v>insurancePeriodClass</v>
      </c>
      <c r="P23" s="19" t="s">
        <v>240</v>
      </c>
      <c r="Q23" s="19" t="str">
        <f>IFERROR(VLOOKUP($D23&amp;$C23,設定値!$B$55:$N$85,6,FALSE)&amp;"","")</f>
        <v>insurancePeriod</v>
      </c>
      <c r="R23" s="19" t="s">
        <v>174</v>
      </c>
      <c r="S23" s="19" t="str">
        <f>IFERROR(VLOOKUP($D23&amp;$C23,設定値!$B$55:$N$85,7,FALSE)&amp;"","")</f>
        <v>paymentPeriodClass</v>
      </c>
      <c r="T23" s="19" t="s">
        <v>240</v>
      </c>
      <c r="U23" s="19" t="str">
        <f>IFERROR(VLOOKUP($D23&amp;$C23,設定値!$B$55:$N$85,8,FALSE)&amp;"","")</f>
        <v>paymentPeriod</v>
      </c>
      <c r="V23" s="19" t="s">
        <v>174</v>
      </c>
      <c r="W23" s="19" t="str">
        <f>IFERROR(VLOOKUP($D23&amp;$C23,設定値!$B$55:$N$85,9,FALSE)&amp;"","")</f>
        <v/>
      </c>
      <c r="X23" s="19"/>
      <c r="Y23" s="19" t="str">
        <f>IFERROR(VLOOKUP($D23&amp;$C23,設定値!$B$55:$N$85,10,FALSE)&amp;"","")</f>
        <v/>
      </c>
      <c r="Z23" s="19"/>
      <c r="AA23" s="19" t="str">
        <f>IFERROR(VLOOKUP($D23&amp;$C23,設定値!$B$55:$N$85,11,FALSE)&amp;"","")</f>
        <v/>
      </c>
      <c r="AB23" s="19"/>
      <c r="AC23" s="19" t="str">
        <f>IFERROR(VLOOKUP($D23&amp;$C23,設定値!$B$55:$N$85,12,FALSE)&amp;"","")</f>
        <v/>
      </c>
      <c r="AD23" s="19"/>
      <c r="AE23" s="19" t="str">
        <f>IFERROR(VLOOKUP($D23&amp;$C23,設定値!$B$55:$N$85,13,FALSE)&amp;"","")</f>
        <v/>
      </c>
      <c r="AF23" s="19"/>
    </row>
    <row r="24" spans="1:32" ht="15">
      <c r="A24" s="27" t="s">
        <v>213</v>
      </c>
      <c r="B24" s="7" t="s">
        <v>88</v>
      </c>
      <c r="C24" s="27" t="s">
        <v>211</v>
      </c>
      <c r="D24" s="7" t="s">
        <v>179</v>
      </c>
      <c r="E24" s="7" t="str">
        <f t="shared" si="0"/>
        <v>D10</v>
      </c>
      <c r="F24" s="20" t="s">
        <v>44</v>
      </c>
      <c r="G24" s="19" t="str">
        <f>IFERROR(VLOOKUP(D24&amp;C24,設定値!$B$55:$L$85,3,FALSE),"")</f>
        <v>特定疾病一時給付特約（２０）</v>
      </c>
      <c r="H24" s="8" t="s">
        <v>18</v>
      </c>
      <c r="I24" s="8" t="s">
        <v>100</v>
      </c>
      <c r="J24" s="8" t="s">
        <v>171</v>
      </c>
      <c r="K24" s="26"/>
      <c r="L24" s="19"/>
      <c r="M24" s="19" t="str">
        <f>IFERROR(VLOOKUP($D24&amp;$C24,設定値!$B$55:$N$85,4,FALSE)&amp;"","")</f>
        <v>benefit</v>
      </c>
      <c r="N24" s="19">
        <v>100000</v>
      </c>
      <c r="O24" s="19" t="str">
        <f>IFERROR(VLOOKUP($D24&amp;$C24,設定値!$B$55:$N$85,5,FALSE)&amp;"","")</f>
        <v>insurancePeriodClass</v>
      </c>
      <c r="P24" s="19" t="s">
        <v>240</v>
      </c>
      <c r="Q24" s="19" t="str">
        <f>IFERROR(VLOOKUP($D24&amp;$C24,設定値!$B$55:$N$85,6,FALSE)&amp;"","")</f>
        <v>insurancePeriod</v>
      </c>
      <c r="R24" s="19" t="s">
        <v>174</v>
      </c>
      <c r="S24" s="19" t="str">
        <f>IFERROR(VLOOKUP($D24&amp;$C24,設定値!$B$55:$N$85,7,FALSE)&amp;"","")</f>
        <v>paymentPeriodClass</v>
      </c>
      <c r="T24" s="19" t="s">
        <v>240</v>
      </c>
      <c r="U24" s="19" t="str">
        <f>IFERROR(VLOOKUP($D24&amp;$C24,設定値!$B$55:$N$85,8,FALSE)&amp;"","")</f>
        <v>paymentPeriod</v>
      </c>
      <c r="V24" s="19" t="s">
        <v>174</v>
      </c>
      <c r="W24" s="19" t="str">
        <f>IFERROR(VLOOKUP($D24&amp;$C24,設定値!$B$55:$N$85,9,FALSE)&amp;"","")</f>
        <v>diseaseCoverageType</v>
      </c>
      <c r="X24" s="19" t="s">
        <v>250</v>
      </c>
      <c r="Y24" s="19" t="str">
        <f>IFERROR(VLOOKUP($D24&amp;$C24,設定値!$B$55:$N$85,10,FALSE)&amp;"","")</f>
        <v>benefitFirstPayConvCls</v>
      </c>
      <c r="Z24" s="19" t="s">
        <v>18</v>
      </c>
      <c r="AA24" s="19" t="str">
        <f>IFERROR(VLOOKUP($D24&amp;$C24,設定値!$B$55:$N$85,11,FALSE)&amp;"","")</f>
        <v/>
      </c>
      <c r="AB24" s="19"/>
      <c r="AC24" s="19" t="str">
        <f>IFERROR(VLOOKUP($D24&amp;$C24,設定値!$B$55:$N$85,12,FALSE)&amp;"","")</f>
        <v/>
      </c>
      <c r="AD24" s="19"/>
      <c r="AE24" s="19" t="str">
        <f>IFERROR(VLOOKUP($D24&amp;$C24,設定値!$B$55:$N$85,13,FALSE)&amp;"","")</f>
        <v/>
      </c>
      <c r="AF24" s="19"/>
    </row>
    <row r="25" spans="1:32" ht="15">
      <c r="A25" s="27" t="s">
        <v>213</v>
      </c>
      <c r="B25" s="7" t="s">
        <v>88</v>
      </c>
      <c r="C25" s="27" t="s">
        <v>211</v>
      </c>
      <c r="D25" s="7" t="s">
        <v>180</v>
      </c>
      <c r="E25" s="7" t="str">
        <f t="shared" si="0"/>
        <v>D10</v>
      </c>
      <c r="F25" s="20" t="s">
        <v>44</v>
      </c>
      <c r="G25" s="19" t="str">
        <f>IFERROR(VLOOKUP(D25&amp;C25,設定値!$B$55:$L$85,3,FALSE),"")</f>
        <v>抗がん剤・ホルモン剤治療特約</v>
      </c>
      <c r="H25" s="8" t="s">
        <v>18</v>
      </c>
      <c r="I25" s="8" t="s">
        <v>100</v>
      </c>
      <c r="J25" s="8" t="s">
        <v>171</v>
      </c>
      <c r="K25" s="26"/>
      <c r="L25" s="19"/>
      <c r="M25" s="19" t="str">
        <f>IFERROR(VLOOKUP($D25&amp;$C25,設定値!$B$55:$N$85,4,FALSE)&amp;"","")</f>
        <v>benefit</v>
      </c>
      <c r="N25" s="19">
        <v>10000</v>
      </c>
      <c r="O25" s="19" t="str">
        <f>IFERROR(VLOOKUP($D25&amp;$C25,設定値!$B$55:$N$85,5,FALSE)&amp;"","")</f>
        <v>insurancePeriodClass</v>
      </c>
      <c r="P25" s="19" t="s">
        <v>240</v>
      </c>
      <c r="Q25" s="19" t="str">
        <f>IFERROR(VLOOKUP($D25&amp;$C25,設定値!$B$55:$N$85,6,FALSE)&amp;"","")</f>
        <v>insurancePeriod</v>
      </c>
      <c r="R25" s="19" t="s">
        <v>174</v>
      </c>
      <c r="S25" s="19" t="str">
        <f>IFERROR(VLOOKUP($D25&amp;$C25,設定値!$B$55:$N$85,7,FALSE)&amp;"","")</f>
        <v>paymentPeriodClass</v>
      </c>
      <c r="T25" s="19" t="s">
        <v>240</v>
      </c>
      <c r="U25" s="19" t="str">
        <f>IFERROR(VLOOKUP($D25&amp;$C25,設定値!$B$55:$N$85,8,FALSE)&amp;"","")</f>
        <v>paymentPeriod</v>
      </c>
      <c r="V25" s="19" t="s">
        <v>174</v>
      </c>
      <c r="W25" s="19" t="str">
        <f>IFERROR(VLOOKUP($D25&amp;$C25,設定値!$B$55:$N$85,9,FALSE)&amp;"","")</f>
        <v/>
      </c>
      <c r="X25" s="19"/>
      <c r="Y25" s="19" t="str">
        <f>IFERROR(VLOOKUP($D25&amp;$C25,設定値!$B$55:$N$85,10,FALSE)&amp;"","")</f>
        <v/>
      </c>
      <c r="Z25" s="19"/>
      <c r="AA25" s="19" t="str">
        <f>IFERROR(VLOOKUP($D25&amp;$C25,設定値!$B$55:$N$85,11,FALSE)&amp;"","")</f>
        <v/>
      </c>
      <c r="AB25" s="19"/>
      <c r="AC25" s="19" t="str">
        <f>IFERROR(VLOOKUP($D25&amp;$C25,設定値!$B$55:$N$85,12,FALSE)&amp;"","")</f>
        <v/>
      </c>
      <c r="AD25" s="19"/>
      <c r="AE25" s="19" t="str">
        <f>IFERROR(VLOOKUP($D25&amp;$C25,設定値!$B$55:$N$85,13,FALSE)&amp;"","")</f>
        <v/>
      </c>
      <c r="AF25" s="19"/>
    </row>
    <row r="26" spans="1:32" ht="15">
      <c r="A26" s="27" t="s">
        <v>213</v>
      </c>
      <c r="B26" s="7" t="s">
        <v>88</v>
      </c>
      <c r="C26" s="27" t="s">
        <v>211</v>
      </c>
      <c r="D26" s="7" t="s">
        <v>181</v>
      </c>
      <c r="E26" s="7" t="str">
        <f t="shared" si="0"/>
        <v>D10</v>
      </c>
      <c r="F26" s="20" t="s">
        <v>44</v>
      </c>
      <c r="G26" s="19" t="str">
        <f>IFERROR(VLOOKUP(D26&amp;C26,設定値!$B$55:$L$85,3,FALSE),"")</f>
        <v>特定損傷特約</v>
      </c>
      <c r="H26" s="8" t="s">
        <v>18</v>
      </c>
      <c r="I26" s="8" t="s">
        <v>100</v>
      </c>
      <c r="J26" s="8" t="s">
        <v>171</v>
      </c>
      <c r="K26" s="26"/>
      <c r="L26" s="19"/>
      <c r="M26" s="19" t="str">
        <f>IFERROR(VLOOKUP($D26&amp;$C26,設定値!$B$55:$N$85,4,FALSE)&amp;"","")</f>
        <v>benefit</v>
      </c>
      <c r="N26" s="19">
        <v>50000</v>
      </c>
      <c r="O26" s="19" t="str">
        <f>IFERROR(VLOOKUP($D26&amp;$C26,設定値!$B$55:$N$85,5,FALSE)&amp;"","")</f>
        <v>insurancePeriodClass</v>
      </c>
      <c r="P26" s="19" t="s">
        <v>176</v>
      </c>
      <c r="Q26" s="19" t="str">
        <f>IFERROR(VLOOKUP($D26&amp;$C26,設定値!$B$55:$N$85,6,FALSE)&amp;"","")</f>
        <v>insurancePeriod</v>
      </c>
      <c r="R26" s="19" t="s">
        <v>274</v>
      </c>
      <c r="S26" s="19" t="str">
        <f>IFERROR(VLOOKUP($D26&amp;$C26,設定値!$B$55:$N$85,7,FALSE)&amp;"","")</f>
        <v>paymentPeriodClass</v>
      </c>
      <c r="T26" s="19" t="s">
        <v>176</v>
      </c>
      <c r="U26" s="19" t="str">
        <f>IFERROR(VLOOKUP($D26&amp;$C26,設定値!$B$55:$N$85,8,FALSE)&amp;"","")</f>
        <v>paymentPeriod</v>
      </c>
      <c r="V26" s="19" t="s">
        <v>274</v>
      </c>
      <c r="W26" s="19" t="str">
        <f>IFERROR(VLOOKUP($D26&amp;$C26,設定値!$B$55:$N$85,9,FALSE)&amp;"","")</f>
        <v/>
      </c>
      <c r="X26" s="19"/>
      <c r="Y26" s="19" t="str">
        <f>IFERROR(VLOOKUP($D26&amp;$C26,設定値!$B$55:$N$85,10,FALSE)&amp;"","")</f>
        <v/>
      </c>
      <c r="Z26" s="19"/>
      <c r="AA26" s="19" t="str">
        <f>IFERROR(VLOOKUP($D26&amp;$C26,設定値!$B$55:$N$85,11,FALSE)&amp;"","")</f>
        <v/>
      </c>
      <c r="AB26" s="19"/>
      <c r="AC26" s="19" t="str">
        <f>IFERROR(VLOOKUP($D26&amp;$C26,設定値!$B$55:$N$85,12,FALSE)&amp;"","")</f>
        <v/>
      </c>
      <c r="AD26" s="19"/>
      <c r="AE26" s="19" t="str">
        <f>IFERROR(VLOOKUP($D26&amp;$C26,設定値!$B$55:$N$85,13,FALSE)&amp;"","")</f>
        <v/>
      </c>
      <c r="AF26" s="19"/>
    </row>
    <row r="27" spans="1:32" ht="15">
      <c r="A27" s="27" t="s">
        <v>213</v>
      </c>
      <c r="B27" s="7" t="s">
        <v>88</v>
      </c>
      <c r="C27" s="27" t="s">
        <v>211</v>
      </c>
      <c r="D27" s="7" t="s">
        <v>182</v>
      </c>
      <c r="E27" s="7" t="str">
        <f t="shared" si="0"/>
        <v>D10</v>
      </c>
      <c r="F27" s="20" t="s">
        <v>44</v>
      </c>
      <c r="G27" s="19" t="str">
        <f>IFERROR(VLOOKUP(D27&amp;C27,設定値!$B$55:$L$85,3,FALSE),"")</f>
        <v>がん一時給付特約</v>
      </c>
      <c r="H27" s="8" t="s">
        <v>18</v>
      </c>
      <c r="I27" s="8" t="s">
        <v>100</v>
      </c>
      <c r="J27" s="8" t="s">
        <v>171</v>
      </c>
      <c r="K27" s="26"/>
      <c r="L27" s="19"/>
      <c r="M27" s="19" t="str">
        <f>IFERROR(VLOOKUP($D27&amp;$C27,設定値!$B$55:$N$85,4,FALSE)&amp;"","")</f>
        <v>benefit</v>
      </c>
      <c r="N27" s="19">
        <v>100000</v>
      </c>
      <c r="O27" s="19" t="str">
        <f>IFERROR(VLOOKUP($D27&amp;$C27,設定値!$B$55:$N$85,5,FALSE)&amp;"","")</f>
        <v>insurancePeriodClass</v>
      </c>
      <c r="P27" s="19" t="s">
        <v>240</v>
      </c>
      <c r="Q27" s="19" t="str">
        <f>IFERROR(VLOOKUP($D27&amp;$C27,設定値!$B$55:$N$85,6,FALSE)&amp;"","")</f>
        <v>insurancePeriod</v>
      </c>
      <c r="R27" s="19" t="s">
        <v>174</v>
      </c>
      <c r="S27" s="19" t="str">
        <f>IFERROR(VLOOKUP($D27&amp;$C27,設定値!$B$55:$N$85,7,FALSE)&amp;"","")</f>
        <v>paymentPeriodClass</v>
      </c>
      <c r="T27" s="19" t="s">
        <v>240</v>
      </c>
      <c r="U27" s="19" t="str">
        <f>IFERROR(VLOOKUP($D27&amp;$C27,設定値!$B$55:$N$85,8,FALSE)&amp;"","")</f>
        <v>paymentPeriod</v>
      </c>
      <c r="V27" s="19" t="s">
        <v>174</v>
      </c>
      <c r="W27" s="19" t="str">
        <f>IFERROR(VLOOKUP($D27&amp;$C27,設定値!$B$55:$N$85,9,FALSE)&amp;"","")</f>
        <v/>
      </c>
      <c r="X27" s="19"/>
      <c r="Y27" s="19" t="str">
        <f>IFERROR(VLOOKUP($D27&amp;$C27,設定値!$B$55:$N$85,10,FALSE)&amp;"","")</f>
        <v/>
      </c>
      <c r="Z27" s="19"/>
      <c r="AA27" s="19" t="str">
        <f>IFERROR(VLOOKUP($D27&amp;$C27,設定値!$B$55:$N$85,11,FALSE)&amp;"","")</f>
        <v/>
      </c>
      <c r="AB27" s="19"/>
      <c r="AC27" s="19" t="str">
        <f>IFERROR(VLOOKUP($D27&amp;$C27,設定値!$B$55:$N$85,12,FALSE)&amp;"","")</f>
        <v/>
      </c>
      <c r="AD27" s="19"/>
      <c r="AE27" s="19" t="str">
        <f>IFERROR(VLOOKUP($D27&amp;$C27,設定値!$B$55:$N$85,13,FALSE)&amp;"","")</f>
        <v/>
      </c>
      <c r="AF27" s="19"/>
    </row>
    <row r="28" spans="1:32" ht="15">
      <c r="A28" s="27" t="s">
        <v>213</v>
      </c>
      <c r="B28" s="7" t="s">
        <v>88</v>
      </c>
      <c r="C28" s="27" t="s">
        <v>211</v>
      </c>
      <c r="D28" s="7" t="s">
        <v>172</v>
      </c>
      <c r="E28" s="7" t="str">
        <f t="shared" si="0"/>
        <v>D10</v>
      </c>
      <c r="F28" s="20" t="s">
        <v>44</v>
      </c>
      <c r="G28" s="19" t="str">
        <f>IFERROR(VLOOKUP(D28&amp;C28,設定値!$B$55:$L$85,3,FALSE),"")</f>
        <v>特定疾病保険料払込免除特約</v>
      </c>
      <c r="H28" s="8" t="s">
        <v>18</v>
      </c>
      <c r="I28" s="8" t="s">
        <v>100</v>
      </c>
      <c r="J28" s="8" t="s">
        <v>171</v>
      </c>
      <c r="K28" s="26"/>
      <c r="L28" s="19"/>
      <c r="M28" s="19" t="str">
        <f>IFERROR(VLOOKUP($D28&amp;$C28,設定値!$B$55:$N$85,4,FALSE)&amp;"","")</f>
        <v>additionType</v>
      </c>
      <c r="N28" s="19" t="s">
        <v>18</v>
      </c>
      <c r="O28" s="19" t="str">
        <f>IFERROR(VLOOKUP($D28&amp;$C28,設定値!$B$55:$N$85,5,FALSE)&amp;"","")</f>
        <v>insurancePeriodClass</v>
      </c>
      <c r="P28" s="19" t="s">
        <v>240</v>
      </c>
      <c r="Q28" s="19" t="str">
        <f>IFERROR(VLOOKUP($D28&amp;$C28,設定値!$B$55:$N$85,6,FALSE)&amp;"","")</f>
        <v>insurancePeriod</v>
      </c>
      <c r="R28" s="19" t="s">
        <v>174</v>
      </c>
      <c r="S28" s="19" t="str">
        <f>IFERROR(VLOOKUP($D28&amp;$C28,設定値!$B$55:$N$85,7,FALSE)&amp;"","")</f>
        <v>paymentPeriodClass</v>
      </c>
      <c r="T28" s="19" t="s">
        <v>240</v>
      </c>
      <c r="U28" s="19" t="str">
        <f>IFERROR(VLOOKUP($D28&amp;$C28,設定値!$B$55:$N$85,8,FALSE)&amp;"","")</f>
        <v>paymentPeriod</v>
      </c>
      <c r="V28" s="19" t="s">
        <v>174</v>
      </c>
      <c r="W28" s="19" t="str">
        <f>IFERROR(VLOOKUP($D28&amp;$C28,設定値!$B$55:$N$85,9,FALSE)&amp;"","")</f>
        <v>freeOfPremiumRiderCls</v>
      </c>
      <c r="X28" s="19" t="s">
        <v>249</v>
      </c>
      <c r="Y28" s="19" t="str">
        <f>IFERROR(VLOOKUP($D28&amp;$C28,設定値!$B$55:$N$85,10,FALSE)&amp;"","")</f>
        <v/>
      </c>
      <c r="Z28" s="19"/>
      <c r="AA28" s="19" t="str">
        <f>IFERROR(VLOOKUP($D28&amp;$C28,設定値!$B$55:$N$85,11,FALSE)&amp;"","")</f>
        <v/>
      </c>
      <c r="AB28" s="19"/>
      <c r="AC28" s="19" t="str">
        <f>IFERROR(VLOOKUP($D28&amp;$C28,設定値!$B$55:$N$85,12,FALSE)&amp;"","")</f>
        <v/>
      </c>
      <c r="AD28" s="19"/>
      <c r="AE28" s="19" t="str">
        <f>IFERROR(VLOOKUP($D28&amp;$C28,設定値!$B$55:$N$85,13,FALSE)&amp;"","")</f>
        <v/>
      </c>
      <c r="AF28" s="19"/>
    </row>
    <row r="29" spans="1:32" ht="15">
      <c r="A29" s="27" t="s">
        <v>18</v>
      </c>
      <c r="B29" s="7" t="s">
        <v>214</v>
      </c>
      <c r="C29" s="27" t="s">
        <v>18</v>
      </c>
      <c r="D29" s="7" t="s">
        <v>215</v>
      </c>
      <c r="E29" s="7" t="str">
        <f t="shared" si="0"/>
        <v>310</v>
      </c>
      <c r="F29" s="20" t="s">
        <v>44</v>
      </c>
      <c r="G29" s="19" t="str">
        <f>IFERROR(VLOOKUP(D29&amp;C29,設定値!$B$55:$L$85,3,FALSE),"")</f>
        <v>特定疾病一時給付保険（無解約払戻金型）（２０）</v>
      </c>
      <c r="H29" s="8" t="s">
        <v>18</v>
      </c>
      <c r="I29" s="8" t="s">
        <v>100</v>
      </c>
      <c r="J29" s="8" t="s">
        <v>171</v>
      </c>
      <c r="K29" s="26">
        <v>1</v>
      </c>
      <c r="L29" s="19">
        <v>1</v>
      </c>
      <c r="M29" s="19" t="str">
        <f>IFERROR(VLOOKUP($D29&amp;$C29,設定値!$B$55:$N$85,4,FALSE)&amp;"","")</f>
        <v>benefit</v>
      </c>
      <c r="N29" s="19">
        <v>300000</v>
      </c>
      <c r="O29" s="19" t="str">
        <f>IFERROR(VLOOKUP($D29&amp;$C29,設定値!$B$55:$N$85,5,FALSE)&amp;"","")</f>
        <v>insurancePeriodClass</v>
      </c>
      <c r="P29" s="19" t="s">
        <v>240</v>
      </c>
      <c r="Q29" s="19" t="str">
        <f>IFERROR(VLOOKUP($D29&amp;$C29,設定値!$B$55:$N$85,6,FALSE)&amp;"","")</f>
        <v>insurancePeriod</v>
      </c>
      <c r="R29" s="19" t="s">
        <v>174</v>
      </c>
      <c r="S29" s="19" t="str">
        <f>IFERROR(VLOOKUP($D29&amp;$C29,設定値!$B$55:$N$85,7,FALSE)&amp;"","")</f>
        <v>paymentPeriodClass</v>
      </c>
      <c r="T29" s="19" t="s">
        <v>240</v>
      </c>
      <c r="U29" s="19" t="str">
        <f>IFERROR(VLOOKUP($D29&amp;$C29,設定値!$B$55:$N$85,8,FALSE)&amp;"","")</f>
        <v>paymentPeriod</v>
      </c>
      <c r="V29" s="19" t="s">
        <v>174</v>
      </c>
      <c r="W29" s="19" t="str">
        <f>IFERROR(VLOOKUP($D29&amp;$C29,設定値!$B$55:$N$85,9,FALSE)&amp;"","")</f>
        <v>diseaseCoverageType</v>
      </c>
      <c r="X29" s="19" t="s">
        <v>250</v>
      </c>
      <c r="Y29" s="19" t="str">
        <f>IFERROR(VLOOKUP($D29&amp;$C29,設定値!$B$55:$N$85,10,FALSE)&amp;"","")</f>
        <v>benefitFirstPayConvCls</v>
      </c>
      <c r="Z29" s="19" t="s">
        <v>18</v>
      </c>
      <c r="AA29" s="19" t="str">
        <f>IFERROR(VLOOKUP($D29&amp;$C29,設定値!$B$55:$N$85,11,FALSE)&amp;"","")</f>
        <v>freeOfPRiderFlg</v>
      </c>
      <c r="AB29" s="19" t="s">
        <v>18</v>
      </c>
      <c r="AC29" s="19" t="str">
        <f>IFERROR(VLOOKUP($D29&amp;$C29,設定値!$B$55:$N$85,12,FALSE)&amp;"","")</f>
        <v>freeOfPremiumRiderCls</v>
      </c>
      <c r="AD29" s="19" t="s">
        <v>249</v>
      </c>
      <c r="AE29" s="19" t="str">
        <f>IFERROR(VLOOKUP($D29&amp;$C29,設定値!$B$55:$N$85,13,FALSE)&amp;"","")</f>
        <v/>
      </c>
      <c r="AF29" s="19"/>
    </row>
    <row r="30" spans="1:32" ht="15">
      <c r="A30" s="27" t="s">
        <v>18</v>
      </c>
      <c r="B30" s="7" t="s">
        <v>214</v>
      </c>
      <c r="C30" s="27" t="s">
        <v>211</v>
      </c>
      <c r="D30" s="7" t="s">
        <v>178</v>
      </c>
      <c r="E30" s="7" t="str">
        <f t="shared" si="0"/>
        <v>D10</v>
      </c>
      <c r="F30" s="20" t="s">
        <v>44</v>
      </c>
      <c r="G30" s="19" t="str">
        <f>IFERROR(VLOOKUP(D30&amp;C30,設定値!$B$55:$L$85,3,FALSE),"")</f>
        <v>先進医療特約</v>
      </c>
      <c r="H30" s="8" t="s">
        <v>18</v>
      </c>
      <c r="I30" s="8" t="s">
        <v>100</v>
      </c>
      <c r="J30" s="8" t="s">
        <v>171</v>
      </c>
      <c r="K30" s="26"/>
      <c r="L30" s="19"/>
      <c r="M30" s="19" t="str">
        <f>IFERROR(VLOOKUP($D30&amp;$C30,設定値!$B$55:$N$85,4,FALSE)&amp;"","")</f>
        <v>additionType</v>
      </c>
      <c r="N30" s="19" t="s">
        <v>18</v>
      </c>
      <c r="O30" s="19" t="str">
        <f>IFERROR(VLOOKUP($D30&amp;$C30,設定値!$B$55:$N$85,5,FALSE)&amp;"","")</f>
        <v>insurancePeriodClass</v>
      </c>
      <c r="P30" s="19" t="s">
        <v>240</v>
      </c>
      <c r="Q30" s="19" t="str">
        <f>IFERROR(VLOOKUP($D30&amp;$C30,設定値!$B$55:$N$85,6,FALSE)&amp;"","")</f>
        <v>insurancePeriod</v>
      </c>
      <c r="R30" s="19" t="s">
        <v>174</v>
      </c>
      <c r="S30" s="19" t="str">
        <f>IFERROR(VLOOKUP($D30&amp;$C30,設定値!$B$55:$N$85,7,FALSE)&amp;"","")</f>
        <v>paymentPeriodClass</v>
      </c>
      <c r="T30" s="19" t="s">
        <v>240</v>
      </c>
      <c r="U30" s="19" t="str">
        <f>IFERROR(VLOOKUP($D30&amp;$C30,設定値!$B$55:$N$85,8,FALSE)&amp;"","")</f>
        <v>paymentPeriod</v>
      </c>
      <c r="V30" s="19" t="s">
        <v>174</v>
      </c>
      <c r="W30" s="19" t="str">
        <f>IFERROR(VLOOKUP($D30&amp;$C30,設定値!$B$55:$N$85,9,FALSE)&amp;"","")</f>
        <v/>
      </c>
      <c r="X30" s="19"/>
      <c r="Y30" s="19" t="str">
        <f>IFERROR(VLOOKUP($D30&amp;$C30,設定値!$B$55:$N$85,10,FALSE)&amp;"","")</f>
        <v/>
      </c>
      <c r="Z30" s="19"/>
      <c r="AA30" s="19" t="str">
        <f>IFERROR(VLOOKUP($D30&amp;$C30,設定値!$B$55:$N$85,11,FALSE)&amp;"","")</f>
        <v/>
      </c>
      <c r="AB30" s="19"/>
      <c r="AC30" s="19" t="str">
        <f>IFERROR(VLOOKUP($D30&amp;$C30,設定値!$B$55:$N$85,12,FALSE)&amp;"","")</f>
        <v/>
      </c>
      <c r="AD30" s="19"/>
      <c r="AE30" s="19" t="str">
        <f>IFERROR(VLOOKUP($D30&amp;$C30,設定値!$B$55:$N$85,13,FALSE)&amp;"","")</f>
        <v/>
      </c>
      <c r="AF30" s="19"/>
    </row>
    <row r="31" spans="1:32" ht="15">
      <c r="A31" s="27" t="s">
        <v>18</v>
      </c>
      <c r="B31" s="7" t="s">
        <v>214</v>
      </c>
      <c r="C31" s="27" t="s">
        <v>211</v>
      </c>
      <c r="D31" s="7" t="s">
        <v>180</v>
      </c>
      <c r="E31" s="7" t="str">
        <f t="shared" si="0"/>
        <v>D10</v>
      </c>
      <c r="F31" s="20" t="s">
        <v>44</v>
      </c>
      <c r="G31" s="19" t="str">
        <f>IFERROR(VLOOKUP(D31&amp;C31,設定値!$B$55:$L$85,3,FALSE),"")</f>
        <v>抗がん剤・ホルモン剤治療特約</v>
      </c>
      <c r="H31" s="8" t="s">
        <v>18</v>
      </c>
      <c r="I31" s="8" t="s">
        <v>100</v>
      </c>
      <c r="J31" s="8" t="s">
        <v>171</v>
      </c>
      <c r="K31" s="26"/>
      <c r="L31" s="19"/>
      <c r="M31" s="19" t="str">
        <f>IFERROR(VLOOKUP($D31&amp;$C31,設定値!$B$55:$N$85,4,FALSE)&amp;"","")</f>
        <v>benefit</v>
      </c>
      <c r="N31" s="19">
        <v>10000</v>
      </c>
      <c r="O31" s="19" t="str">
        <f>IFERROR(VLOOKUP($D31&amp;$C31,設定値!$B$55:$N$85,5,FALSE)&amp;"","")</f>
        <v>insurancePeriodClass</v>
      </c>
      <c r="P31" s="19" t="s">
        <v>240</v>
      </c>
      <c r="Q31" s="19" t="str">
        <f>IFERROR(VLOOKUP($D31&amp;$C31,設定値!$B$55:$N$85,6,FALSE)&amp;"","")</f>
        <v>insurancePeriod</v>
      </c>
      <c r="R31" s="19" t="s">
        <v>174</v>
      </c>
      <c r="S31" s="19" t="str">
        <f>IFERROR(VLOOKUP($D31&amp;$C31,設定値!$B$55:$N$85,7,FALSE)&amp;"","")</f>
        <v>paymentPeriodClass</v>
      </c>
      <c r="T31" s="19" t="s">
        <v>240</v>
      </c>
      <c r="U31" s="19" t="str">
        <f>IFERROR(VLOOKUP($D31&amp;$C31,設定値!$B$55:$N$85,8,FALSE)&amp;"","")</f>
        <v>paymentPeriod</v>
      </c>
      <c r="V31" s="19" t="s">
        <v>174</v>
      </c>
      <c r="W31" s="19" t="str">
        <f>IFERROR(VLOOKUP($D31&amp;$C31,設定値!$B$55:$N$85,9,FALSE)&amp;"","")</f>
        <v/>
      </c>
      <c r="X31" s="19"/>
      <c r="Y31" s="19" t="str">
        <f>IFERROR(VLOOKUP($D31&amp;$C31,設定値!$B$55:$N$85,10,FALSE)&amp;"","")</f>
        <v/>
      </c>
      <c r="Z31" s="19"/>
      <c r="AA31" s="19" t="str">
        <f>IFERROR(VLOOKUP($D31&amp;$C31,設定値!$B$55:$N$85,11,FALSE)&amp;"","")</f>
        <v/>
      </c>
      <c r="AB31" s="19"/>
      <c r="AC31" s="19" t="str">
        <f>IFERROR(VLOOKUP($D31&amp;$C31,設定値!$B$55:$N$85,12,FALSE)&amp;"","")</f>
        <v/>
      </c>
      <c r="AD31" s="19"/>
      <c r="AE31" s="19" t="str">
        <f>IFERROR(VLOOKUP($D31&amp;$C31,設定値!$B$55:$N$85,13,FALSE)&amp;"","")</f>
        <v/>
      </c>
      <c r="AF31" s="19"/>
    </row>
    <row r="32" spans="1:32" ht="15">
      <c r="A32" s="27" t="s">
        <v>18</v>
      </c>
      <c r="B32" s="7" t="s">
        <v>214</v>
      </c>
      <c r="C32" s="27" t="s">
        <v>211</v>
      </c>
      <c r="D32" s="7" t="s">
        <v>182</v>
      </c>
      <c r="E32" s="7" t="str">
        <f t="shared" si="0"/>
        <v>D10</v>
      </c>
      <c r="F32" s="20" t="s">
        <v>44</v>
      </c>
      <c r="G32" s="19" t="str">
        <f>IFERROR(VLOOKUP(D32&amp;C32,設定値!$B$55:$L$85,3,FALSE),"")</f>
        <v>がん一時給付特約</v>
      </c>
      <c r="H32" s="8" t="s">
        <v>18</v>
      </c>
      <c r="I32" s="8" t="s">
        <v>100</v>
      </c>
      <c r="J32" s="8" t="s">
        <v>171</v>
      </c>
      <c r="K32" s="26"/>
      <c r="L32" s="19"/>
      <c r="M32" s="19" t="str">
        <f>IFERROR(VLOOKUP($D32&amp;$C32,設定値!$B$55:$N$85,4,FALSE)&amp;"","")</f>
        <v>benefit</v>
      </c>
      <c r="N32" s="19">
        <v>100000</v>
      </c>
      <c r="O32" s="19" t="str">
        <f>IFERROR(VLOOKUP($D32&amp;$C32,設定値!$B$55:$N$85,5,FALSE)&amp;"","")</f>
        <v>insurancePeriodClass</v>
      </c>
      <c r="P32" s="19" t="s">
        <v>240</v>
      </c>
      <c r="Q32" s="19" t="str">
        <f>IFERROR(VLOOKUP($D32&amp;$C32,設定値!$B$55:$N$85,6,FALSE)&amp;"","")</f>
        <v>insurancePeriod</v>
      </c>
      <c r="R32" s="19" t="s">
        <v>174</v>
      </c>
      <c r="S32" s="19" t="str">
        <f>IFERROR(VLOOKUP($D32&amp;$C32,設定値!$B$55:$N$85,7,FALSE)&amp;"","")</f>
        <v>paymentPeriodClass</v>
      </c>
      <c r="T32" s="19" t="s">
        <v>240</v>
      </c>
      <c r="U32" s="19" t="str">
        <f>IFERROR(VLOOKUP($D32&amp;$C32,設定値!$B$55:$N$85,8,FALSE)&amp;"","")</f>
        <v>paymentPeriod</v>
      </c>
      <c r="V32" s="19" t="s">
        <v>174</v>
      </c>
      <c r="W32" s="19" t="str">
        <f>IFERROR(VLOOKUP($D32&amp;$C32,設定値!$B$55:$N$85,9,FALSE)&amp;"","")</f>
        <v/>
      </c>
      <c r="X32" s="19"/>
      <c r="Y32" s="19" t="str">
        <f>IFERROR(VLOOKUP($D32&amp;$C32,設定値!$B$55:$N$85,10,FALSE)&amp;"","")</f>
        <v/>
      </c>
      <c r="Z32" s="19"/>
      <c r="AA32" s="19" t="str">
        <f>IFERROR(VLOOKUP($D32&amp;$C32,設定値!$B$55:$N$85,11,FALSE)&amp;"","")</f>
        <v/>
      </c>
      <c r="AB32" s="19"/>
      <c r="AC32" s="19" t="str">
        <f>IFERROR(VLOOKUP($D32&amp;$C32,設定値!$B$55:$N$85,12,FALSE)&amp;"","")</f>
        <v/>
      </c>
      <c r="AD32" s="19"/>
      <c r="AE32" s="19" t="str">
        <f>IFERROR(VLOOKUP($D32&amp;$C32,設定値!$B$55:$N$85,13,FALSE)&amp;"","")</f>
        <v/>
      </c>
      <c r="AF32" s="19"/>
    </row>
    <row r="33" spans="1:32" ht="15">
      <c r="A33" s="27" t="s">
        <v>18</v>
      </c>
      <c r="B33" s="7" t="s">
        <v>214</v>
      </c>
      <c r="C33" s="27" t="s">
        <v>211</v>
      </c>
      <c r="D33" s="7" t="s">
        <v>215</v>
      </c>
      <c r="E33" s="7" t="str">
        <f t="shared" si="0"/>
        <v>D10</v>
      </c>
      <c r="F33" s="20" t="s">
        <v>44</v>
      </c>
      <c r="G33" s="19" t="str">
        <f>IFERROR(VLOOKUP(D33&amp;C33,設定値!$B$55:$L$85,3,FALSE),"")</f>
        <v>特定疾病保険料払込免除特約</v>
      </c>
      <c r="H33" s="8" t="s">
        <v>18</v>
      </c>
      <c r="I33" s="8" t="s">
        <v>100</v>
      </c>
      <c r="J33" s="8" t="s">
        <v>171</v>
      </c>
      <c r="K33" s="26"/>
      <c r="L33" s="19"/>
      <c r="M33" s="19" t="str">
        <f>IFERROR(VLOOKUP($D33&amp;$C33,設定値!$B$55:$N$85,4,FALSE)&amp;"","")</f>
        <v>additionType</v>
      </c>
      <c r="N33" s="19" t="s">
        <v>18</v>
      </c>
      <c r="O33" s="19" t="str">
        <f>IFERROR(VLOOKUP($D33&amp;$C33,設定値!$B$55:$N$85,5,FALSE)&amp;"","")</f>
        <v>insurancePeriodClass</v>
      </c>
      <c r="P33" s="19" t="s">
        <v>240</v>
      </c>
      <c r="Q33" s="19" t="str">
        <f>IFERROR(VLOOKUP($D33&amp;$C33,設定値!$B$55:$N$85,6,FALSE)&amp;"","")</f>
        <v>insurancePeriod</v>
      </c>
      <c r="R33" s="19" t="s">
        <v>174</v>
      </c>
      <c r="S33" s="19" t="str">
        <f>IFERROR(VLOOKUP($D33&amp;$C33,設定値!$B$55:$N$85,7,FALSE)&amp;"","")</f>
        <v>paymentPeriodClass</v>
      </c>
      <c r="T33" s="19" t="s">
        <v>240</v>
      </c>
      <c r="U33" s="19" t="str">
        <f>IFERROR(VLOOKUP($D33&amp;$C33,設定値!$B$55:$N$85,8,FALSE)&amp;"","")</f>
        <v>paymentPeriod</v>
      </c>
      <c r="V33" s="19" t="s">
        <v>174</v>
      </c>
      <c r="W33" s="19" t="str">
        <f>IFERROR(VLOOKUP($D33&amp;$C33,設定値!$B$55:$N$85,9,FALSE)&amp;"","")</f>
        <v>freeOfPremiumRiderCls</v>
      </c>
      <c r="X33" s="19" t="s">
        <v>249</v>
      </c>
      <c r="Y33" s="19" t="str">
        <f>IFERROR(VLOOKUP($D33&amp;$C33,設定値!$B$55:$N$85,10,FALSE)&amp;"","")</f>
        <v/>
      </c>
      <c r="Z33" s="19"/>
      <c r="AA33" s="19" t="str">
        <f>IFERROR(VLOOKUP($D33&amp;$C33,設定値!$B$55:$N$85,11,FALSE)&amp;"","")</f>
        <v/>
      </c>
      <c r="AB33" s="19"/>
      <c r="AC33" s="19" t="str">
        <f>IFERROR(VLOOKUP($D33&amp;$C33,設定値!$B$55:$N$85,12,FALSE)&amp;"","")</f>
        <v/>
      </c>
      <c r="AD33" s="19"/>
      <c r="AE33" s="19" t="str">
        <f>IFERROR(VLOOKUP($D33&amp;$C33,設定値!$B$55:$N$85,13,FALSE)&amp;"","")</f>
        <v/>
      </c>
      <c r="AF33" s="19"/>
    </row>
    <row r="34" spans="1:32" ht="15">
      <c r="A34" s="27" t="s">
        <v>118</v>
      </c>
      <c r="B34" s="7" t="s">
        <v>214</v>
      </c>
      <c r="C34" s="27" t="s">
        <v>18</v>
      </c>
      <c r="D34" s="7" t="s">
        <v>215</v>
      </c>
      <c r="E34" s="7" t="str">
        <f t="shared" si="0"/>
        <v>310</v>
      </c>
      <c r="F34" s="20" t="s">
        <v>44</v>
      </c>
      <c r="G34" s="19" t="str">
        <f>IFERROR(VLOOKUP(D34&amp;C34,設定値!$B$55:$L$85,3,FALSE),"")</f>
        <v>特定疾病一時給付保険（無解約払戻金型）（２０）</v>
      </c>
      <c r="H34" s="8" t="s">
        <v>18</v>
      </c>
      <c r="I34" s="8" t="s">
        <v>100</v>
      </c>
      <c r="J34" s="8" t="s">
        <v>171</v>
      </c>
      <c r="K34" s="26"/>
      <c r="L34" s="19">
        <v>0</v>
      </c>
      <c r="M34" s="19" t="str">
        <f>IFERROR(VLOOKUP($D34&amp;$C34,設定値!$B$55:$N$85,4,FALSE)&amp;"","")</f>
        <v>benefit</v>
      </c>
      <c r="N34" s="19">
        <v>300000</v>
      </c>
      <c r="O34" s="19" t="str">
        <f>IFERROR(VLOOKUP($D34&amp;$C34,設定値!$B$55:$N$85,5,FALSE)&amp;"","")</f>
        <v>insurancePeriodClass</v>
      </c>
      <c r="P34" s="19" t="s">
        <v>240</v>
      </c>
      <c r="Q34" s="19" t="str">
        <f>IFERROR(VLOOKUP($D34&amp;$C34,設定値!$B$55:$N$85,6,FALSE)&amp;"","")</f>
        <v>insurancePeriod</v>
      </c>
      <c r="R34" s="19" t="s">
        <v>174</v>
      </c>
      <c r="S34" s="19" t="str">
        <f>IFERROR(VLOOKUP($D34&amp;$C34,設定値!$B$55:$N$85,7,FALSE)&amp;"","")</f>
        <v>paymentPeriodClass</v>
      </c>
      <c r="T34" s="19" t="s">
        <v>240</v>
      </c>
      <c r="U34" s="19" t="str">
        <f>IFERROR(VLOOKUP($D34&amp;$C34,設定値!$B$55:$N$85,8,FALSE)&amp;"","")</f>
        <v>paymentPeriod</v>
      </c>
      <c r="V34" s="19" t="s">
        <v>174</v>
      </c>
      <c r="W34" s="19" t="str">
        <f>IFERROR(VLOOKUP($D34&amp;$C34,設定値!$B$55:$N$85,9,FALSE)&amp;"","")</f>
        <v>diseaseCoverageType</v>
      </c>
      <c r="X34" s="19" t="s">
        <v>250</v>
      </c>
      <c r="Y34" s="19" t="str">
        <f>IFERROR(VLOOKUP($D34&amp;$C34,設定値!$B$55:$N$85,10,FALSE)&amp;"","")</f>
        <v>benefitFirstPayConvCls</v>
      </c>
      <c r="Z34" s="19" t="s">
        <v>18</v>
      </c>
      <c r="AA34" s="19" t="str">
        <f>IFERROR(VLOOKUP($D34&amp;$C34,設定値!$B$55:$N$85,11,FALSE)&amp;"","")</f>
        <v>freeOfPRiderFlg</v>
      </c>
      <c r="AB34" s="19" t="s">
        <v>18</v>
      </c>
      <c r="AC34" s="19" t="str">
        <f>IFERROR(VLOOKUP($D34&amp;$C34,設定値!$B$55:$N$85,12,FALSE)&amp;"","")</f>
        <v>freeOfPremiumRiderCls</v>
      </c>
      <c r="AD34" s="19" t="s">
        <v>249</v>
      </c>
      <c r="AE34" s="19" t="str">
        <f>IFERROR(VLOOKUP($D34&amp;$C34,設定値!$B$55:$N$85,13,FALSE)&amp;"","")</f>
        <v/>
      </c>
      <c r="AF34" s="19"/>
    </row>
    <row r="35" spans="1:32" ht="15">
      <c r="A35" s="27" t="s">
        <v>118</v>
      </c>
      <c r="B35" s="7" t="s">
        <v>214</v>
      </c>
      <c r="C35" s="27" t="s">
        <v>211</v>
      </c>
      <c r="D35" s="7" t="s">
        <v>178</v>
      </c>
      <c r="E35" s="7" t="str">
        <f t="shared" si="0"/>
        <v>D10</v>
      </c>
      <c r="F35" s="20" t="s">
        <v>44</v>
      </c>
      <c r="G35" s="19" t="str">
        <f>IFERROR(VLOOKUP(D35&amp;C35,設定値!$B$55:$L$85,3,FALSE),"")</f>
        <v>先進医療特約</v>
      </c>
      <c r="H35" s="8" t="s">
        <v>18</v>
      </c>
      <c r="I35" s="8" t="s">
        <v>100</v>
      </c>
      <c r="J35" s="8" t="s">
        <v>171</v>
      </c>
      <c r="K35" s="26"/>
      <c r="L35" s="19"/>
      <c r="M35" s="19" t="str">
        <f>IFERROR(VLOOKUP($D35&amp;$C35,設定値!$B$55:$N$85,4,FALSE)&amp;"","")</f>
        <v>additionType</v>
      </c>
      <c r="N35" s="19" t="s">
        <v>18</v>
      </c>
      <c r="O35" s="19" t="str">
        <f>IFERROR(VLOOKUP($D35&amp;$C35,設定値!$B$55:$N$85,5,FALSE)&amp;"","")</f>
        <v>insurancePeriodClass</v>
      </c>
      <c r="P35" s="19" t="s">
        <v>240</v>
      </c>
      <c r="Q35" s="19" t="str">
        <f>IFERROR(VLOOKUP($D35&amp;$C35,設定値!$B$55:$N$85,6,FALSE)&amp;"","")</f>
        <v>insurancePeriod</v>
      </c>
      <c r="R35" s="19" t="s">
        <v>174</v>
      </c>
      <c r="S35" s="19" t="str">
        <f>IFERROR(VLOOKUP($D35&amp;$C35,設定値!$B$55:$N$85,7,FALSE)&amp;"","")</f>
        <v>paymentPeriodClass</v>
      </c>
      <c r="T35" s="19" t="s">
        <v>240</v>
      </c>
      <c r="U35" s="19" t="str">
        <f>IFERROR(VLOOKUP($D35&amp;$C35,設定値!$B$55:$N$85,8,FALSE)&amp;"","")</f>
        <v>paymentPeriod</v>
      </c>
      <c r="V35" s="19" t="s">
        <v>174</v>
      </c>
      <c r="W35" s="19" t="str">
        <f>IFERROR(VLOOKUP($D35&amp;$C35,設定値!$B$55:$N$85,9,FALSE)&amp;"","")</f>
        <v/>
      </c>
      <c r="X35" s="19"/>
      <c r="Y35" s="19" t="str">
        <f>IFERROR(VLOOKUP($D35&amp;$C35,設定値!$B$55:$N$85,10,FALSE)&amp;"","")</f>
        <v/>
      </c>
      <c r="Z35" s="19"/>
      <c r="AA35" s="19" t="str">
        <f>IFERROR(VLOOKUP($D35&amp;$C35,設定値!$B$55:$N$85,11,FALSE)&amp;"","")</f>
        <v/>
      </c>
      <c r="AB35" s="19"/>
      <c r="AC35" s="19" t="str">
        <f>IFERROR(VLOOKUP($D35&amp;$C35,設定値!$B$55:$N$85,12,FALSE)&amp;"","")</f>
        <v/>
      </c>
      <c r="AD35" s="19"/>
      <c r="AE35" s="19" t="str">
        <f>IFERROR(VLOOKUP($D35&amp;$C35,設定値!$B$55:$N$85,13,FALSE)&amp;"","")</f>
        <v/>
      </c>
      <c r="AF35" s="19"/>
    </row>
    <row r="36" spans="1:32" ht="15">
      <c r="A36" s="27" t="s">
        <v>118</v>
      </c>
      <c r="B36" s="7" t="s">
        <v>214</v>
      </c>
      <c r="C36" s="27" t="s">
        <v>211</v>
      </c>
      <c r="D36" s="7" t="s">
        <v>180</v>
      </c>
      <c r="E36" s="7" t="str">
        <f t="shared" si="0"/>
        <v>D10</v>
      </c>
      <c r="F36" s="20" t="s">
        <v>44</v>
      </c>
      <c r="G36" s="19" t="str">
        <f>IFERROR(VLOOKUP(D36&amp;C36,設定値!$B$55:$L$85,3,FALSE),"")</f>
        <v>抗がん剤・ホルモン剤治療特約</v>
      </c>
      <c r="H36" s="8" t="s">
        <v>18</v>
      </c>
      <c r="I36" s="8" t="s">
        <v>100</v>
      </c>
      <c r="J36" s="8" t="s">
        <v>171</v>
      </c>
      <c r="K36" s="26"/>
      <c r="L36" s="19"/>
      <c r="M36" s="19" t="str">
        <f>IFERROR(VLOOKUP($D36&amp;$C36,設定値!$B$55:$N$85,4,FALSE)&amp;"","")</f>
        <v>benefit</v>
      </c>
      <c r="N36" s="19">
        <v>10000</v>
      </c>
      <c r="O36" s="19" t="str">
        <f>IFERROR(VLOOKUP($D36&amp;$C36,設定値!$B$55:$N$85,5,FALSE)&amp;"","")</f>
        <v>insurancePeriodClass</v>
      </c>
      <c r="P36" s="19" t="s">
        <v>240</v>
      </c>
      <c r="Q36" s="19" t="str">
        <f>IFERROR(VLOOKUP($D36&amp;$C36,設定値!$B$55:$N$85,6,FALSE)&amp;"","")</f>
        <v>insurancePeriod</v>
      </c>
      <c r="R36" s="19" t="s">
        <v>174</v>
      </c>
      <c r="S36" s="19" t="str">
        <f>IFERROR(VLOOKUP($D36&amp;$C36,設定値!$B$55:$N$85,7,FALSE)&amp;"","")</f>
        <v>paymentPeriodClass</v>
      </c>
      <c r="T36" s="19" t="s">
        <v>240</v>
      </c>
      <c r="U36" s="19" t="str">
        <f>IFERROR(VLOOKUP($D36&amp;$C36,設定値!$B$55:$N$85,8,FALSE)&amp;"","")</f>
        <v>paymentPeriod</v>
      </c>
      <c r="V36" s="19" t="s">
        <v>174</v>
      </c>
      <c r="W36" s="19" t="str">
        <f>IFERROR(VLOOKUP($D36&amp;$C36,設定値!$B$55:$N$85,9,FALSE)&amp;"","")</f>
        <v/>
      </c>
      <c r="X36" s="19"/>
      <c r="Y36" s="19" t="str">
        <f>IFERROR(VLOOKUP($D36&amp;$C36,設定値!$B$55:$N$85,10,FALSE)&amp;"","")</f>
        <v/>
      </c>
      <c r="Z36" s="19"/>
      <c r="AA36" s="19" t="str">
        <f>IFERROR(VLOOKUP($D36&amp;$C36,設定値!$B$55:$N$85,11,FALSE)&amp;"","")</f>
        <v/>
      </c>
      <c r="AB36" s="19"/>
      <c r="AC36" s="19" t="str">
        <f>IFERROR(VLOOKUP($D36&amp;$C36,設定値!$B$55:$N$85,12,FALSE)&amp;"","")</f>
        <v/>
      </c>
      <c r="AD36" s="19"/>
      <c r="AE36" s="19" t="str">
        <f>IFERROR(VLOOKUP($D36&amp;$C36,設定値!$B$55:$N$85,13,FALSE)&amp;"","")</f>
        <v/>
      </c>
      <c r="AF36" s="19"/>
    </row>
    <row r="37" spans="1:32" ht="15">
      <c r="A37" s="27" t="s">
        <v>118</v>
      </c>
      <c r="B37" s="7" t="s">
        <v>214</v>
      </c>
      <c r="C37" s="27" t="s">
        <v>211</v>
      </c>
      <c r="D37" s="7" t="s">
        <v>182</v>
      </c>
      <c r="E37" s="7" t="str">
        <f t="shared" si="0"/>
        <v>D10</v>
      </c>
      <c r="F37" s="20" t="s">
        <v>44</v>
      </c>
      <c r="G37" s="19" t="str">
        <f>IFERROR(VLOOKUP(D37&amp;C37,設定値!$B$55:$L$85,3,FALSE),"")</f>
        <v>がん一時給付特約</v>
      </c>
      <c r="H37" s="8" t="s">
        <v>18</v>
      </c>
      <c r="I37" s="8" t="s">
        <v>100</v>
      </c>
      <c r="J37" s="8" t="s">
        <v>171</v>
      </c>
      <c r="K37" s="26"/>
      <c r="L37" s="19"/>
      <c r="M37" s="19" t="str">
        <f>IFERROR(VLOOKUP($D37&amp;$C37,設定値!$B$55:$N$85,4,FALSE)&amp;"","")</f>
        <v>benefit</v>
      </c>
      <c r="N37" s="19">
        <v>100000</v>
      </c>
      <c r="O37" s="19" t="str">
        <f>IFERROR(VLOOKUP($D37&amp;$C37,設定値!$B$55:$N$85,5,FALSE)&amp;"","")</f>
        <v>insurancePeriodClass</v>
      </c>
      <c r="P37" s="19" t="s">
        <v>240</v>
      </c>
      <c r="Q37" s="19" t="str">
        <f>IFERROR(VLOOKUP($D37&amp;$C37,設定値!$B$55:$N$85,6,FALSE)&amp;"","")</f>
        <v>insurancePeriod</v>
      </c>
      <c r="R37" s="19" t="s">
        <v>174</v>
      </c>
      <c r="S37" s="19" t="str">
        <f>IFERROR(VLOOKUP($D37&amp;$C37,設定値!$B$55:$N$85,7,FALSE)&amp;"","")</f>
        <v>paymentPeriodClass</v>
      </c>
      <c r="T37" s="19" t="s">
        <v>240</v>
      </c>
      <c r="U37" s="19" t="str">
        <f>IFERROR(VLOOKUP($D37&amp;$C37,設定値!$B$55:$N$85,8,FALSE)&amp;"","")</f>
        <v>paymentPeriod</v>
      </c>
      <c r="V37" s="19" t="s">
        <v>174</v>
      </c>
      <c r="W37" s="19" t="str">
        <f>IFERROR(VLOOKUP($D37&amp;$C37,設定値!$B$55:$N$85,9,FALSE)&amp;"","")</f>
        <v/>
      </c>
      <c r="X37" s="19"/>
      <c r="Y37" s="19" t="str">
        <f>IFERROR(VLOOKUP($D37&amp;$C37,設定値!$B$55:$N$85,10,FALSE)&amp;"","")</f>
        <v/>
      </c>
      <c r="Z37" s="19"/>
      <c r="AA37" s="19" t="str">
        <f>IFERROR(VLOOKUP($D37&amp;$C37,設定値!$B$55:$N$85,11,FALSE)&amp;"","")</f>
        <v/>
      </c>
      <c r="AB37" s="19"/>
      <c r="AC37" s="19" t="str">
        <f>IFERROR(VLOOKUP($D37&amp;$C37,設定値!$B$55:$N$85,12,FALSE)&amp;"","")</f>
        <v/>
      </c>
      <c r="AD37" s="19"/>
      <c r="AE37" s="19" t="str">
        <f>IFERROR(VLOOKUP($D37&amp;$C37,設定値!$B$55:$N$85,13,FALSE)&amp;"","")</f>
        <v/>
      </c>
      <c r="AF37" s="19"/>
    </row>
    <row r="38" spans="1:32" ht="15">
      <c r="A38" s="27" t="s">
        <v>118</v>
      </c>
      <c r="B38" s="7" t="s">
        <v>214</v>
      </c>
      <c r="C38" s="27" t="s">
        <v>211</v>
      </c>
      <c r="D38" s="7" t="s">
        <v>215</v>
      </c>
      <c r="E38" s="7" t="str">
        <f t="shared" si="0"/>
        <v>D10</v>
      </c>
      <c r="F38" s="20" t="s">
        <v>44</v>
      </c>
      <c r="G38" s="19" t="str">
        <f>IFERROR(VLOOKUP(D38&amp;C38,設定値!$B$55:$L$85,3,FALSE),"")</f>
        <v>特定疾病保険料払込免除特約</v>
      </c>
      <c r="H38" s="8" t="s">
        <v>18</v>
      </c>
      <c r="I38" s="8" t="s">
        <v>100</v>
      </c>
      <c r="J38" s="8" t="s">
        <v>171</v>
      </c>
      <c r="K38" s="26"/>
      <c r="L38" s="19"/>
      <c r="M38" s="19" t="str">
        <f>IFERROR(VLOOKUP($D38&amp;$C38,設定値!$B$55:$N$85,4,FALSE)&amp;"","")</f>
        <v>additionType</v>
      </c>
      <c r="N38" s="19" t="s">
        <v>18</v>
      </c>
      <c r="O38" s="19" t="str">
        <f>IFERROR(VLOOKUP($D38&amp;$C38,設定値!$B$55:$N$85,5,FALSE)&amp;"","")</f>
        <v>insurancePeriodClass</v>
      </c>
      <c r="P38" s="19" t="s">
        <v>240</v>
      </c>
      <c r="Q38" s="19" t="str">
        <f>IFERROR(VLOOKUP($D38&amp;$C38,設定値!$B$55:$N$85,6,FALSE)&amp;"","")</f>
        <v>insurancePeriod</v>
      </c>
      <c r="R38" s="19" t="s">
        <v>174</v>
      </c>
      <c r="S38" s="19" t="str">
        <f>IFERROR(VLOOKUP($D38&amp;$C38,設定値!$B$55:$N$85,7,FALSE)&amp;"","")</f>
        <v>paymentPeriodClass</v>
      </c>
      <c r="T38" s="19" t="s">
        <v>240</v>
      </c>
      <c r="U38" s="19" t="str">
        <f>IFERROR(VLOOKUP($D38&amp;$C38,設定値!$B$55:$N$85,8,FALSE)&amp;"","")</f>
        <v>paymentPeriod</v>
      </c>
      <c r="V38" s="19" t="s">
        <v>174</v>
      </c>
      <c r="W38" s="19" t="str">
        <f>IFERROR(VLOOKUP($D38&amp;$C38,設定値!$B$55:$N$85,9,FALSE)&amp;"","")</f>
        <v>freeOfPremiumRiderCls</v>
      </c>
      <c r="X38" s="19" t="s">
        <v>249</v>
      </c>
      <c r="Y38" s="19" t="str">
        <f>IFERROR(VLOOKUP($D38&amp;$C38,設定値!$B$55:$N$85,10,FALSE)&amp;"","")</f>
        <v/>
      </c>
      <c r="Z38" s="19"/>
      <c r="AA38" s="19" t="str">
        <f>IFERROR(VLOOKUP($D38&amp;$C38,設定値!$B$55:$N$85,11,FALSE)&amp;"","")</f>
        <v/>
      </c>
      <c r="AB38" s="19"/>
      <c r="AC38" s="19" t="str">
        <f>IFERROR(VLOOKUP($D38&amp;$C38,設定値!$B$55:$N$85,12,FALSE)&amp;"","")</f>
        <v/>
      </c>
      <c r="AD38" s="19"/>
      <c r="AE38" s="19" t="str">
        <f>IFERROR(VLOOKUP($D38&amp;$C38,設定値!$B$55:$N$85,13,FALSE)&amp;"","")</f>
        <v/>
      </c>
      <c r="AF38" s="19"/>
    </row>
    <row r="39" spans="1:32" ht="15">
      <c r="A39" s="27" t="s">
        <v>213</v>
      </c>
      <c r="B39" s="7" t="s">
        <v>214</v>
      </c>
      <c r="C39" s="27" t="s">
        <v>18</v>
      </c>
      <c r="D39" s="7" t="s">
        <v>215</v>
      </c>
      <c r="E39" s="7" t="str">
        <f t="shared" si="0"/>
        <v>310</v>
      </c>
      <c r="F39" s="20" t="s">
        <v>44</v>
      </c>
      <c r="G39" s="19" t="str">
        <f>IFERROR(VLOOKUP(D39&amp;C39,設定値!$B$55:$L$85,3,FALSE),"")</f>
        <v>特定疾病一時給付保険（無解約払戻金型）（２０）</v>
      </c>
      <c r="H39" s="8" t="s">
        <v>18</v>
      </c>
      <c r="I39" s="8" t="s">
        <v>100</v>
      </c>
      <c r="J39" s="8" t="s">
        <v>171</v>
      </c>
      <c r="K39" s="26"/>
      <c r="L39" s="19">
        <v>0</v>
      </c>
      <c r="M39" s="19" t="str">
        <f>IFERROR(VLOOKUP($D39&amp;$C39,設定値!$B$55:$N$85,4,FALSE)&amp;"","")</f>
        <v>benefit</v>
      </c>
      <c r="N39" s="19">
        <v>300000</v>
      </c>
      <c r="O39" s="19" t="str">
        <f>IFERROR(VLOOKUP($D39&amp;$C39,設定値!$B$55:$N$85,5,FALSE)&amp;"","")</f>
        <v>insurancePeriodClass</v>
      </c>
      <c r="P39" s="19" t="s">
        <v>240</v>
      </c>
      <c r="Q39" s="19" t="str">
        <f>IFERROR(VLOOKUP($D39&amp;$C39,設定値!$B$55:$N$85,6,FALSE)&amp;"","")</f>
        <v>insurancePeriod</v>
      </c>
      <c r="R39" s="19" t="s">
        <v>174</v>
      </c>
      <c r="S39" s="19" t="str">
        <f>IFERROR(VLOOKUP($D39&amp;$C39,設定値!$B$55:$N$85,7,FALSE)&amp;"","")</f>
        <v>paymentPeriodClass</v>
      </c>
      <c r="T39" s="19" t="s">
        <v>240</v>
      </c>
      <c r="U39" s="19" t="str">
        <f>IFERROR(VLOOKUP($D39&amp;$C39,設定値!$B$55:$N$85,8,FALSE)&amp;"","")</f>
        <v>paymentPeriod</v>
      </c>
      <c r="V39" s="19" t="s">
        <v>174</v>
      </c>
      <c r="W39" s="19" t="str">
        <f>IFERROR(VLOOKUP($D39&amp;$C39,設定値!$B$55:$N$85,9,FALSE)&amp;"","")</f>
        <v>diseaseCoverageType</v>
      </c>
      <c r="X39" s="19" t="s">
        <v>250</v>
      </c>
      <c r="Y39" s="19" t="str">
        <f>IFERROR(VLOOKUP($D39&amp;$C39,設定値!$B$55:$N$85,10,FALSE)&amp;"","")</f>
        <v>benefitFirstPayConvCls</v>
      </c>
      <c r="Z39" s="19" t="s">
        <v>18</v>
      </c>
      <c r="AA39" s="19" t="str">
        <f>IFERROR(VLOOKUP($D39&amp;$C39,設定値!$B$55:$N$85,11,FALSE)&amp;"","")</f>
        <v>freeOfPRiderFlg</v>
      </c>
      <c r="AB39" s="19" t="s">
        <v>18</v>
      </c>
      <c r="AC39" s="19" t="str">
        <f>IFERROR(VLOOKUP($D39&amp;$C39,設定値!$B$55:$N$85,12,FALSE)&amp;"","")</f>
        <v>freeOfPremiumRiderCls</v>
      </c>
      <c r="AD39" s="19" t="s">
        <v>249</v>
      </c>
      <c r="AE39" s="19" t="str">
        <f>IFERROR(VLOOKUP($D39&amp;$C39,設定値!$B$55:$N$85,13,FALSE)&amp;"","")</f>
        <v/>
      </c>
      <c r="AF39" s="19"/>
    </row>
    <row r="40" spans="1:32" ht="15">
      <c r="A40" s="27" t="s">
        <v>213</v>
      </c>
      <c r="B40" s="7" t="s">
        <v>214</v>
      </c>
      <c r="C40" s="27" t="s">
        <v>211</v>
      </c>
      <c r="D40" s="7" t="s">
        <v>178</v>
      </c>
      <c r="E40" s="7" t="str">
        <f t="shared" si="0"/>
        <v>D10</v>
      </c>
      <c r="F40" s="20" t="s">
        <v>44</v>
      </c>
      <c r="G40" s="19" t="str">
        <f>IFERROR(VLOOKUP(D40&amp;C40,設定値!$B$55:$L$85,3,FALSE),"")</f>
        <v>先進医療特約</v>
      </c>
      <c r="H40" s="8" t="s">
        <v>18</v>
      </c>
      <c r="I40" s="8" t="s">
        <v>100</v>
      </c>
      <c r="J40" s="8" t="s">
        <v>171</v>
      </c>
      <c r="K40" s="26"/>
      <c r="L40" s="19"/>
      <c r="M40" s="19" t="str">
        <f>IFERROR(VLOOKUP($D40&amp;$C40,設定値!$B$55:$N$85,4,FALSE)&amp;"","")</f>
        <v>additionType</v>
      </c>
      <c r="N40" s="19" t="s">
        <v>18</v>
      </c>
      <c r="O40" s="19" t="str">
        <f>IFERROR(VLOOKUP($D40&amp;$C40,設定値!$B$55:$N$85,5,FALSE)&amp;"","")</f>
        <v>insurancePeriodClass</v>
      </c>
      <c r="P40" s="19" t="s">
        <v>240</v>
      </c>
      <c r="Q40" s="19" t="str">
        <f>IFERROR(VLOOKUP($D40&amp;$C40,設定値!$B$55:$N$85,6,FALSE)&amp;"","")</f>
        <v>insurancePeriod</v>
      </c>
      <c r="R40" s="19" t="s">
        <v>174</v>
      </c>
      <c r="S40" s="19" t="str">
        <f>IFERROR(VLOOKUP($D40&amp;$C40,設定値!$B$55:$N$85,7,FALSE)&amp;"","")</f>
        <v>paymentPeriodClass</v>
      </c>
      <c r="T40" s="19" t="s">
        <v>240</v>
      </c>
      <c r="U40" s="19" t="str">
        <f>IFERROR(VLOOKUP($D40&amp;$C40,設定値!$B$55:$N$85,8,FALSE)&amp;"","")</f>
        <v>paymentPeriod</v>
      </c>
      <c r="V40" s="19" t="s">
        <v>174</v>
      </c>
      <c r="W40" s="19" t="str">
        <f>IFERROR(VLOOKUP($D40&amp;$C40,設定値!$B$55:$N$85,9,FALSE)&amp;"","")</f>
        <v/>
      </c>
      <c r="X40" s="19"/>
      <c r="Y40" s="19" t="str">
        <f>IFERROR(VLOOKUP($D40&amp;$C40,設定値!$B$55:$N$85,10,FALSE)&amp;"","")</f>
        <v/>
      </c>
      <c r="Z40" s="19"/>
      <c r="AA40" s="19" t="str">
        <f>IFERROR(VLOOKUP($D40&amp;$C40,設定値!$B$55:$N$85,11,FALSE)&amp;"","")</f>
        <v/>
      </c>
      <c r="AB40" s="19"/>
      <c r="AC40" s="19" t="str">
        <f>IFERROR(VLOOKUP($D40&amp;$C40,設定値!$B$55:$N$85,12,FALSE)&amp;"","")</f>
        <v/>
      </c>
      <c r="AD40" s="19"/>
      <c r="AE40" s="19" t="str">
        <f>IFERROR(VLOOKUP($D40&amp;$C40,設定値!$B$55:$N$85,13,FALSE)&amp;"","")</f>
        <v/>
      </c>
      <c r="AF40" s="19"/>
    </row>
    <row r="41" spans="1:32" ht="15">
      <c r="A41" s="27" t="s">
        <v>213</v>
      </c>
      <c r="B41" s="7" t="s">
        <v>214</v>
      </c>
      <c r="C41" s="27" t="s">
        <v>211</v>
      </c>
      <c r="D41" s="7" t="s">
        <v>180</v>
      </c>
      <c r="E41" s="7" t="str">
        <f t="shared" si="0"/>
        <v>D10</v>
      </c>
      <c r="F41" s="20" t="s">
        <v>44</v>
      </c>
      <c r="G41" s="19" t="str">
        <f>IFERROR(VLOOKUP(D41&amp;C41,設定値!$B$55:$L$85,3,FALSE),"")</f>
        <v>抗がん剤・ホルモン剤治療特約</v>
      </c>
      <c r="H41" s="8" t="s">
        <v>18</v>
      </c>
      <c r="I41" s="8" t="s">
        <v>100</v>
      </c>
      <c r="J41" s="8" t="s">
        <v>171</v>
      </c>
      <c r="K41" s="26"/>
      <c r="L41" s="19"/>
      <c r="M41" s="19" t="str">
        <f>IFERROR(VLOOKUP($D41&amp;$C41,設定値!$B$55:$N$85,4,FALSE)&amp;"","")</f>
        <v>benefit</v>
      </c>
      <c r="N41" s="19">
        <v>10000</v>
      </c>
      <c r="O41" s="19" t="str">
        <f>IFERROR(VLOOKUP($D41&amp;$C41,設定値!$B$55:$N$85,5,FALSE)&amp;"","")</f>
        <v>insurancePeriodClass</v>
      </c>
      <c r="P41" s="19" t="s">
        <v>240</v>
      </c>
      <c r="Q41" s="19" t="str">
        <f>IFERROR(VLOOKUP($D41&amp;$C41,設定値!$B$55:$N$85,6,FALSE)&amp;"","")</f>
        <v>insurancePeriod</v>
      </c>
      <c r="R41" s="19" t="s">
        <v>174</v>
      </c>
      <c r="S41" s="19" t="str">
        <f>IFERROR(VLOOKUP($D41&amp;$C41,設定値!$B$55:$N$85,7,FALSE)&amp;"","")</f>
        <v>paymentPeriodClass</v>
      </c>
      <c r="T41" s="19" t="s">
        <v>240</v>
      </c>
      <c r="U41" s="19" t="str">
        <f>IFERROR(VLOOKUP($D41&amp;$C41,設定値!$B$55:$N$85,8,FALSE)&amp;"","")</f>
        <v>paymentPeriod</v>
      </c>
      <c r="V41" s="19" t="s">
        <v>174</v>
      </c>
      <c r="W41" s="19" t="str">
        <f>IFERROR(VLOOKUP($D41&amp;$C41,設定値!$B$55:$N$85,9,FALSE)&amp;"","")</f>
        <v/>
      </c>
      <c r="X41" s="19"/>
      <c r="Y41" s="19" t="str">
        <f>IFERROR(VLOOKUP($D41&amp;$C41,設定値!$B$55:$N$85,10,FALSE)&amp;"","")</f>
        <v/>
      </c>
      <c r="Z41" s="19"/>
      <c r="AA41" s="19" t="str">
        <f>IFERROR(VLOOKUP($D41&amp;$C41,設定値!$B$55:$N$85,11,FALSE)&amp;"","")</f>
        <v/>
      </c>
      <c r="AB41" s="19"/>
      <c r="AC41" s="19" t="str">
        <f>IFERROR(VLOOKUP($D41&amp;$C41,設定値!$B$55:$N$85,12,FALSE)&amp;"","")</f>
        <v/>
      </c>
      <c r="AD41" s="19"/>
      <c r="AE41" s="19" t="str">
        <f>IFERROR(VLOOKUP($D41&amp;$C41,設定値!$B$55:$N$85,13,FALSE)&amp;"","")</f>
        <v/>
      </c>
      <c r="AF41" s="19"/>
    </row>
    <row r="42" spans="1:32" ht="15">
      <c r="A42" s="27" t="s">
        <v>213</v>
      </c>
      <c r="B42" s="7" t="s">
        <v>214</v>
      </c>
      <c r="C42" s="27" t="s">
        <v>211</v>
      </c>
      <c r="D42" s="7" t="s">
        <v>182</v>
      </c>
      <c r="E42" s="7" t="str">
        <f t="shared" si="0"/>
        <v>D10</v>
      </c>
      <c r="F42" s="20" t="s">
        <v>44</v>
      </c>
      <c r="G42" s="19" t="str">
        <f>IFERROR(VLOOKUP(D42&amp;C42,設定値!$B$55:$L$85,3,FALSE),"")</f>
        <v>がん一時給付特約</v>
      </c>
      <c r="H42" s="8" t="s">
        <v>18</v>
      </c>
      <c r="I42" s="8" t="s">
        <v>100</v>
      </c>
      <c r="J42" s="8" t="s">
        <v>171</v>
      </c>
      <c r="K42" s="26"/>
      <c r="L42" s="19"/>
      <c r="M42" s="19" t="str">
        <f>IFERROR(VLOOKUP($D42&amp;$C42,設定値!$B$55:$N$85,4,FALSE)&amp;"","")</f>
        <v>benefit</v>
      </c>
      <c r="N42" s="19">
        <v>100000</v>
      </c>
      <c r="O42" s="19" t="str">
        <f>IFERROR(VLOOKUP($D42&amp;$C42,設定値!$B$55:$N$85,5,FALSE)&amp;"","")</f>
        <v>insurancePeriodClass</v>
      </c>
      <c r="P42" s="19" t="s">
        <v>240</v>
      </c>
      <c r="Q42" s="19" t="str">
        <f>IFERROR(VLOOKUP($D42&amp;$C42,設定値!$B$55:$N$85,6,FALSE)&amp;"","")</f>
        <v>insurancePeriod</v>
      </c>
      <c r="R42" s="19" t="s">
        <v>174</v>
      </c>
      <c r="S42" s="19" t="str">
        <f>IFERROR(VLOOKUP($D42&amp;$C42,設定値!$B$55:$N$85,7,FALSE)&amp;"","")</f>
        <v>paymentPeriodClass</v>
      </c>
      <c r="T42" s="19" t="s">
        <v>240</v>
      </c>
      <c r="U42" s="19" t="str">
        <f>IFERROR(VLOOKUP($D42&amp;$C42,設定値!$B$55:$N$85,8,FALSE)&amp;"","")</f>
        <v>paymentPeriod</v>
      </c>
      <c r="V42" s="19" t="s">
        <v>174</v>
      </c>
      <c r="W42" s="19" t="str">
        <f>IFERROR(VLOOKUP($D42&amp;$C42,設定値!$B$55:$N$85,9,FALSE)&amp;"","")</f>
        <v/>
      </c>
      <c r="X42" s="19"/>
      <c r="Y42" s="19" t="str">
        <f>IFERROR(VLOOKUP($D42&amp;$C42,設定値!$B$55:$N$85,10,FALSE)&amp;"","")</f>
        <v/>
      </c>
      <c r="Z42" s="19"/>
      <c r="AA42" s="19" t="str">
        <f>IFERROR(VLOOKUP($D42&amp;$C42,設定値!$B$55:$N$85,11,FALSE)&amp;"","")</f>
        <v/>
      </c>
      <c r="AB42" s="19"/>
      <c r="AC42" s="19" t="str">
        <f>IFERROR(VLOOKUP($D42&amp;$C42,設定値!$B$55:$N$85,12,FALSE)&amp;"","")</f>
        <v/>
      </c>
      <c r="AD42" s="19"/>
      <c r="AE42" s="19" t="str">
        <f>IFERROR(VLOOKUP($D42&amp;$C42,設定値!$B$55:$N$85,13,FALSE)&amp;"","")</f>
        <v/>
      </c>
      <c r="AF42" s="19"/>
    </row>
    <row r="43" spans="1:32" ht="15">
      <c r="A43" s="27" t="s">
        <v>213</v>
      </c>
      <c r="B43" s="7" t="s">
        <v>214</v>
      </c>
      <c r="C43" s="27" t="s">
        <v>211</v>
      </c>
      <c r="D43" s="7" t="s">
        <v>215</v>
      </c>
      <c r="E43" s="7" t="str">
        <f t="shared" si="0"/>
        <v>D10</v>
      </c>
      <c r="F43" s="20" t="s">
        <v>44</v>
      </c>
      <c r="G43" s="19" t="str">
        <f>IFERROR(VLOOKUP(D43&amp;C43,設定値!$B$55:$L$85,3,FALSE),"")</f>
        <v>特定疾病保険料払込免除特約</v>
      </c>
      <c r="H43" s="8" t="s">
        <v>18</v>
      </c>
      <c r="I43" s="8" t="s">
        <v>100</v>
      </c>
      <c r="J43" s="8" t="s">
        <v>171</v>
      </c>
      <c r="K43" s="26"/>
      <c r="L43" s="19"/>
      <c r="M43" s="19" t="str">
        <f>IFERROR(VLOOKUP($D43&amp;$C43,設定値!$B$55:$N$85,4,FALSE)&amp;"","")</f>
        <v>additionType</v>
      </c>
      <c r="N43" s="19" t="s">
        <v>18</v>
      </c>
      <c r="O43" s="19" t="str">
        <f>IFERROR(VLOOKUP($D43&amp;$C43,設定値!$B$55:$N$85,5,FALSE)&amp;"","")</f>
        <v>insurancePeriodClass</v>
      </c>
      <c r="P43" s="19" t="s">
        <v>240</v>
      </c>
      <c r="Q43" s="19" t="str">
        <f>IFERROR(VLOOKUP($D43&amp;$C43,設定値!$B$55:$N$85,6,FALSE)&amp;"","")</f>
        <v>insurancePeriod</v>
      </c>
      <c r="R43" s="19" t="s">
        <v>174</v>
      </c>
      <c r="S43" s="19" t="str">
        <f>IFERROR(VLOOKUP($D43&amp;$C43,設定値!$B$55:$N$85,7,FALSE)&amp;"","")</f>
        <v>paymentPeriodClass</v>
      </c>
      <c r="T43" s="19" t="s">
        <v>240</v>
      </c>
      <c r="U43" s="19" t="str">
        <f>IFERROR(VLOOKUP($D43&amp;$C43,設定値!$B$55:$N$85,8,FALSE)&amp;"","")</f>
        <v>paymentPeriod</v>
      </c>
      <c r="V43" s="19" t="s">
        <v>174</v>
      </c>
      <c r="W43" s="19" t="str">
        <f>IFERROR(VLOOKUP($D43&amp;$C43,設定値!$B$55:$N$85,9,FALSE)&amp;"","")</f>
        <v>freeOfPremiumRiderCls</v>
      </c>
      <c r="X43" s="19" t="s">
        <v>249</v>
      </c>
      <c r="Y43" s="19" t="str">
        <f>IFERROR(VLOOKUP($D43&amp;$C43,設定値!$B$55:$N$85,10,FALSE)&amp;"","")</f>
        <v/>
      </c>
      <c r="Z43" s="19"/>
      <c r="AA43" s="19" t="str">
        <f>IFERROR(VLOOKUP($D43&amp;$C43,設定値!$B$55:$N$85,11,FALSE)&amp;"","")</f>
        <v/>
      </c>
      <c r="AB43" s="19"/>
      <c r="AC43" s="19" t="str">
        <f>IFERROR(VLOOKUP($D43&amp;$C43,設定値!$B$55:$N$85,12,FALSE)&amp;"","")</f>
        <v/>
      </c>
      <c r="AD43" s="19"/>
      <c r="AE43" s="19" t="str">
        <f>IFERROR(VLOOKUP($D43&amp;$C43,設定値!$B$55:$N$85,13,FALSE)&amp;"","")</f>
        <v/>
      </c>
      <c r="AF43" s="19"/>
    </row>
    <row r="44" spans="1:32" ht="15">
      <c r="A44" s="27" t="s">
        <v>18</v>
      </c>
      <c r="B44" s="7" t="s">
        <v>216</v>
      </c>
      <c r="C44" s="27" t="s">
        <v>18</v>
      </c>
      <c r="D44" s="7" t="s">
        <v>217</v>
      </c>
      <c r="E44" s="7" t="str">
        <f t="shared" si="0"/>
        <v>310</v>
      </c>
      <c r="F44" s="20" t="s">
        <v>44</v>
      </c>
      <c r="G44" s="19" t="str">
        <f>IFERROR(VLOOKUP(D44&amp;C44,設定値!$B$55:$L$85,3,FALSE),"")</f>
        <v>引受緩和型医療終身保険（無解約払戻金型）</v>
      </c>
      <c r="H44" s="8" t="s">
        <v>18</v>
      </c>
      <c r="I44" s="8" t="s">
        <v>100</v>
      </c>
      <c r="J44" s="8" t="s">
        <v>171</v>
      </c>
      <c r="K44" s="26">
        <v>1</v>
      </c>
      <c r="L44" s="19">
        <v>1</v>
      </c>
      <c r="M44" s="19" t="str">
        <f>IFERROR(VLOOKUP($D44&amp;$C44,設定値!$B$55:$N$85,4,FALSE)&amp;"","")</f>
        <v>benefit</v>
      </c>
      <c r="N44" s="19" t="s">
        <v>173</v>
      </c>
      <c r="O44" s="19" t="str">
        <f>IFERROR(VLOOKUP($D44&amp;$C44,設定値!$B$55:$N$85,5,FALSE)&amp;"","")</f>
        <v>insurancePeriodClass</v>
      </c>
      <c r="P44" s="19" t="s">
        <v>240</v>
      </c>
      <c r="Q44" s="19" t="str">
        <f>IFERROR(VLOOKUP($D44&amp;$C44,設定値!$B$55:$N$85,6,FALSE)&amp;"","")</f>
        <v>insurancePeriod</v>
      </c>
      <c r="R44" s="19" t="s">
        <v>174</v>
      </c>
      <c r="S44" s="19" t="str">
        <f>IFERROR(VLOOKUP($D44&amp;$C44,設定値!$B$55:$N$85,7,FALSE)&amp;"","")</f>
        <v>paymentPeriodClass</v>
      </c>
      <c r="T44" s="19" t="s">
        <v>240</v>
      </c>
      <c r="U44" s="19" t="str">
        <f>IFERROR(VLOOKUP($D44&amp;$C44,設定値!$B$55:$N$85,8,FALSE)&amp;"","")</f>
        <v>paymentPeriod</v>
      </c>
      <c r="V44" s="19" t="s">
        <v>174</v>
      </c>
      <c r="W44" s="19" t="str">
        <f>IFERROR(VLOOKUP($D44&amp;$C44,設定値!$B$55:$N$85,9,FALSE)&amp;"","")</f>
        <v>hosCovPayLimitClass</v>
      </c>
      <c r="X44" s="19" t="s">
        <v>175</v>
      </c>
      <c r="Y44" s="19" t="str">
        <f>IFERROR(VLOOKUP($D44&amp;$C44,設定値!$B$55:$N$85,10,FALSE)&amp;"","")</f>
        <v>benefitPayConvCls</v>
      </c>
      <c r="Z44" s="19" t="s">
        <v>18</v>
      </c>
      <c r="AA44" s="19" t="str">
        <f>IFERROR(VLOOKUP($D44&amp;$C44,設定値!$B$55:$N$85,11,FALSE)&amp;"","")</f>
        <v>disHsptUnlmtDaysSpPrv</v>
      </c>
      <c r="AB44" s="19" t="s">
        <v>18</v>
      </c>
      <c r="AC44" s="19" t="str">
        <f>IFERROR(VLOOKUP($D44&amp;$C44,設定値!$B$55:$N$85,12,FALSE)&amp;"","")</f>
        <v>freeOfPRiderFlg</v>
      </c>
      <c r="AD44" s="19" t="s">
        <v>18</v>
      </c>
      <c r="AE44" s="19" t="str">
        <f>IFERROR(VLOOKUP($D44&amp;$C44,設定値!$B$55:$N$85,13,FALSE)&amp;"","")</f>
        <v>freeOfPremiumRiderCls</v>
      </c>
      <c r="AF44" s="19" t="s">
        <v>246</v>
      </c>
    </row>
    <row r="45" spans="1:32" ht="15">
      <c r="A45" s="27" t="s">
        <v>18</v>
      </c>
      <c r="B45" s="7" t="s">
        <v>216</v>
      </c>
      <c r="C45" s="27" t="s">
        <v>211</v>
      </c>
      <c r="D45" s="7" t="s">
        <v>218</v>
      </c>
      <c r="E45" s="7" t="str">
        <f t="shared" si="0"/>
        <v>D10</v>
      </c>
      <c r="F45" s="20" t="s">
        <v>44</v>
      </c>
      <c r="G45" s="19" t="str">
        <f>IFERROR(VLOOKUP(D45&amp;C45,設定値!$B$55:$L$85,3,FALSE),"")</f>
        <v>引受緩和型入院一時給付特約</v>
      </c>
      <c r="H45" s="8" t="s">
        <v>18</v>
      </c>
      <c r="I45" s="8" t="s">
        <v>100</v>
      </c>
      <c r="J45" s="8" t="s">
        <v>171</v>
      </c>
      <c r="K45" s="26"/>
      <c r="L45" s="19"/>
      <c r="M45" s="19" t="str">
        <f>IFERROR(VLOOKUP($D45&amp;$C45,設定値!$B$55:$N$85,4,FALSE)&amp;"","")</f>
        <v>benefit</v>
      </c>
      <c r="N45" s="19">
        <v>10000</v>
      </c>
      <c r="O45" s="19" t="str">
        <f>IFERROR(VLOOKUP($D45&amp;$C45,設定値!$B$55:$N$85,5,FALSE)&amp;"","")</f>
        <v>insurancePeriodClass</v>
      </c>
      <c r="P45" s="19" t="s">
        <v>240</v>
      </c>
      <c r="Q45" s="19" t="str">
        <f>IFERROR(VLOOKUP($D45&amp;$C45,設定値!$B$55:$N$85,6,FALSE)&amp;"","")</f>
        <v>insurancePeriod</v>
      </c>
      <c r="R45" s="19" t="s">
        <v>174</v>
      </c>
      <c r="S45" s="19" t="str">
        <f>IFERROR(VLOOKUP($D45&amp;$C45,設定値!$B$55:$N$85,7,FALSE)&amp;"","")</f>
        <v>paymentPeriodClass</v>
      </c>
      <c r="T45" s="19" t="s">
        <v>240</v>
      </c>
      <c r="U45" s="19" t="str">
        <f>IFERROR(VLOOKUP($D45&amp;$C45,設定値!$B$55:$N$85,8,FALSE)&amp;"","")</f>
        <v>paymentPeriod</v>
      </c>
      <c r="V45" s="19" t="s">
        <v>174</v>
      </c>
      <c r="W45" s="19" t="str">
        <f>IFERROR(VLOOKUP($D45&amp;$C45,設定値!$B$55:$N$85,9,FALSE)&amp;"","")</f>
        <v/>
      </c>
      <c r="X45" s="19"/>
      <c r="Y45" s="19" t="str">
        <f>IFERROR(VLOOKUP($D45&amp;$C45,設定値!$B$55:$N$85,10,FALSE)&amp;"","")</f>
        <v/>
      </c>
      <c r="Z45" s="19"/>
      <c r="AA45" s="19" t="str">
        <f>IFERROR(VLOOKUP($D45&amp;$C45,設定値!$B$55:$N$85,11,FALSE)&amp;"","")</f>
        <v/>
      </c>
      <c r="AB45" s="19"/>
      <c r="AC45" s="19" t="str">
        <f>IFERROR(VLOOKUP($D45&amp;$C45,設定値!$B$55:$N$85,12,FALSE)&amp;"","")</f>
        <v/>
      </c>
      <c r="AD45" s="19"/>
      <c r="AE45" s="19" t="str">
        <f>IFERROR(VLOOKUP($D45&amp;$C45,設定値!$B$55:$N$85,13,FALSE)&amp;"","")</f>
        <v/>
      </c>
      <c r="AF45" s="19"/>
    </row>
    <row r="46" spans="1:32" ht="15">
      <c r="A46" s="27" t="s">
        <v>18</v>
      </c>
      <c r="B46" s="7" t="s">
        <v>216</v>
      </c>
      <c r="C46" s="27" t="s">
        <v>211</v>
      </c>
      <c r="D46" s="7" t="s">
        <v>251</v>
      </c>
      <c r="E46" s="7" t="str">
        <f t="shared" si="0"/>
        <v>D10</v>
      </c>
      <c r="F46" s="20" t="s">
        <v>44</v>
      </c>
      <c r="G46" s="19" t="str">
        <f>IFERROR(VLOOKUP(D46&amp;C46,設定値!$B$55:$L$85,3,FALSE),"")</f>
        <v>引受緩和型退院後通院特約</v>
      </c>
      <c r="H46" s="8" t="s">
        <v>18</v>
      </c>
      <c r="I46" s="8" t="s">
        <v>100</v>
      </c>
      <c r="J46" s="8" t="s">
        <v>171</v>
      </c>
      <c r="K46" s="26"/>
      <c r="L46" s="19"/>
      <c r="M46" s="19" t="str">
        <f>IFERROR(VLOOKUP($D46&amp;$C46,設定値!$B$55:$N$85,4,FALSE)&amp;"","")</f>
        <v>benefit</v>
      </c>
      <c r="N46" s="19">
        <v>2000</v>
      </c>
      <c r="O46" s="19" t="str">
        <f>IFERROR(VLOOKUP($D46&amp;$C46,設定値!$B$55:$N$85,5,FALSE)&amp;"","")</f>
        <v>insurancePeriodClass</v>
      </c>
      <c r="P46" s="19" t="s">
        <v>240</v>
      </c>
      <c r="Q46" s="19" t="str">
        <f>IFERROR(VLOOKUP($D46&amp;$C46,設定値!$B$55:$N$85,6,FALSE)&amp;"","")</f>
        <v>insurancePeriod</v>
      </c>
      <c r="R46" s="19" t="s">
        <v>174</v>
      </c>
      <c r="S46" s="19" t="str">
        <f>IFERROR(VLOOKUP($D46&amp;$C46,設定値!$B$55:$N$85,7,FALSE)&amp;"","")</f>
        <v>paymentPeriodClass</v>
      </c>
      <c r="T46" s="19" t="s">
        <v>240</v>
      </c>
      <c r="U46" s="19" t="str">
        <f>IFERROR(VLOOKUP($D46&amp;$C46,設定値!$B$55:$N$85,8,FALSE)&amp;"","")</f>
        <v>paymentPeriod</v>
      </c>
      <c r="V46" s="19" t="s">
        <v>174</v>
      </c>
      <c r="W46" s="19" t="str">
        <f>IFERROR(VLOOKUP($D46&amp;$C46,設定値!$B$55:$N$85,9,FALSE)&amp;"","")</f>
        <v/>
      </c>
      <c r="X46" s="19"/>
      <c r="Y46" s="19" t="str">
        <f>IFERROR(VLOOKUP($D46&amp;$C46,設定値!$B$55:$N$85,10,FALSE)&amp;"","")</f>
        <v/>
      </c>
      <c r="Z46" s="19"/>
      <c r="AA46" s="19" t="str">
        <f>IFERROR(VLOOKUP($D46&amp;$C46,設定値!$B$55:$N$85,11,FALSE)&amp;"","")</f>
        <v/>
      </c>
      <c r="AB46" s="19"/>
      <c r="AC46" s="19" t="str">
        <f>IFERROR(VLOOKUP($D46&amp;$C46,設定値!$B$55:$N$85,12,FALSE)&amp;"","")</f>
        <v/>
      </c>
      <c r="AD46" s="19"/>
      <c r="AE46" s="19" t="str">
        <f>IFERROR(VLOOKUP($D46&amp;$C46,設定値!$B$55:$N$85,13,FALSE)&amp;"","")</f>
        <v/>
      </c>
      <c r="AF46" s="19"/>
    </row>
    <row r="47" spans="1:32" ht="15">
      <c r="A47" s="27" t="s">
        <v>95</v>
      </c>
      <c r="B47" s="7" t="s">
        <v>216</v>
      </c>
      <c r="C47" s="27" t="s">
        <v>221</v>
      </c>
      <c r="D47" s="7" t="s">
        <v>220</v>
      </c>
      <c r="E47" s="7" t="str">
        <f t="shared" si="0"/>
        <v>D10</v>
      </c>
      <c r="F47" s="20" t="s">
        <v>44</v>
      </c>
      <c r="G47" s="19" t="str">
        <f>IFERROR(VLOOKUP(D47&amp;C47,設定値!$B$55:$L$85,3,FALSE),"")</f>
        <v>引受緩和型先進医療特約</v>
      </c>
      <c r="H47" s="8" t="s">
        <v>18</v>
      </c>
      <c r="I47" s="8" t="s">
        <v>100</v>
      </c>
      <c r="J47" s="8" t="s">
        <v>171</v>
      </c>
      <c r="K47" s="26"/>
      <c r="L47" s="19"/>
      <c r="M47" s="19" t="str">
        <f>IFERROR(VLOOKUP($D47&amp;$C47,設定値!$B$55:$N$85,4,FALSE)&amp;"","")</f>
        <v>additionType</v>
      </c>
      <c r="N47" s="19" t="s">
        <v>18</v>
      </c>
      <c r="O47" s="19" t="str">
        <f>IFERROR(VLOOKUP($D47&amp;$C47,設定値!$B$55:$N$85,5,FALSE)&amp;"","")</f>
        <v>insurancePeriodClass</v>
      </c>
      <c r="P47" s="19" t="s">
        <v>240</v>
      </c>
      <c r="Q47" s="19" t="str">
        <f>IFERROR(VLOOKUP($D47&amp;$C47,設定値!$B$55:$N$85,6,FALSE)&amp;"","")</f>
        <v>insurancePeriod</v>
      </c>
      <c r="R47" s="19" t="s">
        <v>174</v>
      </c>
      <c r="S47" s="19" t="str">
        <f>IFERROR(VLOOKUP($D47&amp;$C47,設定値!$B$55:$N$85,7,FALSE)&amp;"","")</f>
        <v>paymentPeriodClass</v>
      </c>
      <c r="T47" s="19" t="s">
        <v>240</v>
      </c>
      <c r="U47" s="19" t="str">
        <f>IFERROR(VLOOKUP($D47&amp;$C47,設定値!$B$55:$N$85,8,FALSE)&amp;"","")</f>
        <v>paymentPeriod</v>
      </c>
      <c r="V47" s="19" t="s">
        <v>174</v>
      </c>
      <c r="W47" s="19" t="str">
        <f>IFERROR(VLOOKUP($D47&amp;$C47,設定値!$B$55:$N$85,9,FALSE)&amp;"","")</f>
        <v/>
      </c>
      <c r="X47" s="19"/>
      <c r="Y47" s="19" t="str">
        <f>IFERROR(VLOOKUP($D47&amp;$C47,設定値!$B$55:$N$85,10,FALSE)&amp;"","")</f>
        <v/>
      </c>
      <c r="Z47" s="19"/>
      <c r="AA47" s="19" t="str">
        <f>IFERROR(VLOOKUP($D47&amp;$C47,設定値!$B$55:$N$85,11,FALSE)&amp;"","")</f>
        <v/>
      </c>
      <c r="AB47" s="19"/>
      <c r="AC47" s="19" t="str">
        <f>IFERROR(VLOOKUP($D47&amp;$C47,設定値!$B$55:$N$85,12,FALSE)&amp;"","")</f>
        <v/>
      </c>
      <c r="AD47" s="19"/>
      <c r="AE47" s="19" t="str">
        <f>IFERROR(VLOOKUP($D47&amp;$C47,設定値!$B$55:$N$85,13,FALSE)&amp;"","")</f>
        <v/>
      </c>
      <c r="AF47" s="19"/>
    </row>
    <row r="48" spans="1:32" ht="15">
      <c r="A48" s="27" t="s">
        <v>95</v>
      </c>
      <c r="B48" s="7" t="s">
        <v>216</v>
      </c>
      <c r="C48" s="27" t="s">
        <v>221</v>
      </c>
      <c r="D48" s="7" t="s">
        <v>222</v>
      </c>
      <c r="E48" s="7" t="str">
        <f t="shared" si="0"/>
        <v>D10</v>
      </c>
      <c r="F48" s="20" t="s">
        <v>44</v>
      </c>
      <c r="G48" s="19" t="str">
        <f>IFERROR(VLOOKUP(D48&amp;C48,設定値!$B$55:$L$85,3,FALSE),"")</f>
        <v>引受緩和型特定疾病一時給付特約</v>
      </c>
      <c r="H48" s="8" t="s">
        <v>18</v>
      </c>
      <c r="I48" s="8" t="s">
        <v>100</v>
      </c>
      <c r="J48" s="8" t="s">
        <v>171</v>
      </c>
      <c r="K48" s="26"/>
      <c r="L48" s="19"/>
      <c r="M48" s="19" t="str">
        <f>IFERROR(VLOOKUP($D48&amp;$C48,設定値!$B$55:$N$85,4,FALSE)&amp;"","")</f>
        <v>benefit</v>
      </c>
      <c r="N48" s="19">
        <v>100000</v>
      </c>
      <c r="O48" s="19" t="str">
        <f>IFERROR(VLOOKUP($D48&amp;$C48,設定値!$B$55:$N$85,5,FALSE)&amp;"","")</f>
        <v>insurancePeriodClass</v>
      </c>
      <c r="P48" s="19" t="s">
        <v>240</v>
      </c>
      <c r="Q48" s="19" t="str">
        <f>IFERROR(VLOOKUP($D48&amp;$C48,設定値!$B$55:$N$85,6,FALSE)&amp;"","")</f>
        <v>insurancePeriod</v>
      </c>
      <c r="R48" s="19" t="s">
        <v>174</v>
      </c>
      <c r="S48" s="19" t="str">
        <f>IFERROR(VLOOKUP($D48&amp;$C48,設定値!$B$55:$N$85,7,FALSE)&amp;"","")</f>
        <v>paymentPeriodClass</v>
      </c>
      <c r="T48" s="19" t="s">
        <v>240</v>
      </c>
      <c r="U48" s="19" t="str">
        <f>IFERROR(VLOOKUP($D48&amp;$C48,設定値!$B$55:$N$85,8,FALSE)&amp;"","")</f>
        <v>paymentPeriod</v>
      </c>
      <c r="V48" s="19" t="s">
        <v>174</v>
      </c>
      <c r="W48" s="19" t="str">
        <f>IFERROR(VLOOKUP($D48&amp;$C48,設定値!$B$55:$N$85,9,FALSE)&amp;"","")</f>
        <v>diseaseCoverageType</v>
      </c>
      <c r="X48" s="19" t="s">
        <v>176</v>
      </c>
      <c r="Y48" s="19" t="str">
        <f>IFERROR(VLOOKUP($D48&amp;$C48,設定値!$B$55:$N$85,10,FALSE)&amp;"","")</f>
        <v>benefitFirstPayConvCls</v>
      </c>
      <c r="Z48" s="19" t="s">
        <v>18</v>
      </c>
      <c r="AA48" s="19" t="str">
        <f>IFERROR(VLOOKUP($D48&amp;$C48,設定値!$B$55:$N$85,11,FALSE)&amp;"","")</f>
        <v/>
      </c>
      <c r="AB48" s="19"/>
      <c r="AC48" s="19" t="str">
        <f>IFERROR(VLOOKUP($D48&amp;$C48,設定値!$B$55:$N$85,12,FALSE)&amp;"","")</f>
        <v/>
      </c>
      <c r="AD48" s="19"/>
      <c r="AE48" s="19" t="str">
        <f>IFERROR(VLOOKUP($D48&amp;$C48,設定値!$B$55:$N$85,13,FALSE)&amp;"","")</f>
        <v/>
      </c>
      <c r="AF48" s="19"/>
    </row>
    <row r="49" spans="1:32" ht="15">
      <c r="A49" s="27" t="s">
        <v>95</v>
      </c>
      <c r="B49" s="7" t="s">
        <v>216</v>
      </c>
      <c r="C49" s="27" t="s">
        <v>211</v>
      </c>
      <c r="D49" s="7" t="s">
        <v>223</v>
      </c>
      <c r="E49" s="7" t="str">
        <f t="shared" si="0"/>
        <v>D10</v>
      </c>
      <c r="F49" s="20" t="s">
        <v>44</v>
      </c>
      <c r="G49" s="19" t="str">
        <f>IFERROR(VLOOKUP(D49&amp;C49,設定値!$B$55:$L$85,3,FALSE),"")</f>
        <v>引受緩和型抗がん剤・ホルモン剤治療特約</v>
      </c>
      <c r="H49" s="8" t="s">
        <v>18</v>
      </c>
      <c r="I49" s="8" t="s">
        <v>100</v>
      </c>
      <c r="J49" s="8" t="s">
        <v>171</v>
      </c>
      <c r="K49" s="26"/>
      <c r="L49" s="19"/>
      <c r="M49" s="19" t="str">
        <f>IFERROR(VLOOKUP($D49&amp;$C49,設定値!$B$55:$N$85,4,FALSE)&amp;"","")</f>
        <v>benefit</v>
      </c>
      <c r="N49" s="19">
        <v>10000</v>
      </c>
      <c r="O49" s="19" t="str">
        <f>IFERROR(VLOOKUP($D49&amp;$C49,設定値!$B$55:$N$85,5,FALSE)&amp;"","")</f>
        <v>insurancePeriodClass</v>
      </c>
      <c r="P49" s="19" t="s">
        <v>240</v>
      </c>
      <c r="Q49" s="19" t="str">
        <f>IFERROR(VLOOKUP($D49&amp;$C49,設定値!$B$55:$N$85,6,FALSE)&amp;"","")</f>
        <v>insurancePeriod</v>
      </c>
      <c r="R49" s="19" t="s">
        <v>174</v>
      </c>
      <c r="S49" s="19" t="str">
        <f>IFERROR(VLOOKUP($D49&amp;$C49,設定値!$B$55:$N$85,7,FALSE)&amp;"","")</f>
        <v>paymentPeriodClass</v>
      </c>
      <c r="T49" s="19" t="s">
        <v>240</v>
      </c>
      <c r="U49" s="19" t="str">
        <f>IFERROR(VLOOKUP($D49&amp;$C49,設定値!$B$55:$N$85,8,FALSE)&amp;"","")</f>
        <v>paymentPeriod</v>
      </c>
      <c r="V49" s="19" t="s">
        <v>174</v>
      </c>
      <c r="W49" s="19" t="str">
        <f>IFERROR(VLOOKUP($D49&amp;$C49,設定値!$B$55:$N$85,9,FALSE)&amp;"","")</f>
        <v/>
      </c>
      <c r="X49" s="19"/>
      <c r="Y49" s="19" t="str">
        <f>IFERROR(VLOOKUP($D49&amp;$C49,設定値!$B$55:$N$85,10,FALSE)&amp;"","")</f>
        <v/>
      </c>
      <c r="Z49" s="19"/>
      <c r="AA49" s="19" t="str">
        <f>IFERROR(VLOOKUP($D49&amp;$C49,設定値!$B$55:$N$85,11,FALSE)&amp;"","")</f>
        <v/>
      </c>
      <c r="AB49" s="19"/>
      <c r="AC49" s="19" t="str">
        <f>IFERROR(VLOOKUP($D49&amp;$C49,設定値!$B$55:$N$85,12,FALSE)&amp;"","")</f>
        <v/>
      </c>
      <c r="AD49" s="19"/>
      <c r="AE49" s="19" t="str">
        <f>IFERROR(VLOOKUP($D49&amp;$C49,設定値!$B$55:$N$85,13,FALSE)&amp;"","")</f>
        <v/>
      </c>
      <c r="AF49" s="19"/>
    </row>
    <row r="50" spans="1:32" ht="15">
      <c r="A50" s="27" t="s">
        <v>95</v>
      </c>
      <c r="B50" s="7" t="s">
        <v>216</v>
      </c>
      <c r="C50" s="27" t="s">
        <v>211</v>
      </c>
      <c r="D50" s="7" t="s">
        <v>217</v>
      </c>
      <c r="E50" s="7" t="str">
        <f t="shared" si="0"/>
        <v>D10</v>
      </c>
      <c r="F50" s="20" t="s">
        <v>44</v>
      </c>
      <c r="G50" s="19" t="str">
        <f>IFERROR(VLOOKUP(D50&amp;C50,設定値!$B$55:$L$85,3,FALSE),"")</f>
        <v>引受緩和型３大疾病保険料払込免除特約</v>
      </c>
      <c r="H50" s="8" t="s">
        <v>18</v>
      </c>
      <c r="I50" s="8" t="s">
        <v>100</v>
      </c>
      <c r="J50" s="8" t="s">
        <v>171</v>
      </c>
      <c r="K50" s="26"/>
      <c r="L50" s="19"/>
      <c r="M50" s="19" t="str">
        <f>IFERROR(VLOOKUP($D50&amp;$C50,設定値!$B$55:$N$85,4,FALSE)&amp;"","")</f>
        <v>additionType</v>
      </c>
      <c r="N50" s="19" t="s">
        <v>18</v>
      </c>
      <c r="O50" s="19" t="str">
        <f>IFERROR(VLOOKUP($D50&amp;$C50,設定値!$B$55:$N$85,5,FALSE)&amp;"","")</f>
        <v>insurancePeriodClass</v>
      </c>
      <c r="P50" s="19" t="s">
        <v>240</v>
      </c>
      <c r="Q50" s="19" t="str">
        <f>IFERROR(VLOOKUP($D50&amp;$C50,設定値!$B$55:$N$85,6,FALSE)&amp;"","")</f>
        <v>insurancePeriod</v>
      </c>
      <c r="R50" s="19" t="s">
        <v>174</v>
      </c>
      <c r="S50" s="19" t="str">
        <f>IFERROR(VLOOKUP($D50&amp;$C50,設定値!$B$55:$N$85,7,FALSE)&amp;"","")</f>
        <v>paymentPeriodClass</v>
      </c>
      <c r="T50" s="19" t="s">
        <v>240</v>
      </c>
      <c r="U50" s="19" t="str">
        <f>IFERROR(VLOOKUP($D50&amp;$C50,設定値!$B$55:$N$85,8,FALSE)&amp;"","")</f>
        <v>paymentPeriod</v>
      </c>
      <c r="V50" s="19" t="s">
        <v>174</v>
      </c>
      <c r="W50" s="19" t="str">
        <f>IFERROR(VLOOKUP($D50&amp;$C50,設定値!$B$55:$N$85,9,FALSE)&amp;"","")</f>
        <v>freeOfPremiumRiderCls</v>
      </c>
      <c r="X50" s="19" t="s">
        <v>246</v>
      </c>
      <c r="Y50" s="19" t="str">
        <f>IFERROR(VLOOKUP($D50&amp;$C50,設定値!$B$55:$N$85,10,FALSE)&amp;"","")</f>
        <v/>
      </c>
      <c r="Z50" s="19"/>
      <c r="AA50" s="19" t="str">
        <f>IFERROR(VLOOKUP($D50&amp;$C50,設定値!$B$55:$N$85,11,FALSE)&amp;"","")</f>
        <v/>
      </c>
      <c r="AB50" s="19"/>
      <c r="AC50" s="19" t="str">
        <f>IFERROR(VLOOKUP($D50&amp;$C50,設定値!$B$55:$N$85,12,FALSE)&amp;"","")</f>
        <v/>
      </c>
      <c r="AD50" s="19"/>
      <c r="AE50" s="19" t="str">
        <f>IFERROR(VLOOKUP($D50&amp;$C50,設定値!$B$55:$N$85,13,FALSE)&amp;"","")</f>
        <v/>
      </c>
      <c r="AF50" s="19"/>
    </row>
    <row r="51" spans="1:32" ht="15">
      <c r="A51" s="27" t="s">
        <v>118</v>
      </c>
      <c r="B51" s="7" t="s">
        <v>216</v>
      </c>
      <c r="C51" s="27" t="s">
        <v>18</v>
      </c>
      <c r="D51" s="7" t="s">
        <v>217</v>
      </c>
      <c r="E51" s="7" t="str">
        <f t="shared" si="0"/>
        <v>310</v>
      </c>
      <c r="F51" s="20" t="s">
        <v>44</v>
      </c>
      <c r="G51" s="19" t="str">
        <f>IFERROR(VLOOKUP(D51&amp;C51,設定値!$B$55:$L$85,3,FALSE),"")</f>
        <v>引受緩和型医療終身保険（無解約払戻金型）</v>
      </c>
      <c r="H51" s="8" t="s">
        <v>18</v>
      </c>
      <c r="I51" s="8" t="s">
        <v>100</v>
      </c>
      <c r="J51" s="8" t="s">
        <v>171</v>
      </c>
      <c r="K51" s="26"/>
      <c r="L51" s="19">
        <v>0</v>
      </c>
      <c r="M51" s="19" t="str">
        <f>IFERROR(VLOOKUP($D51&amp;$C51,設定値!$B$55:$N$85,4,FALSE)&amp;"","")</f>
        <v>benefit</v>
      </c>
      <c r="N51" s="19" t="s">
        <v>173</v>
      </c>
      <c r="O51" s="19" t="str">
        <f>IFERROR(VLOOKUP($D51&amp;$C51,設定値!$B$55:$N$85,5,FALSE)&amp;"","")</f>
        <v>insurancePeriodClass</v>
      </c>
      <c r="P51" s="19" t="s">
        <v>240</v>
      </c>
      <c r="Q51" s="19" t="str">
        <f>IFERROR(VLOOKUP($D51&amp;$C51,設定値!$B$55:$N$85,6,FALSE)&amp;"","")</f>
        <v>insurancePeriod</v>
      </c>
      <c r="R51" s="19" t="s">
        <v>174</v>
      </c>
      <c r="S51" s="19" t="str">
        <f>IFERROR(VLOOKUP($D51&amp;$C51,設定値!$B$55:$N$85,7,FALSE)&amp;"","")</f>
        <v>paymentPeriodClass</v>
      </c>
      <c r="T51" s="19" t="s">
        <v>240</v>
      </c>
      <c r="U51" s="19" t="str">
        <f>IFERROR(VLOOKUP($D51&amp;$C51,設定値!$B$55:$N$85,8,FALSE)&amp;"","")</f>
        <v>paymentPeriod</v>
      </c>
      <c r="V51" s="19" t="s">
        <v>174</v>
      </c>
      <c r="W51" s="19" t="str">
        <f>IFERROR(VLOOKUP($D51&amp;$C51,設定値!$B$55:$N$85,9,FALSE)&amp;"","")</f>
        <v>hosCovPayLimitClass</v>
      </c>
      <c r="X51" s="19" t="s">
        <v>175</v>
      </c>
      <c r="Y51" s="19" t="str">
        <f>IFERROR(VLOOKUP($D51&amp;$C51,設定値!$B$55:$N$85,10,FALSE)&amp;"","")</f>
        <v>benefitPayConvCls</v>
      </c>
      <c r="Z51" s="19" t="s">
        <v>18</v>
      </c>
      <c r="AA51" s="19" t="str">
        <f>IFERROR(VLOOKUP($D51&amp;$C51,設定値!$B$55:$N$85,11,FALSE)&amp;"","")</f>
        <v>disHsptUnlmtDaysSpPrv</v>
      </c>
      <c r="AB51" s="19" t="s">
        <v>18</v>
      </c>
      <c r="AC51" s="19" t="str">
        <f>IFERROR(VLOOKUP($D51&amp;$C51,設定値!$B$55:$N$85,12,FALSE)&amp;"","")</f>
        <v>freeOfPRiderFlg</v>
      </c>
      <c r="AD51" s="19" t="s">
        <v>18</v>
      </c>
      <c r="AE51" s="19" t="str">
        <f>IFERROR(VLOOKUP($D51&amp;$C51,設定値!$B$55:$N$85,13,FALSE)&amp;"","")</f>
        <v>freeOfPremiumRiderCls</v>
      </c>
      <c r="AF51" s="19" t="s">
        <v>246</v>
      </c>
    </row>
    <row r="52" spans="1:32" ht="15">
      <c r="A52" s="27" t="s">
        <v>118</v>
      </c>
      <c r="B52" s="7" t="s">
        <v>216</v>
      </c>
      <c r="C52" s="27" t="s">
        <v>211</v>
      </c>
      <c r="D52" s="7" t="s">
        <v>218</v>
      </c>
      <c r="E52" s="7" t="str">
        <f t="shared" si="0"/>
        <v>D10</v>
      </c>
      <c r="F52" s="20" t="s">
        <v>44</v>
      </c>
      <c r="G52" s="19" t="str">
        <f>IFERROR(VLOOKUP(D52&amp;C52,設定値!$B$55:$L$85,3,FALSE),"")</f>
        <v>引受緩和型入院一時給付特約</v>
      </c>
      <c r="H52" s="8" t="s">
        <v>18</v>
      </c>
      <c r="I52" s="8" t="s">
        <v>100</v>
      </c>
      <c r="J52" s="8" t="s">
        <v>171</v>
      </c>
      <c r="K52" s="26"/>
      <c r="L52" s="19"/>
      <c r="M52" s="19" t="str">
        <f>IFERROR(VLOOKUP($D52&amp;$C52,設定値!$B$55:$N$85,4,FALSE)&amp;"","")</f>
        <v>benefit</v>
      </c>
      <c r="N52" s="19">
        <v>10000</v>
      </c>
      <c r="O52" s="19" t="str">
        <f>IFERROR(VLOOKUP($D52&amp;$C52,設定値!$B$55:$N$85,5,FALSE)&amp;"","")</f>
        <v>insurancePeriodClass</v>
      </c>
      <c r="P52" s="19" t="s">
        <v>240</v>
      </c>
      <c r="Q52" s="19" t="str">
        <f>IFERROR(VLOOKUP($D52&amp;$C52,設定値!$B$55:$N$85,6,FALSE)&amp;"","")</f>
        <v>insurancePeriod</v>
      </c>
      <c r="R52" s="19" t="s">
        <v>174</v>
      </c>
      <c r="S52" s="19" t="str">
        <f>IFERROR(VLOOKUP($D52&amp;$C52,設定値!$B$55:$N$85,7,FALSE)&amp;"","")</f>
        <v>paymentPeriodClass</v>
      </c>
      <c r="T52" s="19" t="s">
        <v>240</v>
      </c>
      <c r="U52" s="19" t="str">
        <f>IFERROR(VLOOKUP($D52&amp;$C52,設定値!$B$55:$N$85,8,FALSE)&amp;"","")</f>
        <v>paymentPeriod</v>
      </c>
      <c r="V52" s="19" t="s">
        <v>174</v>
      </c>
      <c r="W52" s="19" t="str">
        <f>IFERROR(VLOOKUP($D52&amp;$C52,設定値!$B$55:$N$85,9,FALSE)&amp;"","")</f>
        <v/>
      </c>
      <c r="X52" s="19"/>
      <c r="Y52" s="19" t="str">
        <f>IFERROR(VLOOKUP($D52&amp;$C52,設定値!$B$55:$N$85,10,FALSE)&amp;"","")</f>
        <v/>
      </c>
      <c r="Z52" s="19"/>
      <c r="AA52" s="19" t="str">
        <f>IFERROR(VLOOKUP($D52&amp;$C52,設定値!$B$55:$N$85,11,FALSE)&amp;"","")</f>
        <v/>
      </c>
      <c r="AB52" s="19"/>
      <c r="AC52" s="19" t="str">
        <f>IFERROR(VLOOKUP($D52&amp;$C52,設定値!$B$55:$N$85,12,FALSE)&amp;"","")</f>
        <v/>
      </c>
      <c r="AD52" s="19"/>
      <c r="AE52" s="19" t="str">
        <f>IFERROR(VLOOKUP($D52&amp;$C52,設定値!$B$55:$N$85,13,FALSE)&amp;"","")</f>
        <v/>
      </c>
      <c r="AF52" s="19"/>
    </row>
    <row r="53" spans="1:32" ht="15">
      <c r="A53" s="27" t="s">
        <v>118</v>
      </c>
      <c r="B53" s="7" t="s">
        <v>216</v>
      </c>
      <c r="C53" s="27" t="s">
        <v>221</v>
      </c>
      <c r="D53" s="7" t="s">
        <v>251</v>
      </c>
      <c r="E53" s="7" t="str">
        <f t="shared" si="0"/>
        <v>D10</v>
      </c>
      <c r="F53" s="20" t="s">
        <v>44</v>
      </c>
      <c r="G53" s="19" t="str">
        <f>IFERROR(VLOOKUP(D53&amp;C53,設定値!$B$55:$L$85,3,FALSE),"")</f>
        <v>引受緩和型退院後通院特約</v>
      </c>
      <c r="H53" s="8" t="s">
        <v>18</v>
      </c>
      <c r="I53" s="8" t="s">
        <v>100</v>
      </c>
      <c r="J53" s="8" t="s">
        <v>171</v>
      </c>
      <c r="K53" s="26"/>
      <c r="L53" s="19"/>
      <c r="M53" s="19" t="str">
        <f>IFERROR(VLOOKUP($D53&amp;$C53,設定値!$B$55:$N$85,4,FALSE)&amp;"","")</f>
        <v>benefit</v>
      </c>
      <c r="N53" s="19">
        <v>2000</v>
      </c>
      <c r="O53" s="19" t="str">
        <f>IFERROR(VLOOKUP($D53&amp;$C53,設定値!$B$55:$N$85,5,FALSE)&amp;"","")</f>
        <v>insurancePeriodClass</v>
      </c>
      <c r="P53" s="19" t="s">
        <v>240</v>
      </c>
      <c r="Q53" s="19" t="str">
        <f>IFERROR(VLOOKUP($D53&amp;$C53,設定値!$B$55:$N$85,6,FALSE)&amp;"","")</f>
        <v>insurancePeriod</v>
      </c>
      <c r="R53" s="19" t="s">
        <v>174</v>
      </c>
      <c r="S53" s="19" t="str">
        <f>IFERROR(VLOOKUP($D53&amp;$C53,設定値!$B$55:$N$85,7,FALSE)&amp;"","")</f>
        <v>paymentPeriodClass</v>
      </c>
      <c r="T53" s="19" t="s">
        <v>240</v>
      </c>
      <c r="U53" s="19" t="str">
        <f>IFERROR(VLOOKUP($D53&amp;$C53,設定値!$B$55:$N$85,8,FALSE)&amp;"","")</f>
        <v>paymentPeriod</v>
      </c>
      <c r="V53" s="19" t="s">
        <v>174</v>
      </c>
      <c r="W53" s="19" t="str">
        <f>IFERROR(VLOOKUP($D53&amp;$C53,設定値!$B$55:$N$85,9,FALSE)&amp;"","")</f>
        <v/>
      </c>
      <c r="X53" s="19"/>
      <c r="Y53" s="19" t="str">
        <f>IFERROR(VLOOKUP($D53&amp;$C53,設定値!$B$55:$N$85,10,FALSE)&amp;"","")</f>
        <v/>
      </c>
      <c r="Z53" s="19"/>
      <c r="AA53" s="19" t="str">
        <f>IFERROR(VLOOKUP($D53&amp;$C53,設定値!$B$55:$N$85,11,FALSE)&amp;"","")</f>
        <v/>
      </c>
      <c r="AB53" s="19"/>
      <c r="AC53" s="19" t="str">
        <f>IFERROR(VLOOKUP($D53&amp;$C53,設定値!$B$55:$N$85,12,FALSE)&amp;"","")</f>
        <v/>
      </c>
      <c r="AD53" s="19"/>
      <c r="AE53" s="19" t="str">
        <f>IFERROR(VLOOKUP($D53&amp;$C53,設定値!$B$55:$N$85,13,FALSE)&amp;"","")</f>
        <v/>
      </c>
      <c r="AF53" s="19"/>
    </row>
    <row r="54" spans="1:32" ht="15">
      <c r="A54" s="27" t="s">
        <v>118</v>
      </c>
      <c r="B54" s="7" t="s">
        <v>216</v>
      </c>
      <c r="C54" s="27" t="s">
        <v>211</v>
      </c>
      <c r="D54" s="7" t="s">
        <v>220</v>
      </c>
      <c r="E54" s="7" t="str">
        <f t="shared" si="0"/>
        <v>D10</v>
      </c>
      <c r="F54" s="20" t="s">
        <v>44</v>
      </c>
      <c r="G54" s="19" t="str">
        <f>IFERROR(VLOOKUP(D54&amp;C54,設定値!$B$55:$L$85,3,FALSE),"")</f>
        <v>引受緩和型先進医療特約</v>
      </c>
      <c r="H54" s="8" t="s">
        <v>18</v>
      </c>
      <c r="I54" s="8" t="s">
        <v>100</v>
      </c>
      <c r="J54" s="8" t="s">
        <v>171</v>
      </c>
      <c r="K54" s="26"/>
      <c r="L54" s="19"/>
      <c r="M54" s="19" t="str">
        <f>IFERROR(VLOOKUP($D54&amp;$C54,設定値!$B$55:$N$85,4,FALSE)&amp;"","")</f>
        <v>additionType</v>
      </c>
      <c r="N54" s="19" t="s">
        <v>18</v>
      </c>
      <c r="O54" s="19" t="str">
        <f>IFERROR(VLOOKUP($D54&amp;$C54,設定値!$B$55:$N$85,5,FALSE)&amp;"","")</f>
        <v>insurancePeriodClass</v>
      </c>
      <c r="P54" s="19" t="s">
        <v>240</v>
      </c>
      <c r="Q54" s="19" t="str">
        <f>IFERROR(VLOOKUP($D54&amp;$C54,設定値!$B$55:$N$85,6,FALSE)&amp;"","")</f>
        <v>insurancePeriod</v>
      </c>
      <c r="R54" s="19" t="s">
        <v>174</v>
      </c>
      <c r="S54" s="19" t="str">
        <f>IFERROR(VLOOKUP($D54&amp;$C54,設定値!$B$55:$N$85,7,FALSE)&amp;"","")</f>
        <v>paymentPeriodClass</v>
      </c>
      <c r="T54" s="19" t="s">
        <v>240</v>
      </c>
      <c r="U54" s="19" t="str">
        <f>IFERROR(VLOOKUP($D54&amp;$C54,設定値!$B$55:$N$85,8,FALSE)&amp;"","")</f>
        <v>paymentPeriod</v>
      </c>
      <c r="V54" s="19" t="s">
        <v>174</v>
      </c>
      <c r="W54" s="19" t="str">
        <f>IFERROR(VLOOKUP($D54&amp;$C54,設定値!$B$55:$N$85,9,FALSE)&amp;"","")</f>
        <v/>
      </c>
      <c r="X54" s="19"/>
      <c r="Y54" s="19" t="str">
        <f>IFERROR(VLOOKUP($D54&amp;$C54,設定値!$B$55:$N$85,10,FALSE)&amp;"","")</f>
        <v/>
      </c>
      <c r="Z54" s="19"/>
      <c r="AA54" s="19" t="str">
        <f>IFERROR(VLOOKUP($D54&amp;$C54,設定値!$B$55:$N$85,11,FALSE)&amp;"","")</f>
        <v/>
      </c>
      <c r="AB54" s="19"/>
      <c r="AC54" s="19" t="str">
        <f>IFERROR(VLOOKUP($D54&amp;$C54,設定値!$B$55:$N$85,12,FALSE)&amp;"","")</f>
        <v/>
      </c>
      <c r="AD54" s="19"/>
      <c r="AE54" s="19" t="str">
        <f>IFERROR(VLOOKUP($D54&amp;$C54,設定値!$B$55:$N$85,13,FALSE)&amp;"","")</f>
        <v/>
      </c>
      <c r="AF54" s="19"/>
    </row>
    <row r="55" spans="1:32" ht="15">
      <c r="A55" s="27" t="s">
        <v>118</v>
      </c>
      <c r="B55" s="7" t="s">
        <v>216</v>
      </c>
      <c r="C55" s="27" t="s">
        <v>211</v>
      </c>
      <c r="D55" s="7" t="s">
        <v>222</v>
      </c>
      <c r="E55" s="7" t="str">
        <f t="shared" si="0"/>
        <v>D10</v>
      </c>
      <c r="F55" s="20" t="s">
        <v>44</v>
      </c>
      <c r="G55" s="19" t="str">
        <f>IFERROR(VLOOKUP(D55&amp;C55,設定値!$B$55:$L$85,3,FALSE),"")</f>
        <v>引受緩和型特定疾病一時給付特約</v>
      </c>
      <c r="H55" s="8" t="s">
        <v>18</v>
      </c>
      <c r="I55" s="8" t="s">
        <v>100</v>
      </c>
      <c r="J55" s="8" t="s">
        <v>171</v>
      </c>
      <c r="K55" s="26"/>
      <c r="L55" s="19"/>
      <c r="M55" s="19" t="str">
        <f>IFERROR(VLOOKUP($D55&amp;$C55,設定値!$B$55:$N$85,4,FALSE)&amp;"","")</f>
        <v>benefit</v>
      </c>
      <c r="N55" s="19">
        <v>100000</v>
      </c>
      <c r="O55" s="19" t="str">
        <f>IFERROR(VLOOKUP($D55&amp;$C55,設定値!$B$55:$N$85,5,FALSE)&amp;"","")</f>
        <v>insurancePeriodClass</v>
      </c>
      <c r="P55" s="19" t="s">
        <v>240</v>
      </c>
      <c r="Q55" s="19" t="str">
        <f>IFERROR(VLOOKUP($D55&amp;$C55,設定値!$B$55:$N$85,6,FALSE)&amp;"","")</f>
        <v>insurancePeriod</v>
      </c>
      <c r="R55" s="19" t="s">
        <v>174</v>
      </c>
      <c r="S55" s="19" t="str">
        <f>IFERROR(VLOOKUP($D55&amp;$C55,設定値!$B$55:$N$85,7,FALSE)&amp;"","")</f>
        <v>paymentPeriodClass</v>
      </c>
      <c r="T55" s="19" t="s">
        <v>240</v>
      </c>
      <c r="U55" s="19" t="str">
        <f>IFERROR(VLOOKUP($D55&amp;$C55,設定値!$B$55:$N$85,8,FALSE)&amp;"","")</f>
        <v>paymentPeriod</v>
      </c>
      <c r="V55" s="19" t="s">
        <v>174</v>
      </c>
      <c r="W55" s="19" t="str">
        <f>IFERROR(VLOOKUP($D55&amp;$C55,設定値!$B$55:$N$85,9,FALSE)&amp;"","")</f>
        <v>diseaseCoverageType</v>
      </c>
      <c r="X55" s="19" t="s">
        <v>176</v>
      </c>
      <c r="Y55" s="19" t="str">
        <f>IFERROR(VLOOKUP($D55&amp;$C55,設定値!$B$55:$N$85,10,FALSE)&amp;"","")</f>
        <v>benefitFirstPayConvCls</v>
      </c>
      <c r="Z55" s="19" t="s">
        <v>18</v>
      </c>
      <c r="AA55" s="19" t="str">
        <f>IFERROR(VLOOKUP($D55&amp;$C55,設定値!$B$55:$N$85,11,FALSE)&amp;"","")</f>
        <v/>
      </c>
      <c r="AB55" s="19"/>
      <c r="AC55" s="19" t="str">
        <f>IFERROR(VLOOKUP($D55&amp;$C55,設定値!$B$55:$N$85,12,FALSE)&amp;"","")</f>
        <v/>
      </c>
      <c r="AD55" s="19"/>
      <c r="AE55" s="19" t="str">
        <f>IFERROR(VLOOKUP($D55&amp;$C55,設定値!$B$55:$N$85,13,FALSE)&amp;"","")</f>
        <v/>
      </c>
      <c r="AF55" s="19"/>
    </row>
    <row r="56" spans="1:32" ht="15">
      <c r="A56" s="27" t="s">
        <v>118</v>
      </c>
      <c r="B56" s="7" t="s">
        <v>216</v>
      </c>
      <c r="C56" s="27" t="s">
        <v>211</v>
      </c>
      <c r="D56" s="7" t="s">
        <v>223</v>
      </c>
      <c r="E56" s="7" t="str">
        <f t="shared" si="0"/>
        <v>D10</v>
      </c>
      <c r="F56" s="20" t="s">
        <v>44</v>
      </c>
      <c r="G56" s="19" t="str">
        <f>IFERROR(VLOOKUP(D56&amp;C56,設定値!$B$55:$L$85,3,FALSE),"")</f>
        <v>引受緩和型抗がん剤・ホルモン剤治療特約</v>
      </c>
      <c r="H56" s="8" t="s">
        <v>18</v>
      </c>
      <c r="I56" s="8" t="s">
        <v>100</v>
      </c>
      <c r="J56" s="8" t="s">
        <v>171</v>
      </c>
      <c r="K56" s="26"/>
      <c r="L56" s="19"/>
      <c r="M56" s="19" t="str">
        <f>IFERROR(VLOOKUP($D56&amp;$C56,設定値!$B$55:$N$85,4,FALSE)&amp;"","")</f>
        <v>benefit</v>
      </c>
      <c r="N56" s="19">
        <v>10000</v>
      </c>
      <c r="O56" s="19" t="str">
        <f>IFERROR(VLOOKUP($D56&amp;$C56,設定値!$B$55:$N$85,5,FALSE)&amp;"","")</f>
        <v>insurancePeriodClass</v>
      </c>
      <c r="P56" s="19" t="s">
        <v>240</v>
      </c>
      <c r="Q56" s="19" t="str">
        <f>IFERROR(VLOOKUP($D56&amp;$C56,設定値!$B$55:$N$85,6,FALSE)&amp;"","")</f>
        <v>insurancePeriod</v>
      </c>
      <c r="R56" s="19" t="s">
        <v>174</v>
      </c>
      <c r="S56" s="19" t="str">
        <f>IFERROR(VLOOKUP($D56&amp;$C56,設定値!$B$55:$N$85,7,FALSE)&amp;"","")</f>
        <v>paymentPeriodClass</v>
      </c>
      <c r="T56" s="19" t="s">
        <v>240</v>
      </c>
      <c r="U56" s="19" t="str">
        <f>IFERROR(VLOOKUP($D56&amp;$C56,設定値!$B$55:$N$85,8,FALSE)&amp;"","")</f>
        <v>paymentPeriod</v>
      </c>
      <c r="V56" s="19" t="s">
        <v>174</v>
      </c>
      <c r="W56" s="19" t="str">
        <f>IFERROR(VLOOKUP($D56&amp;$C56,設定値!$B$55:$N$85,9,FALSE)&amp;"","")</f>
        <v/>
      </c>
      <c r="X56" s="19"/>
      <c r="Y56" s="19" t="str">
        <f>IFERROR(VLOOKUP($D56&amp;$C56,設定値!$B$55:$N$85,10,FALSE)&amp;"","")</f>
        <v/>
      </c>
      <c r="Z56" s="19"/>
      <c r="AA56" s="19" t="str">
        <f>IFERROR(VLOOKUP($D56&amp;$C56,設定値!$B$55:$N$85,11,FALSE)&amp;"","")</f>
        <v/>
      </c>
      <c r="AB56" s="19"/>
      <c r="AC56" s="19" t="str">
        <f>IFERROR(VLOOKUP($D56&amp;$C56,設定値!$B$55:$N$85,12,FALSE)&amp;"","")</f>
        <v/>
      </c>
      <c r="AD56" s="19"/>
      <c r="AE56" s="19" t="str">
        <f>IFERROR(VLOOKUP($D56&amp;$C56,設定値!$B$55:$N$85,13,FALSE)&amp;"","")</f>
        <v/>
      </c>
      <c r="AF56" s="19"/>
    </row>
    <row r="57" spans="1:32" ht="15">
      <c r="A57" s="27" t="s">
        <v>118</v>
      </c>
      <c r="B57" s="7" t="s">
        <v>216</v>
      </c>
      <c r="C57" s="27" t="s">
        <v>211</v>
      </c>
      <c r="D57" s="7" t="s">
        <v>217</v>
      </c>
      <c r="E57" s="7" t="str">
        <f t="shared" si="0"/>
        <v>D10</v>
      </c>
      <c r="F57" s="20" t="s">
        <v>44</v>
      </c>
      <c r="G57" s="19" t="str">
        <f>IFERROR(VLOOKUP(D57&amp;C57,設定値!$B$55:$L$85,3,FALSE),"")</f>
        <v>引受緩和型３大疾病保険料払込免除特約</v>
      </c>
      <c r="H57" s="8" t="s">
        <v>18</v>
      </c>
      <c r="I57" s="8" t="s">
        <v>100</v>
      </c>
      <c r="J57" s="8" t="s">
        <v>171</v>
      </c>
      <c r="K57" s="26"/>
      <c r="L57" s="19"/>
      <c r="M57" s="19" t="str">
        <f>IFERROR(VLOOKUP($D57&amp;$C57,設定値!$B$55:$N$85,4,FALSE)&amp;"","")</f>
        <v>additionType</v>
      </c>
      <c r="N57" s="19" t="s">
        <v>18</v>
      </c>
      <c r="O57" s="19" t="str">
        <f>IFERROR(VLOOKUP($D57&amp;$C57,設定値!$B$55:$N$85,5,FALSE)&amp;"","")</f>
        <v>insurancePeriodClass</v>
      </c>
      <c r="P57" s="19" t="s">
        <v>240</v>
      </c>
      <c r="Q57" s="19" t="str">
        <f>IFERROR(VLOOKUP($D57&amp;$C57,設定値!$B$55:$N$85,6,FALSE)&amp;"","")</f>
        <v>insurancePeriod</v>
      </c>
      <c r="R57" s="19" t="s">
        <v>174</v>
      </c>
      <c r="S57" s="19" t="str">
        <f>IFERROR(VLOOKUP($D57&amp;$C57,設定値!$B$55:$N$85,7,FALSE)&amp;"","")</f>
        <v>paymentPeriodClass</v>
      </c>
      <c r="T57" s="19" t="s">
        <v>240</v>
      </c>
      <c r="U57" s="19" t="str">
        <f>IFERROR(VLOOKUP($D57&amp;$C57,設定値!$B$55:$N$85,8,FALSE)&amp;"","")</f>
        <v>paymentPeriod</v>
      </c>
      <c r="V57" s="19" t="s">
        <v>174</v>
      </c>
      <c r="W57" s="19" t="str">
        <f>IFERROR(VLOOKUP($D57&amp;$C57,設定値!$B$55:$N$85,9,FALSE)&amp;"","")</f>
        <v>freeOfPremiumRiderCls</v>
      </c>
      <c r="X57" s="19" t="s">
        <v>246</v>
      </c>
      <c r="Y57" s="19" t="str">
        <f>IFERROR(VLOOKUP($D57&amp;$C57,設定値!$B$55:$N$85,10,FALSE)&amp;"","")</f>
        <v/>
      </c>
      <c r="Z57" s="19"/>
      <c r="AA57" s="19" t="str">
        <f>IFERROR(VLOOKUP($D57&amp;$C57,設定値!$B$55:$N$85,11,FALSE)&amp;"","")</f>
        <v/>
      </c>
      <c r="AB57" s="19"/>
      <c r="AC57" s="19" t="str">
        <f>IFERROR(VLOOKUP($D57&amp;$C57,設定値!$B$55:$N$85,12,FALSE)&amp;"","")</f>
        <v/>
      </c>
      <c r="AD57" s="19"/>
      <c r="AE57" s="19" t="str">
        <f>IFERROR(VLOOKUP($D57&amp;$C57,設定値!$B$55:$N$85,13,FALSE)&amp;"","")</f>
        <v/>
      </c>
      <c r="AF57" s="19"/>
    </row>
    <row r="58" spans="1:32" ht="15">
      <c r="A58" s="27" t="s">
        <v>213</v>
      </c>
      <c r="B58" s="7" t="s">
        <v>216</v>
      </c>
      <c r="C58" s="27" t="s">
        <v>18</v>
      </c>
      <c r="D58" s="7" t="s">
        <v>217</v>
      </c>
      <c r="E58" s="7" t="str">
        <f t="shared" si="0"/>
        <v>310</v>
      </c>
      <c r="F58" s="20" t="s">
        <v>44</v>
      </c>
      <c r="G58" s="19" t="str">
        <f>IFERROR(VLOOKUP(D58&amp;C58,設定値!$B$55:$L$85,3,FALSE),"")</f>
        <v>引受緩和型医療終身保険（無解約払戻金型）</v>
      </c>
      <c r="H58" s="8" t="s">
        <v>18</v>
      </c>
      <c r="I58" s="8" t="s">
        <v>100</v>
      </c>
      <c r="J58" s="8" t="s">
        <v>171</v>
      </c>
      <c r="K58" s="26"/>
      <c r="L58" s="19">
        <v>0</v>
      </c>
      <c r="M58" s="19" t="str">
        <f>IFERROR(VLOOKUP($D58&amp;$C58,設定値!$B$55:$N$85,4,FALSE)&amp;"","")</f>
        <v>benefit</v>
      </c>
      <c r="N58" s="19" t="s">
        <v>173</v>
      </c>
      <c r="O58" s="19" t="str">
        <f>IFERROR(VLOOKUP($D58&amp;$C58,設定値!$B$55:$N$85,5,FALSE)&amp;"","")</f>
        <v>insurancePeriodClass</v>
      </c>
      <c r="P58" s="19" t="s">
        <v>240</v>
      </c>
      <c r="Q58" s="19" t="str">
        <f>IFERROR(VLOOKUP($D58&amp;$C58,設定値!$B$55:$N$85,6,FALSE)&amp;"","")</f>
        <v>insurancePeriod</v>
      </c>
      <c r="R58" s="19" t="s">
        <v>174</v>
      </c>
      <c r="S58" s="19" t="str">
        <f>IFERROR(VLOOKUP($D58&amp;$C58,設定値!$B$55:$N$85,7,FALSE)&amp;"","")</f>
        <v>paymentPeriodClass</v>
      </c>
      <c r="T58" s="19" t="s">
        <v>240</v>
      </c>
      <c r="U58" s="19" t="str">
        <f>IFERROR(VLOOKUP($D58&amp;$C58,設定値!$B$55:$N$85,8,FALSE)&amp;"","")</f>
        <v>paymentPeriod</v>
      </c>
      <c r="V58" s="19" t="s">
        <v>174</v>
      </c>
      <c r="W58" s="19" t="str">
        <f>IFERROR(VLOOKUP($D58&amp;$C58,設定値!$B$55:$N$85,9,FALSE)&amp;"","")</f>
        <v>hosCovPayLimitClass</v>
      </c>
      <c r="X58" s="19" t="s">
        <v>175</v>
      </c>
      <c r="Y58" s="19" t="str">
        <f>IFERROR(VLOOKUP($D58&amp;$C58,設定値!$B$55:$N$85,10,FALSE)&amp;"","")</f>
        <v>benefitPayConvCls</v>
      </c>
      <c r="Z58" s="19" t="s">
        <v>18</v>
      </c>
      <c r="AA58" s="19" t="str">
        <f>IFERROR(VLOOKUP($D58&amp;$C58,設定値!$B$55:$N$85,11,FALSE)&amp;"","")</f>
        <v>disHsptUnlmtDaysSpPrv</v>
      </c>
      <c r="AB58" s="19" t="s">
        <v>18</v>
      </c>
      <c r="AC58" s="19" t="str">
        <f>IFERROR(VLOOKUP($D58&amp;$C58,設定値!$B$55:$N$85,12,FALSE)&amp;"","")</f>
        <v>freeOfPRiderFlg</v>
      </c>
      <c r="AD58" s="19" t="s">
        <v>18</v>
      </c>
      <c r="AE58" s="19" t="str">
        <f>IFERROR(VLOOKUP($D58&amp;$C58,設定値!$B$55:$N$85,13,FALSE)&amp;"","")</f>
        <v>freeOfPremiumRiderCls</v>
      </c>
      <c r="AF58" s="19" t="s">
        <v>246</v>
      </c>
    </row>
    <row r="59" spans="1:32" ht="15">
      <c r="A59" s="27" t="s">
        <v>213</v>
      </c>
      <c r="B59" s="7" t="s">
        <v>216</v>
      </c>
      <c r="C59" s="27" t="s">
        <v>211</v>
      </c>
      <c r="D59" s="7" t="s">
        <v>218</v>
      </c>
      <c r="E59" s="7" t="str">
        <f t="shared" si="0"/>
        <v>D10</v>
      </c>
      <c r="F59" s="20" t="s">
        <v>44</v>
      </c>
      <c r="G59" s="19" t="str">
        <f>IFERROR(VLOOKUP(D59&amp;C59,設定値!$B$55:$L$85,3,FALSE),"")</f>
        <v>引受緩和型入院一時給付特約</v>
      </c>
      <c r="H59" s="8" t="s">
        <v>18</v>
      </c>
      <c r="I59" s="8" t="s">
        <v>100</v>
      </c>
      <c r="J59" s="8" t="s">
        <v>171</v>
      </c>
      <c r="K59" s="26"/>
      <c r="L59" s="19"/>
      <c r="M59" s="19" t="str">
        <f>IFERROR(VLOOKUP($D59&amp;$C59,設定値!$B$55:$N$85,4,FALSE)&amp;"","")</f>
        <v>benefit</v>
      </c>
      <c r="N59" s="19">
        <v>10000</v>
      </c>
      <c r="O59" s="19" t="str">
        <f>IFERROR(VLOOKUP($D59&amp;$C59,設定値!$B$55:$N$85,5,FALSE)&amp;"","")</f>
        <v>insurancePeriodClass</v>
      </c>
      <c r="P59" s="19" t="s">
        <v>240</v>
      </c>
      <c r="Q59" s="19" t="str">
        <f>IFERROR(VLOOKUP($D59&amp;$C59,設定値!$B$55:$N$85,6,FALSE)&amp;"","")</f>
        <v>insurancePeriod</v>
      </c>
      <c r="R59" s="19" t="s">
        <v>174</v>
      </c>
      <c r="S59" s="19" t="str">
        <f>IFERROR(VLOOKUP($D59&amp;$C59,設定値!$B$55:$N$85,7,FALSE)&amp;"","")</f>
        <v>paymentPeriodClass</v>
      </c>
      <c r="T59" s="19" t="s">
        <v>240</v>
      </c>
      <c r="U59" s="19" t="str">
        <f>IFERROR(VLOOKUP($D59&amp;$C59,設定値!$B$55:$N$85,8,FALSE)&amp;"","")</f>
        <v>paymentPeriod</v>
      </c>
      <c r="V59" s="19" t="s">
        <v>174</v>
      </c>
      <c r="W59" s="19" t="str">
        <f>IFERROR(VLOOKUP($D59&amp;$C59,設定値!$B$55:$N$85,9,FALSE)&amp;"","")</f>
        <v/>
      </c>
      <c r="X59" s="19"/>
      <c r="Y59" s="19" t="str">
        <f>IFERROR(VLOOKUP($D59&amp;$C59,設定値!$B$55:$N$85,10,FALSE)&amp;"","")</f>
        <v/>
      </c>
      <c r="Z59" s="19"/>
      <c r="AA59" s="19" t="str">
        <f>IFERROR(VLOOKUP($D59&amp;$C59,設定値!$B$55:$N$85,11,FALSE)&amp;"","")</f>
        <v/>
      </c>
      <c r="AB59" s="19"/>
      <c r="AC59" s="19" t="str">
        <f>IFERROR(VLOOKUP($D59&amp;$C59,設定値!$B$55:$N$85,12,FALSE)&amp;"","")</f>
        <v/>
      </c>
      <c r="AD59" s="19"/>
      <c r="AE59" s="19" t="str">
        <f>IFERROR(VLOOKUP($D59&amp;$C59,設定値!$B$55:$N$85,13,FALSE)&amp;"","")</f>
        <v/>
      </c>
      <c r="AF59" s="19"/>
    </row>
    <row r="60" spans="1:32" ht="15">
      <c r="A60" s="27" t="s">
        <v>213</v>
      </c>
      <c r="B60" s="7" t="s">
        <v>216</v>
      </c>
      <c r="C60" s="27" t="s">
        <v>221</v>
      </c>
      <c r="D60" s="7" t="s">
        <v>251</v>
      </c>
      <c r="E60" s="7" t="str">
        <f t="shared" si="0"/>
        <v>D10</v>
      </c>
      <c r="F60" s="20" t="s">
        <v>44</v>
      </c>
      <c r="G60" s="19" t="str">
        <f>IFERROR(VLOOKUP(D60&amp;C60,設定値!$B$55:$L$85,3,FALSE),"")</f>
        <v>引受緩和型退院後通院特約</v>
      </c>
      <c r="H60" s="8" t="s">
        <v>18</v>
      </c>
      <c r="I60" s="8" t="s">
        <v>100</v>
      </c>
      <c r="J60" s="8" t="s">
        <v>171</v>
      </c>
      <c r="K60" s="26"/>
      <c r="L60" s="19"/>
      <c r="M60" s="19" t="str">
        <f>IFERROR(VLOOKUP($D60&amp;$C60,設定値!$B$55:$N$85,4,FALSE)&amp;"","")</f>
        <v>benefit</v>
      </c>
      <c r="N60" s="19">
        <v>2000</v>
      </c>
      <c r="O60" s="19" t="str">
        <f>IFERROR(VLOOKUP($D60&amp;$C60,設定値!$B$55:$N$85,5,FALSE)&amp;"","")</f>
        <v>insurancePeriodClass</v>
      </c>
      <c r="P60" s="19" t="s">
        <v>240</v>
      </c>
      <c r="Q60" s="19" t="str">
        <f>IFERROR(VLOOKUP($D60&amp;$C60,設定値!$B$55:$N$85,6,FALSE)&amp;"","")</f>
        <v>insurancePeriod</v>
      </c>
      <c r="R60" s="19" t="s">
        <v>174</v>
      </c>
      <c r="S60" s="19" t="str">
        <f>IFERROR(VLOOKUP($D60&amp;$C60,設定値!$B$55:$N$85,7,FALSE)&amp;"","")</f>
        <v>paymentPeriodClass</v>
      </c>
      <c r="T60" s="19" t="s">
        <v>240</v>
      </c>
      <c r="U60" s="19" t="str">
        <f>IFERROR(VLOOKUP($D60&amp;$C60,設定値!$B$55:$N$85,8,FALSE)&amp;"","")</f>
        <v>paymentPeriod</v>
      </c>
      <c r="V60" s="19" t="s">
        <v>174</v>
      </c>
      <c r="W60" s="19" t="str">
        <f>IFERROR(VLOOKUP($D60&amp;$C60,設定値!$B$55:$N$85,9,FALSE)&amp;"","")</f>
        <v/>
      </c>
      <c r="X60" s="19"/>
      <c r="Y60" s="19" t="str">
        <f>IFERROR(VLOOKUP($D60&amp;$C60,設定値!$B$55:$N$85,10,FALSE)&amp;"","")</f>
        <v/>
      </c>
      <c r="Z60" s="19"/>
      <c r="AA60" s="19" t="str">
        <f>IFERROR(VLOOKUP($D60&amp;$C60,設定値!$B$55:$N$85,11,FALSE)&amp;"","")</f>
        <v/>
      </c>
      <c r="AB60" s="19"/>
      <c r="AC60" s="19" t="str">
        <f>IFERROR(VLOOKUP($D60&amp;$C60,設定値!$B$55:$N$85,12,FALSE)&amp;"","")</f>
        <v/>
      </c>
      <c r="AD60" s="19"/>
      <c r="AE60" s="19" t="str">
        <f>IFERROR(VLOOKUP($D60&amp;$C60,設定値!$B$55:$N$85,13,FALSE)&amp;"","")</f>
        <v/>
      </c>
      <c r="AF60" s="19"/>
    </row>
    <row r="61" spans="1:32" ht="15">
      <c r="A61" s="27" t="s">
        <v>213</v>
      </c>
      <c r="B61" s="7" t="s">
        <v>216</v>
      </c>
      <c r="C61" s="27" t="s">
        <v>211</v>
      </c>
      <c r="D61" s="7" t="s">
        <v>220</v>
      </c>
      <c r="E61" s="7" t="str">
        <f t="shared" si="0"/>
        <v>D10</v>
      </c>
      <c r="F61" s="20" t="s">
        <v>44</v>
      </c>
      <c r="G61" s="19" t="str">
        <f>IFERROR(VLOOKUP(D61&amp;C61,設定値!$B$55:$L$85,3,FALSE),"")</f>
        <v>引受緩和型先進医療特約</v>
      </c>
      <c r="H61" s="8" t="s">
        <v>18</v>
      </c>
      <c r="I61" s="8" t="s">
        <v>100</v>
      </c>
      <c r="J61" s="8" t="s">
        <v>171</v>
      </c>
      <c r="K61" s="26"/>
      <c r="L61" s="19"/>
      <c r="M61" s="19" t="str">
        <f>IFERROR(VLOOKUP($D61&amp;$C61,設定値!$B$55:$N$85,4,FALSE)&amp;"","")</f>
        <v>additionType</v>
      </c>
      <c r="N61" s="19" t="s">
        <v>18</v>
      </c>
      <c r="O61" s="19" t="str">
        <f>IFERROR(VLOOKUP($D61&amp;$C61,設定値!$B$55:$N$85,5,FALSE)&amp;"","")</f>
        <v>insurancePeriodClass</v>
      </c>
      <c r="P61" s="19" t="s">
        <v>240</v>
      </c>
      <c r="Q61" s="19" t="str">
        <f>IFERROR(VLOOKUP($D61&amp;$C61,設定値!$B$55:$N$85,6,FALSE)&amp;"","")</f>
        <v>insurancePeriod</v>
      </c>
      <c r="R61" s="19" t="s">
        <v>174</v>
      </c>
      <c r="S61" s="19" t="str">
        <f>IFERROR(VLOOKUP($D61&amp;$C61,設定値!$B$55:$N$85,7,FALSE)&amp;"","")</f>
        <v>paymentPeriodClass</v>
      </c>
      <c r="T61" s="19" t="s">
        <v>240</v>
      </c>
      <c r="U61" s="19" t="str">
        <f>IFERROR(VLOOKUP($D61&amp;$C61,設定値!$B$55:$N$85,8,FALSE)&amp;"","")</f>
        <v>paymentPeriod</v>
      </c>
      <c r="V61" s="19" t="s">
        <v>174</v>
      </c>
      <c r="W61" s="19" t="str">
        <f>IFERROR(VLOOKUP($D61&amp;$C61,設定値!$B$55:$N$85,9,FALSE)&amp;"","")</f>
        <v/>
      </c>
      <c r="X61" s="19"/>
      <c r="Y61" s="19" t="str">
        <f>IFERROR(VLOOKUP($D61&amp;$C61,設定値!$B$55:$N$85,10,FALSE)&amp;"","")</f>
        <v/>
      </c>
      <c r="Z61" s="19"/>
      <c r="AA61" s="19" t="str">
        <f>IFERROR(VLOOKUP($D61&amp;$C61,設定値!$B$55:$N$85,11,FALSE)&amp;"","")</f>
        <v/>
      </c>
      <c r="AB61" s="19"/>
      <c r="AC61" s="19" t="str">
        <f>IFERROR(VLOOKUP($D61&amp;$C61,設定値!$B$55:$N$85,12,FALSE)&amp;"","")</f>
        <v/>
      </c>
      <c r="AD61" s="19"/>
      <c r="AE61" s="19" t="str">
        <f>IFERROR(VLOOKUP($D61&amp;$C61,設定値!$B$55:$N$85,13,FALSE)&amp;"","")</f>
        <v/>
      </c>
      <c r="AF61" s="19"/>
    </row>
    <row r="62" spans="1:32" ht="15">
      <c r="A62" s="27" t="s">
        <v>213</v>
      </c>
      <c r="B62" s="7" t="s">
        <v>216</v>
      </c>
      <c r="C62" s="27" t="s">
        <v>211</v>
      </c>
      <c r="D62" s="7" t="s">
        <v>222</v>
      </c>
      <c r="E62" s="7" t="str">
        <f t="shared" si="0"/>
        <v>D10</v>
      </c>
      <c r="F62" s="20" t="s">
        <v>44</v>
      </c>
      <c r="G62" s="19" t="str">
        <f>IFERROR(VLOOKUP(D62&amp;C62,設定値!$B$55:$L$85,3,FALSE),"")</f>
        <v>引受緩和型特定疾病一時給付特約</v>
      </c>
      <c r="H62" s="8" t="s">
        <v>18</v>
      </c>
      <c r="I62" s="8" t="s">
        <v>100</v>
      </c>
      <c r="J62" s="8" t="s">
        <v>171</v>
      </c>
      <c r="K62" s="26"/>
      <c r="L62" s="19"/>
      <c r="M62" s="19" t="str">
        <f>IFERROR(VLOOKUP($D62&amp;$C62,設定値!$B$55:$N$85,4,FALSE)&amp;"","")</f>
        <v>benefit</v>
      </c>
      <c r="N62" s="19">
        <v>100000</v>
      </c>
      <c r="O62" s="19" t="str">
        <f>IFERROR(VLOOKUP($D62&amp;$C62,設定値!$B$55:$N$85,5,FALSE)&amp;"","")</f>
        <v>insurancePeriodClass</v>
      </c>
      <c r="P62" s="19" t="s">
        <v>240</v>
      </c>
      <c r="Q62" s="19" t="str">
        <f>IFERROR(VLOOKUP($D62&amp;$C62,設定値!$B$55:$N$85,6,FALSE)&amp;"","")</f>
        <v>insurancePeriod</v>
      </c>
      <c r="R62" s="19" t="s">
        <v>174</v>
      </c>
      <c r="S62" s="19" t="str">
        <f>IFERROR(VLOOKUP($D62&amp;$C62,設定値!$B$55:$N$85,7,FALSE)&amp;"","")</f>
        <v>paymentPeriodClass</v>
      </c>
      <c r="T62" s="19" t="s">
        <v>240</v>
      </c>
      <c r="U62" s="19" t="str">
        <f>IFERROR(VLOOKUP($D62&amp;$C62,設定値!$B$55:$N$85,8,FALSE)&amp;"","")</f>
        <v>paymentPeriod</v>
      </c>
      <c r="V62" s="19" t="s">
        <v>174</v>
      </c>
      <c r="W62" s="19" t="str">
        <f>IFERROR(VLOOKUP($D62&amp;$C62,設定値!$B$55:$N$85,9,FALSE)&amp;"","")</f>
        <v>diseaseCoverageType</v>
      </c>
      <c r="X62" s="19" t="s">
        <v>176</v>
      </c>
      <c r="Y62" s="19" t="str">
        <f>IFERROR(VLOOKUP($D62&amp;$C62,設定値!$B$55:$N$85,10,FALSE)&amp;"","")</f>
        <v>benefitFirstPayConvCls</v>
      </c>
      <c r="Z62" s="19" t="s">
        <v>18</v>
      </c>
      <c r="AA62" s="19" t="str">
        <f>IFERROR(VLOOKUP($D62&amp;$C62,設定値!$B$55:$N$85,11,FALSE)&amp;"","")</f>
        <v/>
      </c>
      <c r="AB62" s="19"/>
      <c r="AC62" s="19" t="str">
        <f>IFERROR(VLOOKUP($D62&amp;$C62,設定値!$B$55:$N$85,12,FALSE)&amp;"","")</f>
        <v/>
      </c>
      <c r="AD62" s="19"/>
      <c r="AE62" s="19" t="str">
        <f>IFERROR(VLOOKUP($D62&amp;$C62,設定値!$B$55:$N$85,13,FALSE)&amp;"","")</f>
        <v/>
      </c>
      <c r="AF62" s="19"/>
    </row>
    <row r="63" spans="1:32" ht="15">
      <c r="A63" s="27" t="s">
        <v>213</v>
      </c>
      <c r="B63" s="7" t="s">
        <v>216</v>
      </c>
      <c r="C63" s="27" t="s">
        <v>211</v>
      </c>
      <c r="D63" s="7" t="s">
        <v>223</v>
      </c>
      <c r="E63" s="7" t="str">
        <f t="shared" si="0"/>
        <v>D10</v>
      </c>
      <c r="F63" s="20" t="s">
        <v>44</v>
      </c>
      <c r="G63" s="19" t="str">
        <f>IFERROR(VLOOKUP(D63&amp;C63,設定値!$B$55:$L$85,3,FALSE),"")</f>
        <v>引受緩和型抗がん剤・ホルモン剤治療特約</v>
      </c>
      <c r="H63" s="8" t="s">
        <v>18</v>
      </c>
      <c r="I63" s="8" t="s">
        <v>100</v>
      </c>
      <c r="J63" s="8" t="s">
        <v>171</v>
      </c>
      <c r="K63" s="26"/>
      <c r="L63" s="19"/>
      <c r="M63" s="19" t="str">
        <f>IFERROR(VLOOKUP($D63&amp;$C63,設定値!$B$55:$N$85,4,FALSE)&amp;"","")</f>
        <v>benefit</v>
      </c>
      <c r="N63" s="19">
        <v>10000</v>
      </c>
      <c r="O63" s="19" t="str">
        <f>IFERROR(VLOOKUP($D63&amp;$C63,設定値!$B$55:$N$85,5,FALSE)&amp;"","")</f>
        <v>insurancePeriodClass</v>
      </c>
      <c r="P63" s="19" t="s">
        <v>240</v>
      </c>
      <c r="Q63" s="19" t="str">
        <f>IFERROR(VLOOKUP($D63&amp;$C63,設定値!$B$55:$N$85,6,FALSE)&amp;"","")</f>
        <v>insurancePeriod</v>
      </c>
      <c r="R63" s="19" t="s">
        <v>174</v>
      </c>
      <c r="S63" s="19" t="str">
        <f>IFERROR(VLOOKUP($D63&amp;$C63,設定値!$B$55:$N$85,7,FALSE)&amp;"","")</f>
        <v>paymentPeriodClass</v>
      </c>
      <c r="T63" s="19" t="s">
        <v>240</v>
      </c>
      <c r="U63" s="19" t="str">
        <f>IFERROR(VLOOKUP($D63&amp;$C63,設定値!$B$55:$N$85,8,FALSE)&amp;"","")</f>
        <v>paymentPeriod</v>
      </c>
      <c r="V63" s="19" t="s">
        <v>174</v>
      </c>
      <c r="W63" s="19" t="str">
        <f>IFERROR(VLOOKUP($D63&amp;$C63,設定値!$B$55:$N$85,9,FALSE)&amp;"","")</f>
        <v/>
      </c>
      <c r="X63" s="19"/>
      <c r="Y63" s="19" t="str">
        <f>IFERROR(VLOOKUP($D63&amp;$C63,設定値!$B$55:$N$85,10,FALSE)&amp;"","")</f>
        <v/>
      </c>
      <c r="Z63" s="19"/>
      <c r="AA63" s="19" t="str">
        <f>IFERROR(VLOOKUP($D63&amp;$C63,設定値!$B$55:$N$85,11,FALSE)&amp;"","")</f>
        <v/>
      </c>
      <c r="AB63" s="19"/>
      <c r="AC63" s="19" t="str">
        <f>IFERROR(VLOOKUP($D63&amp;$C63,設定値!$B$55:$N$85,12,FALSE)&amp;"","")</f>
        <v/>
      </c>
      <c r="AD63" s="19"/>
      <c r="AE63" s="19" t="str">
        <f>IFERROR(VLOOKUP($D63&amp;$C63,設定値!$B$55:$N$85,13,FALSE)&amp;"","")</f>
        <v/>
      </c>
      <c r="AF63" s="19"/>
    </row>
    <row r="64" spans="1:32" ht="15">
      <c r="A64" s="27" t="s">
        <v>213</v>
      </c>
      <c r="B64" s="7" t="s">
        <v>216</v>
      </c>
      <c r="C64" s="27" t="s">
        <v>211</v>
      </c>
      <c r="D64" s="7" t="s">
        <v>217</v>
      </c>
      <c r="E64" s="7" t="str">
        <f t="shared" si="0"/>
        <v>D10</v>
      </c>
      <c r="F64" s="20" t="s">
        <v>44</v>
      </c>
      <c r="G64" s="19" t="str">
        <f>IFERROR(VLOOKUP(D64&amp;C64,設定値!$B$55:$L$85,3,FALSE),"")</f>
        <v>引受緩和型３大疾病保険料払込免除特約</v>
      </c>
      <c r="H64" s="8" t="s">
        <v>18</v>
      </c>
      <c r="I64" s="8" t="s">
        <v>100</v>
      </c>
      <c r="J64" s="8" t="s">
        <v>171</v>
      </c>
      <c r="K64" s="26"/>
      <c r="L64" s="19"/>
      <c r="M64" s="19" t="str">
        <f>IFERROR(VLOOKUP($D64&amp;$C64,設定値!$B$55:$N$85,4,FALSE)&amp;"","")</f>
        <v>additionType</v>
      </c>
      <c r="N64" s="19" t="s">
        <v>18</v>
      </c>
      <c r="O64" s="19" t="str">
        <f>IFERROR(VLOOKUP($D64&amp;$C64,設定値!$B$55:$N$85,5,FALSE)&amp;"","")</f>
        <v>insurancePeriodClass</v>
      </c>
      <c r="P64" s="19" t="s">
        <v>240</v>
      </c>
      <c r="Q64" s="19" t="str">
        <f>IFERROR(VLOOKUP($D64&amp;$C64,設定値!$B$55:$N$85,6,FALSE)&amp;"","")</f>
        <v>insurancePeriod</v>
      </c>
      <c r="R64" s="19" t="s">
        <v>174</v>
      </c>
      <c r="S64" s="19" t="str">
        <f>IFERROR(VLOOKUP($D64&amp;$C64,設定値!$B$55:$N$85,7,FALSE)&amp;"","")</f>
        <v>paymentPeriodClass</v>
      </c>
      <c r="T64" s="19" t="s">
        <v>240</v>
      </c>
      <c r="U64" s="19" t="str">
        <f>IFERROR(VLOOKUP($D64&amp;$C64,設定値!$B$55:$N$85,8,FALSE)&amp;"","")</f>
        <v>paymentPeriod</v>
      </c>
      <c r="V64" s="19" t="s">
        <v>174</v>
      </c>
      <c r="W64" s="19" t="str">
        <f>IFERROR(VLOOKUP($D64&amp;$C64,設定値!$B$55:$N$85,9,FALSE)&amp;"","")</f>
        <v>freeOfPremiumRiderCls</v>
      </c>
      <c r="X64" s="19" t="s">
        <v>246</v>
      </c>
      <c r="Y64" s="19" t="str">
        <f>IFERROR(VLOOKUP($D64&amp;$C64,設定値!$B$55:$N$85,10,FALSE)&amp;"","")</f>
        <v/>
      </c>
      <c r="Z64" s="19"/>
      <c r="AA64" s="19" t="str">
        <f>IFERROR(VLOOKUP($D64&amp;$C64,設定値!$B$55:$N$85,11,FALSE)&amp;"","")</f>
        <v/>
      </c>
      <c r="AB64" s="19"/>
      <c r="AC64" s="19" t="str">
        <f>IFERROR(VLOOKUP($D64&amp;$C64,設定値!$B$55:$N$85,12,FALSE)&amp;"","")</f>
        <v/>
      </c>
      <c r="AD64" s="19"/>
      <c r="AE64" s="19" t="str">
        <f>IFERROR(VLOOKUP($D64&amp;$C64,設定値!$B$55:$N$85,13,FALSE)&amp;"","")</f>
        <v/>
      </c>
      <c r="AF64" s="19"/>
    </row>
    <row r="65" spans="1:32" ht="15">
      <c r="A65" s="27" t="s">
        <v>18</v>
      </c>
      <c r="B65" s="7" t="s">
        <v>169</v>
      </c>
      <c r="C65" s="27" t="s">
        <v>18</v>
      </c>
      <c r="D65" s="7" t="s">
        <v>224</v>
      </c>
      <c r="E65" s="7" t="str">
        <f t="shared" si="0"/>
        <v>310</v>
      </c>
      <c r="F65" s="20" t="s">
        <v>44</v>
      </c>
      <c r="G65" s="19" t="str">
        <f>IFERROR(VLOOKUP(D65&amp;C65,設定値!$B$55:$L$85,3,FALSE),"")</f>
        <v>引受緩和型３大疾病一時給付保険（無解約払戻金型）</v>
      </c>
      <c r="H65" s="8" t="s">
        <v>18</v>
      </c>
      <c r="I65" s="8" t="s">
        <v>100</v>
      </c>
      <c r="J65" s="8" t="s">
        <v>171</v>
      </c>
      <c r="K65" s="26">
        <v>0</v>
      </c>
      <c r="L65" s="19">
        <v>1</v>
      </c>
      <c r="M65" s="19" t="str">
        <f>IFERROR(VLOOKUP($D65&amp;$C65,設定値!$B$55:$N$85,4,FALSE)&amp;"","")</f>
        <v>benefit</v>
      </c>
      <c r="N65" s="19">
        <v>300000</v>
      </c>
      <c r="O65" s="19" t="str">
        <f>IFERROR(VLOOKUP($D65&amp;$C65,設定値!$B$55:$N$85,5,FALSE)&amp;"","")</f>
        <v>insurancePeriodClass</v>
      </c>
      <c r="P65" s="19" t="s">
        <v>240</v>
      </c>
      <c r="Q65" s="19" t="str">
        <f>IFERROR(VLOOKUP($D65&amp;$C65,設定値!$B$55:$N$85,6,FALSE)&amp;"","")</f>
        <v>insurancePeriod</v>
      </c>
      <c r="R65" s="19" t="s">
        <v>174</v>
      </c>
      <c r="S65" s="19" t="str">
        <f>IFERROR(VLOOKUP($D65&amp;$C65,設定値!$B$55:$N$85,7,FALSE)&amp;"","")</f>
        <v>paymentPeriodClass</v>
      </c>
      <c r="T65" s="19" t="s">
        <v>240</v>
      </c>
      <c r="U65" s="19" t="str">
        <f>IFERROR(VLOOKUP($D65&amp;$C65,設定値!$B$55:$N$85,8,FALSE)&amp;"","")</f>
        <v>paymentPeriod</v>
      </c>
      <c r="V65" s="19" t="s">
        <v>174</v>
      </c>
      <c r="W65" s="19" t="str">
        <f>IFERROR(VLOOKUP($D65&amp;$C65,設定値!$B$55:$N$85,9,FALSE)&amp;"","")</f>
        <v>benefitFirstPayConvCls</v>
      </c>
      <c r="X65" s="19" t="s">
        <v>18</v>
      </c>
      <c r="Y65" s="19" t="str">
        <f>IFERROR(VLOOKUP($D65&amp;$C65,設定値!$B$55:$N$85,10,FALSE)&amp;"","")</f>
        <v>freeOfPRiderFlg</v>
      </c>
      <c r="Z65" s="19" t="s">
        <v>18</v>
      </c>
      <c r="AA65" s="19" t="str">
        <f>IFERROR(VLOOKUP($D65&amp;$C65,設定値!$B$55:$N$85,11,FALSE)&amp;"","")</f>
        <v>freeOfPremiumRiderCls</v>
      </c>
      <c r="AB65" s="19" t="s">
        <v>246</v>
      </c>
      <c r="AC65" s="19" t="str">
        <f>IFERROR(VLOOKUP($D65&amp;$C65,設定値!$B$55:$N$85,12,FALSE)&amp;"","")</f>
        <v/>
      </c>
      <c r="AD65" s="19"/>
      <c r="AE65" s="19" t="str">
        <f>IFERROR(VLOOKUP($D65&amp;$C65,設定値!$B$55:$N$85,13,FALSE)&amp;"","")</f>
        <v/>
      </c>
      <c r="AF65" s="19"/>
    </row>
    <row r="66" spans="1:32" ht="15">
      <c r="A66" s="27" t="s">
        <v>18</v>
      </c>
      <c r="B66" s="7" t="s">
        <v>169</v>
      </c>
      <c r="C66" s="27" t="s">
        <v>211</v>
      </c>
      <c r="D66" s="7" t="s">
        <v>225</v>
      </c>
      <c r="E66" s="7" t="str">
        <f t="shared" si="0"/>
        <v>D10</v>
      </c>
      <c r="F66" s="20" t="s">
        <v>44</v>
      </c>
      <c r="G66" s="19" t="str">
        <f>IFERROR(VLOOKUP(D66&amp;C66,設定値!$B$55:$L$85,3,FALSE),"")</f>
        <v>引受緩和型がん一時給付特約</v>
      </c>
      <c r="H66" s="8" t="s">
        <v>18</v>
      </c>
      <c r="I66" s="8" t="s">
        <v>100</v>
      </c>
      <c r="J66" s="8" t="s">
        <v>171</v>
      </c>
      <c r="K66" s="26"/>
      <c r="L66" s="19"/>
      <c r="M66" s="19" t="str">
        <f>IFERROR(VLOOKUP($D66&amp;$C66,設定値!$B$55:$N$85,4,FALSE)&amp;"","")</f>
        <v>benefit</v>
      </c>
      <c r="N66" s="19">
        <v>100000</v>
      </c>
      <c r="O66" s="19" t="str">
        <f>IFERROR(VLOOKUP($D66&amp;$C66,設定値!$B$55:$N$85,5,FALSE)&amp;"","")</f>
        <v>insurancePeriodClass</v>
      </c>
      <c r="P66" s="19" t="s">
        <v>240</v>
      </c>
      <c r="Q66" s="19" t="str">
        <f>IFERROR(VLOOKUP($D66&amp;$C66,設定値!$B$55:$N$85,6,FALSE)&amp;"","")</f>
        <v>insurancePeriod</v>
      </c>
      <c r="R66" s="19" t="s">
        <v>174</v>
      </c>
      <c r="S66" s="19" t="str">
        <f>IFERROR(VLOOKUP($D66&amp;$C66,設定値!$B$55:$N$85,7,FALSE)&amp;"","")</f>
        <v>paymentPeriodClass</v>
      </c>
      <c r="T66" s="19" t="s">
        <v>240</v>
      </c>
      <c r="U66" s="19" t="str">
        <f>IFERROR(VLOOKUP($D66&amp;$C66,設定値!$B$55:$N$85,8,FALSE)&amp;"","")</f>
        <v>paymentPeriod</v>
      </c>
      <c r="V66" s="19" t="s">
        <v>174</v>
      </c>
      <c r="W66" s="19" t="str">
        <f>IFERROR(VLOOKUP($D66&amp;$C66,設定値!$B$55:$N$85,9,FALSE)&amp;"","")</f>
        <v/>
      </c>
      <c r="X66" s="19"/>
      <c r="Y66" s="19" t="str">
        <f>IFERROR(VLOOKUP($D66&amp;$C66,設定値!$B$55:$N$85,10,FALSE)&amp;"","")</f>
        <v/>
      </c>
      <c r="Z66" s="19"/>
      <c r="AA66" s="19" t="str">
        <f>IFERROR(VLOOKUP($D66&amp;$C66,設定値!$B$55:$N$85,11,FALSE)&amp;"","")</f>
        <v/>
      </c>
      <c r="AB66" s="19"/>
      <c r="AC66" s="19" t="str">
        <f>IFERROR(VLOOKUP($D66&amp;$C66,設定値!$B$55:$N$85,12,FALSE)&amp;"","")</f>
        <v/>
      </c>
      <c r="AD66" s="19"/>
      <c r="AE66" s="19" t="str">
        <f>IFERROR(VLOOKUP($D66&amp;$C66,設定値!$B$55:$N$85,13,FALSE)&amp;"","")</f>
        <v/>
      </c>
      <c r="AF66" s="19"/>
    </row>
    <row r="67" spans="1:32" ht="15">
      <c r="A67" s="27" t="s">
        <v>18</v>
      </c>
      <c r="B67" s="7" t="s">
        <v>169</v>
      </c>
      <c r="C67" s="27" t="s">
        <v>211</v>
      </c>
      <c r="D67" s="7" t="s">
        <v>220</v>
      </c>
      <c r="E67" s="7" t="str">
        <f t="shared" ref="E67:E130" si="1">IF(B67="03A003","030",IF(C67="1","310","D10"))</f>
        <v>D10</v>
      </c>
      <c r="F67" s="20" t="s">
        <v>44</v>
      </c>
      <c r="G67" s="19" t="str">
        <f>IFERROR(VLOOKUP(D67&amp;C67,設定値!$B$55:$L$85,3,FALSE),"")</f>
        <v>引受緩和型先進医療特約</v>
      </c>
      <c r="H67" s="8" t="s">
        <v>18</v>
      </c>
      <c r="I67" s="8" t="s">
        <v>100</v>
      </c>
      <c r="J67" s="8" t="s">
        <v>171</v>
      </c>
      <c r="K67" s="26"/>
      <c r="L67" s="19"/>
      <c r="M67" s="19" t="str">
        <f>IFERROR(VLOOKUP($D67&amp;$C67,設定値!$B$55:$N$85,4,FALSE)&amp;"","")</f>
        <v>additionType</v>
      </c>
      <c r="N67" s="19" t="s">
        <v>18</v>
      </c>
      <c r="O67" s="19" t="str">
        <f>IFERROR(VLOOKUP($D67&amp;$C67,設定値!$B$55:$N$85,5,FALSE)&amp;"","")</f>
        <v>insurancePeriodClass</v>
      </c>
      <c r="P67" s="19" t="s">
        <v>240</v>
      </c>
      <c r="Q67" s="19" t="str">
        <f>IFERROR(VLOOKUP($D67&amp;$C67,設定値!$B$55:$N$85,6,FALSE)&amp;"","")</f>
        <v>insurancePeriod</v>
      </c>
      <c r="R67" s="19" t="s">
        <v>174</v>
      </c>
      <c r="S67" s="19" t="str">
        <f>IFERROR(VLOOKUP($D67&amp;$C67,設定値!$B$55:$N$85,7,FALSE)&amp;"","")</f>
        <v>paymentPeriodClass</v>
      </c>
      <c r="T67" s="19" t="s">
        <v>240</v>
      </c>
      <c r="U67" s="19" t="str">
        <f>IFERROR(VLOOKUP($D67&amp;$C67,設定値!$B$55:$N$85,8,FALSE)&amp;"","")</f>
        <v>paymentPeriod</v>
      </c>
      <c r="V67" s="19" t="s">
        <v>174</v>
      </c>
      <c r="W67" s="19" t="str">
        <f>IFERROR(VLOOKUP($D67&amp;$C67,設定値!$B$55:$N$85,9,FALSE)&amp;"","")</f>
        <v/>
      </c>
      <c r="X67" s="19"/>
      <c r="Y67" s="19" t="str">
        <f>IFERROR(VLOOKUP($D67&amp;$C67,設定値!$B$55:$N$85,10,FALSE)&amp;"","")</f>
        <v/>
      </c>
      <c r="Z67" s="19"/>
      <c r="AA67" s="19" t="str">
        <f>IFERROR(VLOOKUP($D67&amp;$C67,設定値!$B$55:$N$85,11,FALSE)&amp;"","")</f>
        <v/>
      </c>
      <c r="AB67" s="19"/>
      <c r="AC67" s="19" t="str">
        <f>IFERROR(VLOOKUP($D67&amp;$C67,設定値!$B$55:$N$85,12,FALSE)&amp;"","")</f>
        <v/>
      </c>
      <c r="AD67" s="19"/>
      <c r="AE67" s="19" t="str">
        <f>IFERROR(VLOOKUP($D67&amp;$C67,設定値!$B$55:$N$85,13,FALSE)&amp;"","")</f>
        <v/>
      </c>
      <c r="AF67" s="19"/>
    </row>
    <row r="68" spans="1:32" ht="15">
      <c r="A68" s="27" t="s">
        <v>18</v>
      </c>
      <c r="B68" s="7" t="s">
        <v>169</v>
      </c>
      <c r="C68" s="27" t="s">
        <v>211</v>
      </c>
      <c r="D68" s="7" t="s">
        <v>223</v>
      </c>
      <c r="E68" s="7" t="str">
        <f t="shared" si="1"/>
        <v>D10</v>
      </c>
      <c r="F68" s="20" t="s">
        <v>44</v>
      </c>
      <c r="G68" s="19" t="str">
        <f>IFERROR(VLOOKUP(D68&amp;C68,設定値!$B$55:$L$85,3,FALSE),"")</f>
        <v>引受緩和型抗がん剤・ホルモン剤治療特約</v>
      </c>
      <c r="H68" s="8" t="s">
        <v>18</v>
      </c>
      <c r="I68" s="8" t="s">
        <v>100</v>
      </c>
      <c r="J68" s="8" t="s">
        <v>171</v>
      </c>
      <c r="K68" s="26"/>
      <c r="L68" s="19"/>
      <c r="M68" s="19" t="str">
        <f>IFERROR(VLOOKUP($D68&amp;$C68,設定値!$B$55:$N$85,4,FALSE)&amp;"","")</f>
        <v>benefit</v>
      </c>
      <c r="N68" s="19">
        <v>10000</v>
      </c>
      <c r="O68" s="19" t="str">
        <f>IFERROR(VLOOKUP($D68&amp;$C68,設定値!$B$55:$N$85,5,FALSE)&amp;"","")</f>
        <v>insurancePeriodClass</v>
      </c>
      <c r="P68" s="19" t="s">
        <v>240</v>
      </c>
      <c r="Q68" s="19" t="str">
        <f>IFERROR(VLOOKUP($D68&amp;$C68,設定値!$B$55:$N$85,6,FALSE)&amp;"","")</f>
        <v>insurancePeriod</v>
      </c>
      <c r="R68" s="19" t="s">
        <v>174</v>
      </c>
      <c r="S68" s="19" t="str">
        <f>IFERROR(VLOOKUP($D68&amp;$C68,設定値!$B$55:$N$85,7,FALSE)&amp;"","")</f>
        <v>paymentPeriodClass</v>
      </c>
      <c r="T68" s="19" t="s">
        <v>240</v>
      </c>
      <c r="U68" s="19" t="str">
        <f>IFERROR(VLOOKUP($D68&amp;$C68,設定値!$B$55:$N$85,8,FALSE)&amp;"","")</f>
        <v>paymentPeriod</v>
      </c>
      <c r="V68" s="19" t="s">
        <v>174</v>
      </c>
      <c r="W68" s="19" t="str">
        <f>IFERROR(VLOOKUP($D68&amp;$C68,設定値!$B$55:$N$85,9,FALSE)&amp;"","")</f>
        <v/>
      </c>
      <c r="X68" s="19"/>
      <c r="Y68" s="19" t="str">
        <f>IFERROR(VLOOKUP($D68&amp;$C68,設定値!$B$55:$N$85,10,FALSE)&amp;"","")</f>
        <v/>
      </c>
      <c r="Z68" s="19"/>
      <c r="AA68" s="19" t="str">
        <f>IFERROR(VLOOKUP($D68&amp;$C68,設定値!$B$55:$N$85,11,FALSE)&amp;"","")</f>
        <v/>
      </c>
      <c r="AB68" s="19"/>
      <c r="AC68" s="19" t="str">
        <f>IFERROR(VLOOKUP($D68&amp;$C68,設定値!$B$55:$N$85,12,FALSE)&amp;"","")</f>
        <v/>
      </c>
      <c r="AD68" s="19"/>
      <c r="AE68" s="19" t="str">
        <f>IFERROR(VLOOKUP($D68&amp;$C68,設定値!$B$55:$N$85,13,FALSE)&amp;"","")</f>
        <v/>
      </c>
      <c r="AF68" s="19"/>
    </row>
    <row r="69" spans="1:32" ht="15">
      <c r="A69" s="27" t="s">
        <v>95</v>
      </c>
      <c r="B69" s="7" t="s">
        <v>169</v>
      </c>
      <c r="C69" s="27" t="s">
        <v>221</v>
      </c>
      <c r="D69" s="7" t="s">
        <v>224</v>
      </c>
      <c r="E69" s="7" t="str">
        <f t="shared" si="1"/>
        <v>D10</v>
      </c>
      <c r="F69" s="20" t="s">
        <v>44</v>
      </c>
      <c r="G69" s="19" t="str">
        <f>IFERROR(VLOOKUP(D69&amp;C69,設定値!$B$55:$L$85,3,FALSE),"")</f>
        <v>引受緩和型３大疾病保険料払込免除特約</v>
      </c>
      <c r="H69" s="8" t="s">
        <v>18</v>
      </c>
      <c r="I69" s="8" t="s">
        <v>100</v>
      </c>
      <c r="J69" s="8" t="s">
        <v>171</v>
      </c>
      <c r="K69" s="26"/>
      <c r="L69" s="19"/>
      <c r="M69" s="19" t="str">
        <f>IFERROR(VLOOKUP($D69&amp;$C69,設定値!$B$55:$N$85,4,FALSE)&amp;"","")</f>
        <v>additionType</v>
      </c>
      <c r="N69" s="19" t="s">
        <v>18</v>
      </c>
      <c r="O69" s="19" t="str">
        <f>IFERROR(VLOOKUP($D69&amp;$C69,設定値!$B$55:$N$85,5,FALSE)&amp;"","")</f>
        <v>insurancePeriodClass</v>
      </c>
      <c r="P69" s="19" t="s">
        <v>240</v>
      </c>
      <c r="Q69" s="19" t="str">
        <f>IFERROR(VLOOKUP($D69&amp;$C69,設定値!$B$55:$N$85,6,FALSE)&amp;"","")</f>
        <v>insurancePeriod</v>
      </c>
      <c r="R69" s="19" t="s">
        <v>174</v>
      </c>
      <c r="S69" s="19" t="str">
        <f>IFERROR(VLOOKUP($D69&amp;$C69,設定値!$B$55:$N$85,7,FALSE)&amp;"","")</f>
        <v>paymentPeriodClass</v>
      </c>
      <c r="T69" s="19" t="s">
        <v>240</v>
      </c>
      <c r="U69" s="19" t="str">
        <f>IFERROR(VLOOKUP($D69&amp;$C69,設定値!$B$55:$N$85,8,FALSE)&amp;"","")</f>
        <v>paymentPeriod</v>
      </c>
      <c r="V69" s="19" t="s">
        <v>174</v>
      </c>
      <c r="W69" s="19" t="str">
        <f>IFERROR(VLOOKUP($D69&amp;$C69,設定値!$B$55:$N$85,9,FALSE)&amp;"","")</f>
        <v>freeOfPremiumRiderCls</v>
      </c>
      <c r="X69" s="19" t="s">
        <v>246</v>
      </c>
      <c r="Y69" s="19" t="str">
        <f>IFERROR(VLOOKUP($D69&amp;$C69,設定値!$B$55:$N$85,10,FALSE)&amp;"","")</f>
        <v/>
      </c>
      <c r="Z69" s="19"/>
      <c r="AA69" s="19" t="str">
        <f>IFERROR(VLOOKUP($D69&amp;$C69,設定値!$B$55:$N$85,11,FALSE)&amp;"","")</f>
        <v/>
      </c>
      <c r="AB69" s="19"/>
      <c r="AC69" s="19" t="str">
        <f>IFERROR(VLOOKUP($D69&amp;$C69,設定値!$B$55:$N$85,12,FALSE)&amp;"","")</f>
        <v/>
      </c>
      <c r="AD69" s="19"/>
      <c r="AE69" s="19" t="str">
        <f>IFERROR(VLOOKUP($D69&amp;$C69,設定値!$B$55:$N$85,13,FALSE)&amp;"","")</f>
        <v/>
      </c>
      <c r="AF69" s="19"/>
    </row>
    <row r="70" spans="1:32" ht="15">
      <c r="A70" s="27" t="s">
        <v>118</v>
      </c>
      <c r="B70" s="7" t="s">
        <v>169</v>
      </c>
      <c r="C70" s="27" t="s">
        <v>18</v>
      </c>
      <c r="D70" s="7" t="s">
        <v>224</v>
      </c>
      <c r="E70" s="7" t="str">
        <f t="shared" si="1"/>
        <v>310</v>
      </c>
      <c r="F70" s="20" t="s">
        <v>44</v>
      </c>
      <c r="G70" s="19" t="str">
        <f>IFERROR(VLOOKUP(D70&amp;C70,設定値!$B$55:$L$85,3,FALSE),"")</f>
        <v>引受緩和型３大疾病一時給付保険（無解約払戻金型）</v>
      </c>
      <c r="H70" s="8" t="s">
        <v>18</v>
      </c>
      <c r="I70" s="8" t="s">
        <v>100</v>
      </c>
      <c r="J70" s="8" t="s">
        <v>171</v>
      </c>
      <c r="K70" s="26"/>
      <c r="L70" s="19">
        <v>0</v>
      </c>
      <c r="M70" s="19" t="str">
        <f>IFERROR(VLOOKUP($D70&amp;$C70,設定値!$B$55:$N$85,4,FALSE)&amp;"","")</f>
        <v>benefit</v>
      </c>
      <c r="N70" s="19">
        <v>300000</v>
      </c>
      <c r="O70" s="19" t="str">
        <f>IFERROR(VLOOKUP($D70&amp;$C70,設定値!$B$55:$N$85,5,FALSE)&amp;"","")</f>
        <v>insurancePeriodClass</v>
      </c>
      <c r="P70" s="19" t="s">
        <v>240</v>
      </c>
      <c r="Q70" s="19" t="str">
        <f>IFERROR(VLOOKUP($D70&amp;$C70,設定値!$B$55:$N$85,6,FALSE)&amp;"","")</f>
        <v>insurancePeriod</v>
      </c>
      <c r="R70" s="19" t="s">
        <v>174</v>
      </c>
      <c r="S70" s="19" t="str">
        <f>IFERROR(VLOOKUP($D70&amp;$C70,設定値!$B$55:$N$85,7,FALSE)&amp;"","")</f>
        <v>paymentPeriodClass</v>
      </c>
      <c r="T70" s="19" t="s">
        <v>240</v>
      </c>
      <c r="U70" s="19" t="str">
        <f>IFERROR(VLOOKUP($D70&amp;$C70,設定値!$B$55:$N$85,8,FALSE)&amp;"","")</f>
        <v>paymentPeriod</v>
      </c>
      <c r="V70" s="19" t="s">
        <v>174</v>
      </c>
      <c r="W70" s="19" t="str">
        <f>IFERROR(VLOOKUP($D70&amp;$C70,設定値!$B$55:$N$85,9,FALSE)&amp;"","")</f>
        <v>benefitFirstPayConvCls</v>
      </c>
      <c r="X70" s="19" t="s">
        <v>18</v>
      </c>
      <c r="Y70" s="19" t="str">
        <f>IFERROR(VLOOKUP($D70&amp;$C70,設定値!$B$55:$N$85,10,FALSE)&amp;"","")</f>
        <v>freeOfPRiderFlg</v>
      </c>
      <c r="Z70" s="19" t="s">
        <v>18</v>
      </c>
      <c r="AA70" s="19" t="str">
        <f>IFERROR(VLOOKUP($D70&amp;$C70,設定値!$B$55:$N$85,11,FALSE)&amp;"","")</f>
        <v>freeOfPremiumRiderCls</v>
      </c>
      <c r="AB70" s="19" t="s">
        <v>246</v>
      </c>
      <c r="AC70" s="19" t="str">
        <f>IFERROR(VLOOKUP($D70&amp;$C70,設定値!$B$55:$N$85,12,FALSE)&amp;"","")</f>
        <v/>
      </c>
      <c r="AD70" s="19"/>
      <c r="AE70" s="19" t="str">
        <f>IFERROR(VLOOKUP($D70&amp;$C70,設定値!$B$55:$N$85,13,FALSE)&amp;"","")</f>
        <v/>
      </c>
      <c r="AF70" s="19"/>
    </row>
    <row r="71" spans="1:32" ht="15">
      <c r="A71" s="27" t="s">
        <v>118</v>
      </c>
      <c r="B71" s="7" t="s">
        <v>169</v>
      </c>
      <c r="C71" s="27" t="s">
        <v>211</v>
      </c>
      <c r="D71" s="7" t="s">
        <v>225</v>
      </c>
      <c r="E71" s="7" t="str">
        <f t="shared" si="1"/>
        <v>D10</v>
      </c>
      <c r="F71" s="20" t="s">
        <v>44</v>
      </c>
      <c r="G71" s="19" t="str">
        <f>IFERROR(VLOOKUP(D71&amp;C71,設定値!$B$55:$L$85,3,FALSE),"")</f>
        <v>引受緩和型がん一時給付特約</v>
      </c>
      <c r="H71" s="8" t="s">
        <v>18</v>
      </c>
      <c r="I71" s="8" t="s">
        <v>100</v>
      </c>
      <c r="J71" s="8" t="s">
        <v>171</v>
      </c>
      <c r="K71" s="26"/>
      <c r="L71" s="19"/>
      <c r="M71" s="19" t="str">
        <f>IFERROR(VLOOKUP($D71&amp;$C71,設定値!$B$55:$N$85,4,FALSE)&amp;"","")</f>
        <v>benefit</v>
      </c>
      <c r="N71" s="19">
        <v>100000</v>
      </c>
      <c r="O71" s="19" t="str">
        <f>IFERROR(VLOOKUP($D71&amp;$C71,設定値!$B$55:$N$85,5,FALSE)&amp;"","")</f>
        <v>insurancePeriodClass</v>
      </c>
      <c r="P71" s="19" t="s">
        <v>240</v>
      </c>
      <c r="Q71" s="19" t="str">
        <f>IFERROR(VLOOKUP($D71&amp;$C71,設定値!$B$55:$N$85,6,FALSE)&amp;"","")</f>
        <v>insurancePeriod</v>
      </c>
      <c r="R71" s="19" t="s">
        <v>174</v>
      </c>
      <c r="S71" s="19" t="str">
        <f>IFERROR(VLOOKUP($D71&amp;$C71,設定値!$B$55:$N$85,7,FALSE)&amp;"","")</f>
        <v>paymentPeriodClass</v>
      </c>
      <c r="T71" s="19" t="s">
        <v>240</v>
      </c>
      <c r="U71" s="19" t="str">
        <f>IFERROR(VLOOKUP($D71&amp;$C71,設定値!$B$55:$N$85,8,FALSE)&amp;"","")</f>
        <v>paymentPeriod</v>
      </c>
      <c r="V71" s="19" t="s">
        <v>174</v>
      </c>
      <c r="W71" s="19" t="str">
        <f>IFERROR(VLOOKUP($D71&amp;$C71,設定値!$B$55:$N$85,9,FALSE)&amp;"","")</f>
        <v/>
      </c>
      <c r="X71" s="19"/>
      <c r="Y71" s="19" t="str">
        <f>IFERROR(VLOOKUP($D71&amp;$C71,設定値!$B$55:$N$85,10,FALSE)&amp;"","")</f>
        <v/>
      </c>
      <c r="Z71" s="19"/>
      <c r="AA71" s="19" t="str">
        <f>IFERROR(VLOOKUP($D71&amp;$C71,設定値!$B$55:$N$85,11,FALSE)&amp;"","")</f>
        <v/>
      </c>
      <c r="AB71" s="19"/>
      <c r="AC71" s="19" t="str">
        <f>IFERROR(VLOOKUP($D71&amp;$C71,設定値!$B$55:$N$85,12,FALSE)&amp;"","")</f>
        <v/>
      </c>
      <c r="AD71" s="19"/>
      <c r="AE71" s="19" t="str">
        <f>IFERROR(VLOOKUP($D71&amp;$C71,設定値!$B$55:$N$85,13,FALSE)&amp;"","")</f>
        <v/>
      </c>
      <c r="AF71" s="19"/>
    </row>
    <row r="72" spans="1:32" ht="15">
      <c r="A72" s="27" t="s">
        <v>118</v>
      </c>
      <c r="B72" s="7" t="s">
        <v>169</v>
      </c>
      <c r="C72" s="27" t="s">
        <v>211</v>
      </c>
      <c r="D72" s="7" t="s">
        <v>220</v>
      </c>
      <c r="E72" s="7" t="str">
        <f t="shared" si="1"/>
        <v>D10</v>
      </c>
      <c r="F72" s="20" t="s">
        <v>44</v>
      </c>
      <c r="G72" s="19" t="str">
        <f>IFERROR(VLOOKUP(D72&amp;C72,設定値!$B$55:$L$85,3,FALSE),"")</f>
        <v>引受緩和型先進医療特約</v>
      </c>
      <c r="H72" s="8" t="s">
        <v>18</v>
      </c>
      <c r="I72" s="8" t="s">
        <v>100</v>
      </c>
      <c r="J72" s="8" t="s">
        <v>171</v>
      </c>
      <c r="K72" s="26"/>
      <c r="L72" s="19"/>
      <c r="M72" s="19" t="str">
        <f>IFERROR(VLOOKUP($D72&amp;$C72,設定値!$B$55:$N$85,4,FALSE)&amp;"","")</f>
        <v>additionType</v>
      </c>
      <c r="N72" s="19" t="s">
        <v>18</v>
      </c>
      <c r="O72" s="19" t="str">
        <f>IFERROR(VLOOKUP($D72&amp;$C72,設定値!$B$55:$N$85,5,FALSE)&amp;"","")</f>
        <v>insurancePeriodClass</v>
      </c>
      <c r="P72" s="19" t="s">
        <v>240</v>
      </c>
      <c r="Q72" s="19" t="str">
        <f>IFERROR(VLOOKUP($D72&amp;$C72,設定値!$B$55:$N$85,6,FALSE)&amp;"","")</f>
        <v>insurancePeriod</v>
      </c>
      <c r="R72" s="19" t="s">
        <v>174</v>
      </c>
      <c r="S72" s="19" t="str">
        <f>IFERROR(VLOOKUP($D72&amp;$C72,設定値!$B$55:$N$85,7,FALSE)&amp;"","")</f>
        <v>paymentPeriodClass</v>
      </c>
      <c r="T72" s="19" t="s">
        <v>240</v>
      </c>
      <c r="U72" s="19" t="str">
        <f>IFERROR(VLOOKUP($D72&amp;$C72,設定値!$B$55:$N$85,8,FALSE)&amp;"","")</f>
        <v>paymentPeriod</v>
      </c>
      <c r="V72" s="19" t="s">
        <v>174</v>
      </c>
      <c r="W72" s="19" t="str">
        <f>IFERROR(VLOOKUP($D72&amp;$C72,設定値!$B$55:$N$85,9,FALSE)&amp;"","")</f>
        <v/>
      </c>
      <c r="X72" s="19"/>
      <c r="Y72" s="19" t="str">
        <f>IFERROR(VLOOKUP($D72&amp;$C72,設定値!$B$55:$N$85,10,FALSE)&amp;"","")</f>
        <v/>
      </c>
      <c r="Z72" s="19"/>
      <c r="AA72" s="19" t="str">
        <f>IFERROR(VLOOKUP($D72&amp;$C72,設定値!$B$55:$N$85,11,FALSE)&amp;"","")</f>
        <v/>
      </c>
      <c r="AB72" s="19"/>
      <c r="AC72" s="19" t="str">
        <f>IFERROR(VLOOKUP($D72&amp;$C72,設定値!$B$55:$N$85,12,FALSE)&amp;"","")</f>
        <v/>
      </c>
      <c r="AD72" s="19"/>
      <c r="AE72" s="19" t="str">
        <f>IFERROR(VLOOKUP($D72&amp;$C72,設定値!$B$55:$N$85,13,FALSE)&amp;"","")</f>
        <v/>
      </c>
      <c r="AF72" s="19"/>
    </row>
    <row r="73" spans="1:32" ht="15">
      <c r="A73" s="27" t="s">
        <v>118</v>
      </c>
      <c r="B73" s="7" t="s">
        <v>169</v>
      </c>
      <c r="C73" s="27" t="s">
        <v>211</v>
      </c>
      <c r="D73" s="7" t="s">
        <v>223</v>
      </c>
      <c r="E73" s="7" t="str">
        <f t="shared" si="1"/>
        <v>D10</v>
      </c>
      <c r="F73" s="20" t="s">
        <v>44</v>
      </c>
      <c r="G73" s="19" t="str">
        <f>IFERROR(VLOOKUP(D73&amp;C73,設定値!$B$55:$L$85,3,FALSE),"")</f>
        <v>引受緩和型抗がん剤・ホルモン剤治療特約</v>
      </c>
      <c r="H73" s="8" t="s">
        <v>18</v>
      </c>
      <c r="I73" s="8" t="s">
        <v>100</v>
      </c>
      <c r="J73" s="8" t="s">
        <v>171</v>
      </c>
      <c r="K73" s="26"/>
      <c r="L73" s="19"/>
      <c r="M73" s="19" t="str">
        <f>IFERROR(VLOOKUP($D73&amp;$C73,設定値!$B$55:$N$85,4,FALSE)&amp;"","")</f>
        <v>benefit</v>
      </c>
      <c r="N73" s="19">
        <v>10000</v>
      </c>
      <c r="O73" s="19" t="str">
        <f>IFERROR(VLOOKUP($D73&amp;$C73,設定値!$B$55:$N$85,5,FALSE)&amp;"","")</f>
        <v>insurancePeriodClass</v>
      </c>
      <c r="P73" s="19" t="s">
        <v>240</v>
      </c>
      <c r="Q73" s="19" t="str">
        <f>IFERROR(VLOOKUP($D73&amp;$C73,設定値!$B$55:$N$85,6,FALSE)&amp;"","")</f>
        <v>insurancePeriod</v>
      </c>
      <c r="R73" s="19" t="s">
        <v>174</v>
      </c>
      <c r="S73" s="19" t="str">
        <f>IFERROR(VLOOKUP($D73&amp;$C73,設定値!$B$55:$N$85,7,FALSE)&amp;"","")</f>
        <v>paymentPeriodClass</v>
      </c>
      <c r="T73" s="19" t="s">
        <v>240</v>
      </c>
      <c r="U73" s="19" t="str">
        <f>IFERROR(VLOOKUP($D73&amp;$C73,設定値!$B$55:$N$85,8,FALSE)&amp;"","")</f>
        <v>paymentPeriod</v>
      </c>
      <c r="V73" s="19" t="s">
        <v>174</v>
      </c>
      <c r="W73" s="19" t="str">
        <f>IFERROR(VLOOKUP($D73&amp;$C73,設定値!$B$55:$N$85,9,FALSE)&amp;"","")</f>
        <v/>
      </c>
      <c r="X73" s="19"/>
      <c r="Y73" s="19" t="str">
        <f>IFERROR(VLOOKUP($D73&amp;$C73,設定値!$B$55:$N$85,10,FALSE)&amp;"","")</f>
        <v/>
      </c>
      <c r="Z73" s="19"/>
      <c r="AA73" s="19" t="str">
        <f>IFERROR(VLOOKUP($D73&amp;$C73,設定値!$B$55:$N$85,11,FALSE)&amp;"","")</f>
        <v/>
      </c>
      <c r="AB73" s="19"/>
      <c r="AC73" s="19" t="str">
        <f>IFERROR(VLOOKUP($D73&amp;$C73,設定値!$B$55:$N$85,12,FALSE)&amp;"","")</f>
        <v/>
      </c>
      <c r="AD73" s="19"/>
      <c r="AE73" s="19" t="str">
        <f>IFERROR(VLOOKUP($D73&amp;$C73,設定値!$B$55:$N$85,13,FALSE)&amp;"","")</f>
        <v/>
      </c>
      <c r="AF73" s="19"/>
    </row>
    <row r="74" spans="1:32" ht="15">
      <c r="A74" s="27" t="s">
        <v>118</v>
      </c>
      <c r="B74" s="7" t="s">
        <v>169</v>
      </c>
      <c r="C74" s="27" t="s">
        <v>221</v>
      </c>
      <c r="D74" s="7" t="s">
        <v>224</v>
      </c>
      <c r="E74" s="7" t="str">
        <f t="shared" si="1"/>
        <v>D10</v>
      </c>
      <c r="F74" s="20" t="s">
        <v>44</v>
      </c>
      <c r="G74" s="19" t="str">
        <f>IFERROR(VLOOKUP(D74&amp;C74,設定値!$B$55:$L$85,3,FALSE),"")</f>
        <v>引受緩和型３大疾病保険料払込免除特約</v>
      </c>
      <c r="H74" s="8" t="s">
        <v>18</v>
      </c>
      <c r="I74" s="8" t="s">
        <v>100</v>
      </c>
      <c r="J74" s="8" t="s">
        <v>171</v>
      </c>
      <c r="K74" s="26"/>
      <c r="L74" s="19"/>
      <c r="M74" s="19" t="str">
        <f>IFERROR(VLOOKUP($D74&amp;$C74,設定値!$B$55:$N$85,4,FALSE)&amp;"","")</f>
        <v>additionType</v>
      </c>
      <c r="N74" s="19" t="s">
        <v>18</v>
      </c>
      <c r="O74" s="19" t="str">
        <f>IFERROR(VLOOKUP($D74&amp;$C74,設定値!$B$55:$N$85,5,FALSE)&amp;"","")</f>
        <v>insurancePeriodClass</v>
      </c>
      <c r="P74" s="19" t="s">
        <v>240</v>
      </c>
      <c r="Q74" s="19" t="str">
        <f>IFERROR(VLOOKUP($D74&amp;$C74,設定値!$B$55:$N$85,6,FALSE)&amp;"","")</f>
        <v>insurancePeriod</v>
      </c>
      <c r="R74" s="19" t="s">
        <v>174</v>
      </c>
      <c r="S74" s="19" t="str">
        <f>IFERROR(VLOOKUP($D74&amp;$C74,設定値!$B$55:$N$85,7,FALSE)&amp;"","")</f>
        <v>paymentPeriodClass</v>
      </c>
      <c r="T74" s="19" t="s">
        <v>240</v>
      </c>
      <c r="U74" s="19" t="str">
        <f>IFERROR(VLOOKUP($D74&amp;$C74,設定値!$B$55:$N$85,8,FALSE)&amp;"","")</f>
        <v>paymentPeriod</v>
      </c>
      <c r="V74" s="19" t="s">
        <v>174</v>
      </c>
      <c r="W74" s="19" t="str">
        <f>IFERROR(VLOOKUP($D74&amp;$C74,設定値!$B$55:$N$85,9,FALSE)&amp;"","")</f>
        <v>freeOfPremiumRiderCls</v>
      </c>
      <c r="X74" s="19" t="s">
        <v>246</v>
      </c>
      <c r="Y74" s="19" t="str">
        <f>IFERROR(VLOOKUP($D74&amp;$C74,設定値!$B$55:$N$85,10,FALSE)&amp;"","")</f>
        <v/>
      </c>
      <c r="Z74" s="19"/>
      <c r="AA74" s="19" t="str">
        <f>IFERROR(VLOOKUP($D74&amp;$C74,設定値!$B$55:$N$85,11,FALSE)&amp;"","")</f>
        <v/>
      </c>
      <c r="AB74" s="19"/>
      <c r="AC74" s="19" t="str">
        <f>IFERROR(VLOOKUP($D74&amp;$C74,設定値!$B$55:$N$85,12,FALSE)&amp;"","")</f>
        <v/>
      </c>
      <c r="AD74" s="19"/>
      <c r="AE74" s="19" t="str">
        <f>IFERROR(VLOOKUP($D74&amp;$C74,設定値!$B$55:$N$85,13,FALSE)&amp;"","")</f>
        <v/>
      </c>
      <c r="AF74" s="19"/>
    </row>
    <row r="75" spans="1:32" ht="15">
      <c r="A75" s="27" t="s">
        <v>213</v>
      </c>
      <c r="B75" s="7" t="s">
        <v>169</v>
      </c>
      <c r="C75" s="27" t="s">
        <v>18</v>
      </c>
      <c r="D75" s="7" t="s">
        <v>224</v>
      </c>
      <c r="E75" s="7" t="str">
        <f t="shared" si="1"/>
        <v>310</v>
      </c>
      <c r="F75" s="20" t="s">
        <v>44</v>
      </c>
      <c r="G75" s="19" t="str">
        <f>IFERROR(VLOOKUP(D75&amp;C75,設定値!$B$55:$L$85,3,FALSE),"")</f>
        <v>引受緩和型３大疾病一時給付保険（無解約払戻金型）</v>
      </c>
      <c r="H75" s="8" t="s">
        <v>18</v>
      </c>
      <c r="I75" s="8" t="s">
        <v>100</v>
      </c>
      <c r="J75" s="8" t="s">
        <v>171</v>
      </c>
      <c r="K75" s="26"/>
      <c r="L75" s="19">
        <v>0</v>
      </c>
      <c r="M75" s="19" t="str">
        <f>IFERROR(VLOOKUP($D75&amp;$C75,設定値!$B$55:$N$85,4,FALSE)&amp;"","")</f>
        <v>benefit</v>
      </c>
      <c r="N75" s="19">
        <v>300000</v>
      </c>
      <c r="O75" s="19" t="str">
        <f>IFERROR(VLOOKUP($D75&amp;$C75,設定値!$B$55:$N$85,5,FALSE)&amp;"","")</f>
        <v>insurancePeriodClass</v>
      </c>
      <c r="P75" s="19" t="s">
        <v>240</v>
      </c>
      <c r="Q75" s="19" t="str">
        <f>IFERROR(VLOOKUP($D75&amp;$C75,設定値!$B$55:$N$85,6,FALSE)&amp;"","")</f>
        <v>insurancePeriod</v>
      </c>
      <c r="R75" s="19" t="s">
        <v>174</v>
      </c>
      <c r="S75" s="19" t="str">
        <f>IFERROR(VLOOKUP($D75&amp;$C75,設定値!$B$55:$N$85,7,FALSE)&amp;"","")</f>
        <v>paymentPeriodClass</v>
      </c>
      <c r="T75" s="19" t="s">
        <v>240</v>
      </c>
      <c r="U75" s="19" t="str">
        <f>IFERROR(VLOOKUP($D75&amp;$C75,設定値!$B$55:$N$85,8,FALSE)&amp;"","")</f>
        <v>paymentPeriod</v>
      </c>
      <c r="V75" s="19" t="s">
        <v>174</v>
      </c>
      <c r="W75" s="19" t="str">
        <f>IFERROR(VLOOKUP($D75&amp;$C75,設定値!$B$55:$N$85,9,FALSE)&amp;"","")</f>
        <v>benefitFirstPayConvCls</v>
      </c>
      <c r="X75" s="19" t="s">
        <v>18</v>
      </c>
      <c r="Y75" s="19" t="str">
        <f>IFERROR(VLOOKUP($D75&amp;$C75,設定値!$B$55:$N$85,10,FALSE)&amp;"","")</f>
        <v>freeOfPRiderFlg</v>
      </c>
      <c r="Z75" s="19" t="s">
        <v>18</v>
      </c>
      <c r="AA75" s="19" t="str">
        <f>IFERROR(VLOOKUP($D75&amp;$C75,設定値!$B$55:$N$85,11,FALSE)&amp;"","")</f>
        <v>freeOfPremiumRiderCls</v>
      </c>
      <c r="AB75" s="19" t="s">
        <v>246</v>
      </c>
      <c r="AC75" s="19" t="str">
        <f>IFERROR(VLOOKUP($D75&amp;$C75,設定値!$B$55:$N$85,12,FALSE)&amp;"","")</f>
        <v/>
      </c>
      <c r="AD75" s="19"/>
      <c r="AE75" s="19" t="str">
        <f>IFERROR(VLOOKUP($D75&amp;$C75,設定値!$B$55:$N$85,13,FALSE)&amp;"","")</f>
        <v/>
      </c>
      <c r="AF75" s="19"/>
    </row>
    <row r="76" spans="1:32" ht="15">
      <c r="A76" s="27" t="s">
        <v>213</v>
      </c>
      <c r="B76" s="7" t="s">
        <v>169</v>
      </c>
      <c r="C76" s="27" t="s">
        <v>211</v>
      </c>
      <c r="D76" s="7" t="s">
        <v>225</v>
      </c>
      <c r="E76" s="7" t="str">
        <f t="shared" si="1"/>
        <v>D10</v>
      </c>
      <c r="F76" s="20" t="s">
        <v>44</v>
      </c>
      <c r="G76" s="19" t="str">
        <f>IFERROR(VLOOKUP(D76&amp;C76,設定値!$B$55:$L$85,3,FALSE),"")</f>
        <v>引受緩和型がん一時給付特約</v>
      </c>
      <c r="H76" s="8" t="s">
        <v>18</v>
      </c>
      <c r="I76" s="8" t="s">
        <v>100</v>
      </c>
      <c r="J76" s="8" t="s">
        <v>171</v>
      </c>
      <c r="K76" s="26"/>
      <c r="L76" s="19"/>
      <c r="M76" s="19" t="str">
        <f>IFERROR(VLOOKUP($D76&amp;$C76,設定値!$B$55:$N$85,4,FALSE)&amp;"","")</f>
        <v>benefit</v>
      </c>
      <c r="N76" s="19">
        <v>100000</v>
      </c>
      <c r="O76" s="19" t="str">
        <f>IFERROR(VLOOKUP($D76&amp;$C76,設定値!$B$55:$N$85,5,FALSE)&amp;"","")</f>
        <v>insurancePeriodClass</v>
      </c>
      <c r="P76" s="19" t="s">
        <v>240</v>
      </c>
      <c r="Q76" s="19" t="str">
        <f>IFERROR(VLOOKUP($D76&amp;$C76,設定値!$B$55:$N$85,6,FALSE)&amp;"","")</f>
        <v>insurancePeriod</v>
      </c>
      <c r="R76" s="19" t="s">
        <v>174</v>
      </c>
      <c r="S76" s="19" t="str">
        <f>IFERROR(VLOOKUP($D76&amp;$C76,設定値!$B$55:$N$85,7,FALSE)&amp;"","")</f>
        <v>paymentPeriodClass</v>
      </c>
      <c r="T76" s="19" t="s">
        <v>240</v>
      </c>
      <c r="U76" s="19" t="str">
        <f>IFERROR(VLOOKUP($D76&amp;$C76,設定値!$B$55:$N$85,8,FALSE)&amp;"","")</f>
        <v>paymentPeriod</v>
      </c>
      <c r="V76" s="19" t="s">
        <v>174</v>
      </c>
      <c r="W76" s="19" t="str">
        <f>IFERROR(VLOOKUP($D76&amp;$C76,設定値!$B$55:$N$85,9,FALSE)&amp;"","")</f>
        <v/>
      </c>
      <c r="X76" s="19"/>
      <c r="Y76" s="19" t="str">
        <f>IFERROR(VLOOKUP($D76&amp;$C76,設定値!$B$55:$N$85,10,FALSE)&amp;"","")</f>
        <v/>
      </c>
      <c r="Z76" s="19"/>
      <c r="AA76" s="19" t="str">
        <f>IFERROR(VLOOKUP($D76&amp;$C76,設定値!$B$55:$N$85,11,FALSE)&amp;"","")</f>
        <v/>
      </c>
      <c r="AB76" s="19"/>
      <c r="AC76" s="19" t="str">
        <f>IFERROR(VLOOKUP($D76&amp;$C76,設定値!$B$55:$N$85,12,FALSE)&amp;"","")</f>
        <v/>
      </c>
      <c r="AD76" s="19"/>
      <c r="AE76" s="19" t="str">
        <f>IFERROR(VLOOKUP($D76&amp;$C76,設定値!$B$55:$N$85,13,FALSE)&amp;"","")</f>
        <v/>
      </c>
      <c r="AF76" s="19"/>
    </row>
    <row r="77" spans="1:32" ht="15">
      <c r="A77" s="27" t="s">
        <v>213</v>
      </c>
      <c r="B77" s="7" t="s">
        <v>169</v>
      </c>
      <c r="C77" s="27" t="s">
        <v>211</v>
      </c>
      <c r="D77" s="7" t="s">
        <v>220</v>
      </c>
      <c r="E77" s="7" t="str">
        <f t="shared" si="1"/>
        <v>D10</v>
      </c>
      <c r="F77" s="20" t="s">
        <v>44</v>
      </c>
      <c r="G77" s="19" t="str">
        <f>IFERROR(VLOOKUP(D77&amp;C77,設定値!$B$55:$L$85,3,FALSE),"")</f>
        <v>引受緩和型先進医療特約</v>
      </c>
      <c r="H77" s="8" t="s">
        <v>18</v>
      </c>
      <c r="I77" s="8" t="s">
        <v>100</v>
      </c>
      <c r="J77" s="8" t="s">
        <v>171</v>
      </c>
      <c r="K77" s="26"/>
      <c r="L77" s="19"/>
      <c r="M77" s="19" t="str">
        <f>IFERROR(VLOOKUP($D77&amp;$C77,設定値!$B$55:$N$85,4,FALSE)&amp;"","")</f>
        <v>additionType</v>
      </c>
      <c r="N77" s="19" t="s">
        <v>18</v>
      </c>
      <c r="O77" s="19" t="str">
        <f>IFERROR(VLOOKUP($D77&amp;$C77,設定値!$B$55:$N$85,5,FALSE)&amp;"","")</f>
        <v>insurancePeriodClass</v>
      </c>
      <c r="P77" s="19" t="s">
        <v>240</v>
      </c>
      <c r="Q77" s="19" t="str">
        <f>IFERROR(VLOOKUP($D77&amp;$C77,設定値!$B$55:$N$85,6,FALSE)&amp;"","")</f>
        <v>insurancePeriod</v>
      </c>
      <c r="R77" s="19" t="s">
        <v>174</v>
      </c>
      <c r="S77" s="19" t="str">
        <f>IFERROR(VLOOKUP($D77&amp;$C77,設定値!$B$55:$N$85,7,FALSE)&amp;"","")</f>
        <v>paymentPeriodClass</v>
      </c>
      <c r="T77" s="19" t="s">
        <v>240</v>
      </c>
      <c r="U77" s="19" t="str">
        <f>IFERROR(VLOOKUP($D77&amp;$C77,設定値!$B$55:$N$85,8,FALSE)&amp;"","")</f>
        <v>paymentPeriod</v>
      </c>
      <c r="V77" s="19" t="s">
        <v>174</v>
      </c>
      <c r="W77" s="19" t="str">
        <f>IFERROR(VLOOKUP($D77&amp;$C77,設定値!$B$55:$N$85,9,FALSE)&amp;"","")</f>
        <v/>
      </c>
      <c r="X77" s="19"/>
      <c r="Y77" s="19" t="str">
        <f>IFERROR(VLOOKUP($D77&amp;$C77,設定値!$B$55:$N$85,10,FALSE)&amp;"","")</f>
        <v/>
      </c>
      <c r="Z77" s="19"/>
      <c r="AA77" s="19" t="str">
        <f>IFERROR(VLOOKUP($D77&amp;$C77,設定値!$B$55:$N$85,11,FALSE)&amp;"","")</f>
        <v/>
      </c>
      <c r="AB77" s="19"/>
      <c r="AC77" s="19" t="str">
        <f>IFERROR(VLOOKUP($D77&amp;$C77,設定値!$B$55:$N$85,12,FALSE)&amp;"","")</f>
        <v/>
      </c>
      <c r="AD77" s="19"/>
      <c r="AE77" s="19" t="str">
        <f>IFERROR(VLOOKUP($D77&amp;$C77,設定値!$B$55:$N$85,13,FALSE)&amp;"","")</f>
        <v/>
      </c>
      <c r="AF77" s="19"/>
    </row>
    <row r="78" spans="1:32" ht="15">
      <c r="A78" s="27" t="s">
        <v>213</v>
      </c>
      <c r="B78" s="7" t="s">
        <v>169</v>
      </c>
      <c r="C78" s="27" t="s">
        <v>211</v>
      </c>
      <c r="D78" s="7" t="s">
        <v>223</v>
      </c>
      <c r="E78" s="7" t="str">
        <f t="shared" si="1"/>
        <v>D10</v>
      </c>
      <c r="F78" s="20" t="s">
        <v>44</v>
      </c>
      <c r="G78" s="19" t="str">
        <f>IFERROR(VLOOKUP(D78&amp;C78,設定値!$B$55:$L$85,3,FALSE),"")</f>
        <v>引受緩和型抗がん剤・ホルモン剤治療特約</v>
      </c>
      <c r="H78" s="8" t="s">
        <v>18</v>
      </c>
      <c r="I78" s="8" t="s">
        <v>100</v>
      </c>
      <c r="J78" s="8" t="s">
        <v>171</v>
      </c>
      <c r="K78" s="26"/>
      <c r="L78" s="19"/>
      <c r="M78" s="19" t="str">
        <f>IFERROR(VLOOKUP($D78&amp;$C78,設定値!$B$55:$N$85,4,FALSE)&amp;"","")</f>
        <v>benefit</v>
      </c>
      <c r="N78" s="19">
        <v>10000</v>
      </c>
      <c r="O78" s="19" t="str">
        <f>IFERROR(VLOOKUP($D78&amp;$C78,設定値!$B$55:$N$85,5,FALSE)&amp;"","")</f>
        <v>insurancePeriodClass</v>
      </c>
      <c r="P78" s="19" t="s">
        <v>240</v>
      </c>
      <c r="Q78" s="19" t="str">
        <f>IFERROR(VLOOKUP($D78&amp;$C78,設定値!$B$55:$N$85,6,FALSE)&amp;"","")</f>
        <v>insurancePeriod</v>
      </c>
      <c r="R78" s="19" t="s">
        <v>174</v>
      </c>
      <c r="S78" s="19" t="str">
        <f>IFERROR(VLOOKUP($D78&amp;$C78,設定値!$B$55:$N$85,7,FALSE)&amp;"","")</f>
        <v>paymentPeriodClass</v>
      </c>
      <c r="T78" s="19" t="s">
        <v>240</v>
      </c>
      <c r="U78" s="19" t="str">
        <f>IFERROR(VLOOKUP($D78&amp;$C78,設定値!$B$55:$N$85,8,FALSE)&amp;"","")</f>
        <v>paymentPeriod</v>
      </c>
      <c r="V78" s="19" t="s">
        <v>174</v>
      </c>
      <c r="W78" s="19" t="str">
        <f>IFERROR(VLOOKUP($D78&amp;$C78,設定値!$B$55:$N$85,9,FALSE)&amp;"","")</f>
        <v/>
      </c>
      <c r="X78" s="19"/>
      <c r="Y78" s="19" t="str">
        <f>IFERROR(VLOOKUP($D78&amp;$C78,設定値!$B$55:$N$85,10,FALSE)&amp;"","")</f>
        <v/>
      </c>
      <c r="Z78" s="19"/>
      <c r="AA78" s="19" t="str">
        <f>IFERROR(VLOOKUP($D78&amp;$C78,設定値!$B$55:$N$85,11,FALSE)&amp;"","")</f>
        <v/>
      </c>
      <c r="AB78" s="19"/>
      <c r="AC78" s="19" t="str">
        <f>IFERROR(VLOOKUP($D78&amp;$C78,設定値!$B$55:$N$85,12,FALSE)&amp;"","")</f>
        <v/>
      </c>
      <c r="AD78" s="19"/>
      <c r="AE78" s="19" t="str">
        <f>IFERROR(VLOOKUP($D78&amp;$C78,設定値!$B$55:$N$85,13,FALSE)&amp;"","")</f>
        <v/>
      </c>
      <c r="AF78" s="19"/>
    </row>
    <row r="79" spans="1:32" ht="15">
      <c r="A79" s="27" t="s">
        <v>213</v>
      </c>
      <c r="B79" s="7" t="s">
        <v>169</v>
      </c>
      <c r="C79" s="27" t="s">
        <v>221</v>
      </c>
      <c r="D79" s="7" t="s">
        <v>224</v>
      </c>
      <c r="E79" s="7" t="str">
        <f t="shared" si="1"/>
        <v>D10</v>
      </c>
      <c r="F79" s="20" t="s">
        <v>44</v>
      </c>
      <c r="G79" s="19" t="str">
        <f>IFERROR(VLOOKUP(D79&amp;C79,設定値!$B$55:$L$85,3,FALSE),"")</f>
        <v>引受緩和型３大疾病保険料払込免除特約</v>
      </c>
      <c r="H79" s="8" t="s">
        <v>18</v>
      </c>
      <c r="I79" s="8" t="s">
        <v>100</v>
      </c>
      <c r="J79" s="8" t="s">
        <v>171</v>
      </c>
      <c r="K79" s="26"/>
      <c r="L79" s="19"/>
      <c r="M79" s="19" t="str">
        <f>IFERROR(VLOOKUP($D79&amp;$C79,設定値!$B$55:$N$85,4,FALSE)&amp;"","")</f>
        <v>additionType</v>
      </c>
      <c r="N79" s="19" t="s">
        <v>18</v>
      </c>
      <c r="O79" s="19" t="str">
        <f>IFERROR(VLOOKUP($D79&amp;$C79,設定値!$B$55:$N$85,5,FALSE)&amp;"","")</f>
        <v>insurancePeriodClass</v>
      </c>
      <c r="P79" s="19" t="s">
        <v>240</v>
      </c>
      <c r="Q79" s="19" t="str">
        <f>IFERROR(VLOOKUP($D79&amp;$C79,設定値!$B$55:$N$85,6,FALSE)&amp;"","")</f>
        <v>insurancePeriod</v>
      </c>
      <c r="R79" s="19" t="s">
        <v>174</v>
      </c>
      <c r="S79" s="19" t="str">
        <f>IFERROR(VLOOKUP($D79&amp;$C79,設定値!$B$55:$N$85,7,FALSE)&amp;"","")</f>
        <v>paymentPeriodClass</v>
      </c>
      <c r="T79" s="19" t="s">
        <v>240</v>
      </c>
      <c r="U79" s="19" t="str">
        <f>IFERROR(VLOOKUP($D79&amp;$C79,設定値!$B$55:$N$85,8,FALSE)&amp;"","")</f>
        <v>paymentPeriod</v>
      </c>
      <c r="V79" s="19" t="s">
        <v>174</v>
      </c>
      <c r="W79" s="19" t="str">
        <f>IFERROR(VLOOKUP($D79&amp;$C79,設定値!$B$55:$N$85,9,FALSE)&amp;"","")</f>
        <v>freeOfPremiumRiderCls</v>
      </c>
      <c r="X79" s="19" t="s">
        <v>246</v>
      </c>
      <c r="Y79" s="19" t="str">
        <f>IFERROR(VLOOKUP($D79&amp;$C79,設定値!$B$55:$N$85,10,FALSE)&amp;"","")</f>
        <v/>
      </c>
      <c r="Z79" s="19"/>
      <c r="AA79" s="19" t="str">
        <f>IFERROR(VLOOKUP($D79&amp;$C79,設定値!$B$55:$N$85,11,FALSE)&amp;"","")</f>
        <v/>
      </c>
      <c r="AB79" s="19"/>
      <c r="AC79" s="19" t="str">
        <f>IFERROR(VLOOKUP($D79&amp;$C79,設定値!$B$55:$N$85,12,FALSE)&amp;"","")</f>
        <v/>
      </c>
      <c r="AD79" s="19"/>
      <c r="AE79" s="19" t="str">
        <f>IFERROR(VLOOKUP($D79&amp;$C79,設定値!$B$55:$N$85,13,FALSE)&amp;"","")</f>
        <v/>
      </c>
      <c r="AF79" s="19"/>
    </row>
    <row r="80" spans="1:32" ht="15">
      <c r="A80" s="27" t="s">
        <v>18</v>
      </c>
      <c r="B80" s="7" t="s">
        <v>123</v>
      </c>
      <c r="C80" s="27" t="s">
        <v>18</v>
      </c>
      <c r="D80" s="7" t="s">
        <v>226</v>
      </c>
      <c r="E80" s="7" t="str">
        <f t="shared" si="1"/>
        <v>030</v>
      </c>
      <c r="F80" s="20" t="s">
        <v>44</v>
      </c>
      <c r="G80" s="19" t="str">
        <f>IFERROR(VLOOKUP(D80&amp;C80,設定値!$B$55:$L$85,3,FALSE),"")</f>
        <v>定期保険（無解約払戻金型）</v>
      </c>
      <c r="H80" s="8" t="s">
        <v>18</v>
      </c>
      <c r="I80" s="8" t="s">
        <v>100</v>
      </c>
      <c r="J80" s="8" t="s">
        <v>171</v>
      </c>
      <c r="K80" s="26">
        <v>0</v>
      </c>
      <c r="L80" s="19">
        <v>1</v>
      </c>
      <c r="M80" s="19" t="str">
        <f>IFERROR(VLOOKUP($D80&amp;$C80,設定値!$B$55:$N$85,4,FALSE)&amp;"","")</f>
        <v>benefit</v>
      </c>
      <c r="N80" s="19">
        <v>2000000</v>
      </c>
      <c r="O80" s="19" t="str">
        <f>IFERROR(VLOOKUP($D80&amp;$C80,設定値!$B$55:$N$85,5,FALSE)&amp;"","")</f>
        <v>insurancePeriodClass</v>
      </c>
      <c r="P80" s="19" t="s">
        <v>240</v>
      </c>
      <c r="Q80" s="19" t="str">
        <f>IFERROR(VLOOKUP($D80&amp;$C80,設定値!$B$55:$N$85,6,FALSE)&amp;"","")</f>
        <v>insurancePeriod</v>
      </c>
      <c r="R80" s="19" t="s">
        <v>174</v>
      </c>
      <c r="S80" s="19" t="str">
        <f>IFERROR(VLOOKUP($D80&amp;$C80,設定値!$B$55:$N$85,7,FALSE)&amp;"","")</f>
        <v>paymentPeriodClass</v>
      </c>
      <c r="T80" s="19" t="s">
        <v>240</v>
      </c>
      <c r="U80" s="19" t="str">
        <f>IFERROR(VLOOKUP($D80&amp;$C80,設定値!$B$55:$N$85,8,FALSE)&amp;"","")</f>
        <v>paymentPeriod</v>
      </c>
      <c r="V80" s="19" t="s">
        <v>174</v>
      </c>
      <c r="W80" s="19" t="str">
        <f>IFERROR(VLOOKUP($D80&amp;$C80,設定値!$B$55:$N$85,9,FALSE)&amp;"","")</f>
        <v>freeOfPRiderFlg</v>
      </c>
      <c r="X80" s="19" t="s">
        <v>18</v>
      </c>
      <c r="Y80" s="19" t="str">
        <f>IFERROR(VLOOKUP($D80&amp;$C80,設定値!$B$55:$N$85,10,FALSE)&amp;"","")</f>
        <v>freeOfPremiumRiderCls</v>
      </c>
      <c r="Z80" s="19" t="s">
        <v>245</v>
      </c>
      <c r="AA80" s="19" t="str">
        <f>IFERROR(VLOOKUP($D80&amp;$C80,設定値!$B$55:$N$85,11,FALSE)&amp;"","")</f>
        <v/>
      </c>
      <c r="AB80" s="19"/>
      <c r="AC80" s="19" t="str">
        <f>IFERROR(VLOOKUP($D80&amp;$C80,設定値!$B$55:$N$85,12,FALSE)&amp;"","")</f>
        <v/>
      </c>
      <c r="AD80" s="19"/>
      <c r="AE80" s="19" t="str">
        <f>IFERROR(VLOOKUP($D80&amp;$C80,設定値!$B$55:$N$85,13,FALSE)&amp;"","")</f>
        <v/>
      </c>
      <c r="AF80" s="19"/>
    </row>
    <row r="81" spans="1:32" ht="15">
      <c r="A81" s="27" t="s">
        <v>18</v>
      </c>
      <c r="B81" s="7" t="s">
        <v>123</v>
      </c>
      <c r="C81" s="27" t="s">
        <v>211</v>
      </c>
      <c r="D81" s="7" t="s">
        <v>226</v>
      </c>
      <c r="E81" s="7" t="str">
        <f t="shared" si="1"/>
        <v>030</v>
      </c>
      <c r="F81" s="20" t="s">
        <v>44</v>
      </c>
      <c r="G81" s="19" t="str">
        <f>IFERROR(VLOOKUP(D81&amp;C81,設定値!$B$55:$L$85,3,FALSE),"")</f>
        <v>３大疾病保険料払込免除特約</v>
      </c>
      <c r="H81" s="8" t="s">
        <v>18</v>
      </c>
      <c r="I81" s="8" t="s">
        <v>100</v>
      </c>
      <c r="J81" s="8" t="s">
        <v>171</v>
      </c>
      <c r="K81" s="26"/>
      <c r="L81" s="19"/>
      <c r="M81" s="19" t="str">
        <f>IFERROR(VLOOKUP($D81&amp;$C81,設定値!$B$55:$N$85,4,FALSE)&amp;"","")</f>
        <v>additionType</v>
      </c>
      <c r="N81" s="19" t="s">
        <v>18</v>
      </c>
      <c r="O81" s="19" t="str">
        <f>IFERROR(VLOOKUP($D81&amp;$C81,設定値!$B$55:$N$85,5,FALSE)&amp;"","")</f>
        <v>insurancePeriodClass</v>
      </c>
      <c r="P81" s="19" t="s">
        <v>240</v>
      </c>
      <c r="Q81" s="19" t="str">
        <f>IFERROR(VLOOKUP($D81&amp;$C81,設定値!$B$55:$N$85,6,FALSE)&amp;"","")</f>
        <v>insurancePeriod</v>
      </c>
      <c r="R81" s="19" t="s">
        <v>174</v>
      </c>
      <c r="S81" s="19" t="str">
        <f>IFERROR(VLOOKUP($D81&amp;$C81,設定値!$B$55:$N$85,7,FALSE)&amp;"","")</f>
        <v>paymentPeriodClass</v>
      </c>
      <c r="T81" s="19" t="s">
        <v>240</v>
      </c>
      <c r="U81" s="19" t="str">
        <f>IFERROR(VLOOKUP($D81&amp;$C81,設定値!$B$55:$N$85,8,FALSE)&amp;"","")</f>
        <v>paymentPeriod</v>
      </c>
      <c r="V81" s="19" t="s">
        <v>174</v>
      </c>
      <c r="W81" s="19" t="str">
        <f>IFERROR(VLOOKUP($D81&amp;$C81,設定値!$B$55:$N$85,9,FALSE)&amp;"","")</f>
        <v>freeOfPremiumRiderCls</v>
      </c>
      <c r="X81" s="19" t="s">
        <v>245</v>
      </c>
      <c r="Y81" s="19" t="str">
        <f>IFERROR(VLOOKUP($D81&amp;$C81,設定値!$B$55:$N$85,10,FALSE)&amp;"","")</f>
        <v/>
      </c>
      <c r="Z81" s="19"/>
      <c r="AA81" s="19" t="str">
        <f>IFERROR(VLOOKUP($D81&amp;$C81,設定値!$B$55:$N$85,11,FALSE)&amp;"","")</f>
        <v/>
      </c>
      <c r="AB81" s="19"/>
      <c r="AC81" s="19" t="str">
        <f>IFERROR(VLOOKUP($D81&amp;$C81,設定値!$B$55:$N$85,12,FALSE)&amp;"","")</f>
        <v/>
      </c>
      <c r="AD81" s="19"/>
      <c r="AE81" s="19" t="str">
        <f>IFERROR(VLOOKUP($D81&amp;$C81,設定値!$B$55:$N$85,13,FALSE)&amp;"","")</f>
        <v/>
      </c>
      <c r="AF81" s="19"/>
    </row>
    <row r="82" spans="1:32" ht="15">
      <c r="A82" s="27" t="s">
        <v>118</v>
      </c>
      <c r="B82" s="7" t="s">
        <v>123</v>
      </c>
      <c r="C82" s="27" t="s">
        <v>18</v>
      </c>
      <c r="D82" s="7" t="s">
        <v>226</v>
      </c>
      <c r="E82" s="7" t="str">
        <f t="shared" si="1"/>
        <v>030</v>
      </c>
      <c r="F82" s="20" t="s">
        <v>44</v>
      </c>
      <c r="G82" s="19" t="str">
        <f>IFERROR(VLOOKUP(D82&amp;C82,設定値!$B$55:$L$85,3,FALSE),"")</f>
        <v>定期保険（無解約払戻金型）</v>
      </c>
      <c r="H82" s="8" t="s">
        <v>18</v>
      </c>
      <c r="I82" s="8" t="s">
        <v>100</v>
      </c>
      <c r="J82" s="8" t="s">
        <v>171</v>
      </c>
      <c r="K82" s="26"/>
      <c r="L82" s="19">
        <v>0</v>
      </c>
      <c r="M82" s="19" t="str">
        <f>IFERROR(VLOOKUP($D82&amp;$C82,設定値!$B$55:$N$85,4,FALSE)&amp;"","")</f>
        <v>benefit</v>
      </c>
      <c r="N82" s="19">
        <v>2000000</v>
      </c>
      <c r="O82" s="19" t="str">
        <f>IFERROR(VLOOKUP($D82&amp;$C82,設定値!$B$55:$N$85,5,FALSE)&amp;"","")</f>
        <v>insurancePeriodClass</v>
      </c>
      <c r="P82" s="19" t="s">
        <v>240</v>
      </c>
      <c r="Q82" s="19" t="str">
        <f>IFERROR(VLOOKUP($D82&amp;$C82,設定値!$B$55:$N$85,6,FALSE)&amp;"","")</f>
        <v>insurancePeriod</v>
      </c>
      <c r="R82" s="19" t="s">
        <v>174</v>
      </c>
      <c r="S82" s="19" t="str">
        <f>IFERROR(VLOOKUP($D82&amp;$C82,設定値!$B$55:$N$85,7,FALSE)&amp;"","")</f>
        <v>paymentPeriodClass</v>
      </c>
      <c r="T82" s="19" t="s">
        <v>240</v>
      </c>
      <c r="U82" s="19" t="str">
        <f>IFERROR(VLOOKUP($D82&amp;$C82,設定値!$B$55:$N$85,8,FALSE)&amp;"","")</f>
        <v>paymentPeriod</v>
      </c>
      <c r="V82" s="19" t="s">
        <v>174</v>
      </c>
      <c r="W82" s="19" t="str">
        <f>IFERROR(VLOOKUP($D82&amp;$C82,設定値!$B$55:$N$85,9,FALSE)&amp;"","")</f>
        <v>freeOfPRiderFlg</v>
      </c>
      <c r="X82" s="19" t="s">
        <v>18</v>
      </c>
      <c r="Y82" s="19" t="str">
        <f>IFERROR(VLOOKUP($D82&amp;$C82,設定値!$B$55:$N$85,10,FALSE)&amp;"","")</f>
        <v>freeOfPremiumRiderCls</v>
      </c>
      <c r="Z82" s="19" t="s">
        <v>245</v>
      </c>
      <c r="AA82" s="19" t="str">
        <f>IFERROR(VLOOKUP($D82&amp;$C82,設定値!$B$55:$N$85,11,FALSE)&amp;"","")</f>
        <v/>
      </c>
      <c r="AB82" s="19"/>
      <c r="AC82" s="19" t="str">
        <f>IFERROR(VLOOKUP($D82&amp;$C82,設定値!$B$55:$N$85,12,FALSE)&amp;"","")</f>
        <v/>
      </c>
      <c r="AD82" s="19"/>
      <c r="AE82" s="19" t="str">
        <f>IFERROR(VLOOKUP($D82&amp;$C82,設定値!$B$55:$N$85,13,FALSE)&amp;"","")</f>
        <v/>
      </c>
      <c r="AF82" s="19"/>
    </row>
    <row r="83" spans="1:32" ht="15">
      <c r="A83" s="27" t="s">
        <v>118</v>
      </c>
      <c r="B83" s="7" t="s">
        <v>123</v>
      </c>
      <c r="C83" s="27" t="s">
        <v>211</v>
      </c>
      <c r="D83" s="7" t="s">
        <v>226</v>
      </c>
      <c r="E83" s="7" t="str">
        <f t="shared" si="1"/>
        <v>030</v>
      </c>
      <c r="F83" s="20" t="s">
        <v>44</v>
      </c>
      <c r="G83" s="19" t="str">
        <f>IFERROR(VLOOKUP(D83&amp;C83,設定値!$B$55:$L$85,3,FALSE),"")</f>
        <v>３大疾病保険料払込免除特約</v>
      </c>
      <c r="H83" s="8" t="s">
        <v>18</v>
      </c>
      <c r="I83" s="8" t="s">
        <v>100</v>
      </c>
      <c r="J83" s="8" t="s">
        <v>171</v>
      </c>
      <c r="K83" s="26"/>
      <c r="L83" s="19"/>
      <c r="M83" s="19" t="str">
        <f>IFERROR(VLOOKUP($D83&amp;$C83,設定値!$B$55:$N$85,4,FALSE)&amp;"","")</f>
        <v>additionType</v>
      </c>
      <c r="N83" s="19" t="s">
        <v>18</v>
      </c>
      <c r="O83" s="19" t="str">
        <f>IFERROR(VLOOKUP($D83&amp;$C83,設定値!$B$55:$N$85,5,FALSE)&amp;"","")</f>
        <v>insurancePeriodClass</v>
      </c>
      <c r="P83" s="19" t="s">
        <v>240</v>
      </c>
      <c r="Q83" s="19" t="str">
        <f>IFERROR(VLOOKUP($D83&amp;$C83,設定値!$B$55:$N$85,6,FALSE)&amp;"","")</f>
        <v>insurancePeriod</v>
      </c>
      <c r="R83" s="19" t="s">
        <v>174</v>
      </c>
      <c r="S83" s="19" t="str">
        <f>IFERROR(VLOOKUP($D83&amp;$C83,設定値!$B$55:$N$85,7,FALSE)&amp;"","")</f>
        <v>paymentPeriodClass</v>
      </c>
      <c r="T83" s="19" t="s">
        <v>240</v>
      </c>
      <c r="U83" s="19" t="str">
        <f>IFERROR(VLOOKUP($D83&amp;$C83,設定値!$B$55:$N$85,8,FALSE)&amp;"","")</f>
        <v>paymentPeriod</v>
      </c>
      <c r="V83" s="19" t="s">
        <v>174</v>
      </c>
      <c r="W83" s="19" t="str">
        <f>IFERROR(VLOOKUP($D83&amp;$C83,設定値!$B$55:$N$85,9,FALSE)&amp;"","")</f>
        <v>freeOfPremiumRiderCls</v>
      </c>
      <c r="X83" s="19" t="s">
        <v>245</v>
      </c>
      <c r="Y83" s="19" t="str">
        <f>IFERROR(VLOOKUP($D83&amp;$C83,設定値!$B$55:$N$85,10,FALSE)&amp;"","")</f>
        <v/>
      </c>
      <c r="Z83" s="19"/>
      <c r="AA83" s="19" t="str">
        <f>IFERROR(VLOOKUP($D83&amp;$C83,設定値!$B$55:$N$85,11,FALSE)&amp;"","")</f>
        <v/>
      </c>
      <c r="AB83" s="19"/>
      <c r="AC83" s="19" t="str">
        <f>IFERROR(VLOOKUP($D83&amp;$C83,設定値!$B$55:$N$85,12,FALSE)&amp;"","")</f>
        <v/>
      </c>
      <c r="AD83" s="19"/>
      <c r="AE83" s="19" t="str">
        <f>IFERROR(VLOOKUP($D83&amp;$C83,設定値!$B$55:$N$85,13,FALSE)&amp;"","")</f>
        <v/>
      </c>
      <c r="AF83" s="19"/>
    </row>
    <row r="84" spans="1:32" ht="15">
      <c r="A84" s="27" t="s">
        <v>213</v>
      </c>
      <c r="B84" s="7" t="s">
        <v>123</v>
      </c>
      <c r="C84" s="27" t="s">
        <v>18</v>
      </c>
      <c r="D84" s="7" t="s">
        <v>226</v>
      </c>
      <c r="E84" s="7" t="str">
        <f t="shared" si="1"/>
        <v>030</v>
      </c>
      <c r="F84" s="20" t="s">
        <v>44</v>
      </c>
      <c r="G84" s="19" t="str">
        <f>IFERROR(VLOOKUP(D84&amp;C84,設定値!$B$55:$L$85,3,FALSE),"")</f>
        <v>定期保険（無解約払戻金型）</v>
      </c>
      <c r="H84" s="8" t="s">
        <v>18</v>
      </c>
      <c r="I84" s="8" t="s">
        <v>100</v>
      </c>
      <c r="J84" s="8" t="s">
        <v>171</v>
      </c>
      <c r="K84" s="26"/>
      <c r="L84" s="19">
        <v>0</v>
      </c>
      <c r="M84" s="19" t="str">
        <f>IFERROR(VLOOKUP($D84&amp;$C84,設定値!$B$55:$N$85,4,FALSE)&amp;"","")</f>
        <v>benefit</v>
      </c>
      <c r="N84" s="19">
        <v>2000000</v>
      </c>
      <c r="O84" s="19" t="str">
        <f>IFERROR(VLOOKUP($D84&amp;$C84,設定値!$B$55:$N$85,5,FALSE)&amp;"","")</f>
        <v>insurancePeriodClass</v>
      </c>
      <c r="P84" s="19" t="s">
        <v>240</v>
      </c>
      <c r="Q84" s="19" t="str">
        <f>IFERROR(VLOOKUP($D84&amp;$C84,設定値!$B$55:$N$85,6,FALSE)&amp;"","")</f>
        <v>insurancePeriod</v>
      </c>
      <c r="R84" s="19" t="s">
        <v>174</v>
      </c>
      <c r="S84" s="19" t="str">
        <f>IFERROR(VLOOKUP($D84&amp;$C84,設定値!$B$55:$N$85,7,FALSE)&amp;"","")</f>
        <v>paymentPeriodClass</v>
      </c>
      <c r="T84" s="19" t="s">
        <v>240</v>
      </c>
      <c r="U84" s="19" t="str">
        <f>IFERROR(VLOOKUP($D84&amp;$C84,設定値!$B$55:$N$85,8,FALSE)&amp;"","")</f>
        <v>paymentPeriod</v>
      </c>
      <c r="V84" s="19" t="s">
        <v>174</v>
      </c>
      <c r="W84" s="19" t="str">
        <f>IFERROR(VLOOKUP($D84&amp;$C84,設定値!$B$55:$N$85,9,FALSE)&amp;"","")</f>
        <v>freeOfPRiderFlg</v>
      </c>
      <c r="X84" s="19" t="s">
        <v>18</v>
      </c>
      <c r="Y84" s="19" t="str">
        <f>IFERROR(VLOOKUP($D84&amp;$C84,設定値!$B$55:$N$85,10,FALSE)&amp;"","")</f>
        <v>freeOfPremiumRiderCls</v>
      </c>
      <c r="Z84" s="19" t="s">
        <v>245</v>
      </c>
      <c r="AA84" s="19" t="str">
        <f>IFERROR(VLOOKUP($D84&amp;$C84,設定値!$B$55:$N$85,11,FALSE)&amp;"","")</f>
        <v/>
      </c>
      <c r="AB84" s="19"/>
      <c r="AC84" s="19" t="str">
        <f>IFERROR(VLOOKUP($D84&amp;$C84,設定値!$B$55:$N$85,12,FALSE)&amp;"","")</f>
        <v/>
      </c>
      <c r="AD84" s="19"/>
      <c r="AE84" s="19" t="str">
        <f>IFERROR(VLOOKUP($D84&amp;$C84,設定値!$B$55:$N$85,13,FALSE)&amp;"","")</f>
        <v/>
      </c>
      <c r="AF84" s="19"/>
    </row>
    <row r="85" spans="1:32" ht="15">
      <c r="A85" s="27" t="s">
        <v>213</v>
      </c>
      <c r="B85" s="7" t="s">
        <v>123</v>
      </c>
      <c r="C85" s="27" t="s">
        <v>211</v>
      </c>
      <c r="D85" s="7" t="s">
        <v>226</v>
      </c>
      <c r="E85" s="7" t="str">
        <f t="shared" si="1"/>
        <v>030</v>
      </c>
      <c r="F85" s="20" t="s">
        <v>44</v>
      </c>
      <c r="G85" s="19" t="str">
        <f>IFERROR(VLOOKUP(D85&amp;C85,設定値!$B$55:$L$85,3,FALSE),"")</f>
        <v>３大疾病保険料払込免除特約</v>
      </c>
      <c r="H85" s="8" t="s">
        <v>18</v>
      </c>
      <c r="I85" s="8" t="s">
        <v>100</v>
      </c>
      <c r="J85" s="8" t="s">
        <v>171</v>
      </c>
      <c r="K85" s="26"/>
      <c r="L85" s="19"/>
      <c r="M85" s="19" t="str">
        <f>IFERROR(VLOOKUP($D85&amp;$C85,設定値!$B$55:$N$85,4,FALSE)&amp;"","")</f>
        <v>additionType</v>
      </c>
      <c r="N85" s="19" t="s">
        <v>18</v>
      </c>
      <c r="O85" s="19" t="str">
        <f>IFERROR(VLOOKUP($D85&amp;$C85,設定値!$B$55:$N$85,5,FALSE)&amp;"","")</f>
        <v>insurancePeriodClass</v>
      </c>
      <c r="P85" s="19" t="s">
        <v>240</v>
      </c>
      <c r="Q85" s="19" t="str">
        <f>IFERROR(VLOOKUP($D85&amp;$C85,設定値!$B$55:$N$85,6,FALSE)&amp;"","")</f>
        <v>insurancePeriod</v>
      </c>
      <c r="R85" s="19" t="s">
        <v>174</v>
      </c>
      <c r="S85" s="19" t="str">
        <f>IFERROR(VLOOKUP($D85&amp;$C85,設定値!$B$55:$N$85,7,FALSE)&amp;"","")</f>
        <v>paymentPeriodClass</v>
      </c>
      <c r="T85" s="19" t="s">
        <v>240</v>
      </c>
      <c r="U85" s="19" t="str">
        <f>IFERROR(VLOOKUP($D85&amp;$C85,設定値!$B$55:$N$85,8,FALSE)&amp;"","")</f>
        <v>paymentPeriod</v>
      </c>
      <c r="V85" s="19" t="s">
        <v>174</v>
      </c>
      <c r="W85" s="19" t="str">
        <f>IFERROR(VLOOKUP($D85&amp;$C85,設定値!$B$55:$N$85,9,FALSE)&amp;"","")</f>
        <v>freeOfPremiumRiderCls</v>
      </c>
      <c r="X85" s="19" t="s">
        <v>245</v>
      </c>
      <c r="Y85" s="19" t="str">
        <f>IFERROR(VLOOKUP($D85&amp;$C85,設定値!$B$55:$N$85,10,FALSE)&amp;"","")</f>
        <v/>
      </c>
      <c r="Z85" s="19"/>
      <c r="AA85" s="19" t="str">
        <f>IFERROR(VLOOKUP($D85&amp;$C85,設定値!$B$55:$N$85,11,FALSE)&amp;"","")</f>
        <v/>
      </c>
      <c r="AB85" s="19"/>
      <c r="AC85" s="19" t="str">
        <f>IFERROR(VLOOKUP($D85&amp;$C85,設定値!$B$55:$N$85,12,FALSE)&amp;"","")</f>
        <v/>
      </c>
      <c r="AD85" s="19"/>
      <c r="AE85" s="19" t="str">
        <f>IFERROR(VLOOKUP($D85&amp;$C85,設定値!$B$55:$N$85,13,FALSE)&amp;"","")</f>
        <v/>
      </c>
      <c r="AF85" s="19"/>
    </row>
    <row r="86" spans="1:32" ht="15">
      <c r="A86" s="27" t="s">
        <v>18</v>
      </c>
      <c r="B86" s="7" t="s">
        <v>88</v>
      </c>
      <c r="C86" s="27" t="s">
        <v>18</v>
      </c>
      <c r="D86" s="7" t="s">
        <v>172</v>
      </c>
      <c r="E86" s="7" t="str">
        <f t="shared" si="1"/>
        <v>310</v>
      </c>
      <c r="F86" s="20" t="s">
        <v>44</v>
      </c>
      <c r="G86" s="19" t="str">
        <f>IFERROR(VLOOKUP(D86&amp;C86,設定値!$B$55:$L$85,3,FALSE),"")</f>
        <v>医療終身保険（無解約払戻金型）</v>
      </c>
      <c r="H86" s="8" t="s">
        <v>118</v>
      </c>
      <c r="I86" s="8" t="s">
        <v>100</v>
      </c>
      <c r="J86" s="8" t="s">
        <v>171</v>
      </c>
      <c r="K86" s="26">
        <v>1</v>
      </c>
      <c r="L86" s="19">
        <v>1</v>
      </c>
      <c r="M86" s="19" t="str">
        <f>IFERROR(VLOOKUP($D86&amp;$C86,設定値!$B$55:$N$85,4,FALSE)&amp;"","")</f>
        <v>benefit</v>
      </c>
      <c r="N86" s="19">
        <v>3000</v>
      </c>
      <c r="O86" s="19" t="str">
        <f>IFERROR(VLOOKUP($D86&amp;$C86,設定値!$B$55:$N$85,5,FALSE)&amp;"","")</f>
        <v>insurancePeriodClass</v>
      </c>
      <c r="P86" s="19" t="s">
        <v>240</v>
      </c>
      <c r="Q86" s="19" t="str">
        <f>IFERROR(VLOOKUP($D86&amp;$C86,設定値!$B$55:$N$85,6,FALSE)&amp;"","")</f>
        <v>insurancePeriod</v>
      </c>
      <c r="R86" s="19" t="s">
        <v>174</v>
      </c>
      <c r="S86" s="19" t="str">
        <f>IFERROR(VLOOKUP($D86&amp;$C86,設定値!$B$55:$N$85,7,FALSE)&amp;"","")</f>
        <v>paymentPeriodClass</v>
      </c>
      <c r="T86" s="19" t="s">
        <v>240</v>
      </c>
      <c r="U86" s="19" t="str">
        <f>IFERROR(VLOOKUP($D86&amp;$C86,設定値!$B$55:$N$85,8,FALSE)&amp;"","")</f>
        <v>paymentPeriod</v>
      </c>
      <c r="V86" s="19" t="s">
        <v>174</v>
      </c>
      <c r="W86" s="19" t="str">
        <f>IFERROR(VLOOKUP($D86&amp;$C86,設定値!$B$55:$N$85,9,FALSE)&amp;"","")</f>
        <v>hosCovPayLimitClass</v>
      </c>
      <c r="X86" s="19" t="s">
        <v>175</v>
      </c>
      <c r="Y86" s="19" t="str">
        <f>IFERROR(VLOOKUP($D86&amp;$C86,設定値!$B$55:$N$85,10,FALSE)&amp;"","")</f>
        <v>benefitPayConvCls</v>
      </c>
      <c r="Z86" s="19" t="s">
        <v>18</v>
      </c>
      <c r="AA86" s="19" t="str">
        <f>IFERROR(VLOOKUP($D86&amp;$C86,設定値!$B$55:$N$85,11,FALSE)&amp;"","")</f>
        <v>disHsptUnlmtDaysSpPrv</v>
      </c>
      <c r="AB86" s="19" t="s">
        <v>18</v>
      </c>
      <c r="AC86" s="19" t="str">
        <f>IFERROR(VLOOKUP($D86&amp;$C86,設定値!$B$55:$N$85,12,FALSE)&amp;"","")</f>
        <v>freeOfPRiderFlg</v>
      </c>
      <c r="AD86" s="19" t="s">
        <v>18</v>
      </c>
      <c r="AE86" s="19" t="str">
        <f>IFERROR(VLOOKUP($D86&amp;$C86,設定値!$B$55:$N$85,13,FALSE)&amp;"","")</f>
        <v>freeOfPremiumRiderCls</v>
      </c>
      <c r="AF86" s="19" t="s">
        <v>249</v>
      </c>
    </row>
    <row r="87" spans="1:32" ht="15">
      <c r="A87" s="27" t="s">
        <v>18</v>
      </c>
      <c r="B87" s="7" t="s">
        <v>88</v>
      </c>
      <c r="C87" s="27" t="s">
        <v>211</v>
      </c>
      <c r="D87" s="7" t="s">
        <v>177</v>
      </c>
      <c r="E87" s="7" t="str">
        <f t="shared" si="1"/>
        <v>D10</v>
      </c>
      <c r="F87" s="20" t="s">
        <v>44</v>
      </c>
      <c r="G87" s="19" t="str">
        <f>IFERROR(VLOOKUP(D87&amp;C87,設定値!$B$55:$L$85,3,FALSE),"")</f>
        <v>入院一時給付特約</v>
      </c>
      <c r="H87" s="8" t="s">
        <v>118</v>
      </c>
      <c r="I87" s="8" t="s">
        <v>100</v>
      </c>
      <c r="J87" s="8" t="s">
        <v>171</v>
      </c>
      <c r="K87" s="26"/>
      <c r="L87" s="19"/>
      <c r="M87" s="19" t="str">
        <f>IFERROR(VLOOKUP($D87&amp;$C87,設定値!$B$55:$N$85,4,FALSE)&amp;"","")</f>
        <v>benefit</v>
      </c>
      <c r="N87" s="19">
        <v>10000</v>
      </c>
      <c r="O87" s="19" t="str">
        <f>IFERROR(VLOOKUP($D87&amp;$C87,設定値!$B$55:$N$85,5,FALSE)&amp;"","")</f>
        <v>insurancePeriodClass</v>
      </c>
      <c r="P87" s="19" t="s">
        <v>240</v>
      </c>
      <c r="Q87" s="19" t="str">
        <f>IFERROR(VLOOKUP($D87&amp;$C87,設定値!$B$55:$N$85,6,FALSE)&amp;"","")</f>
        <v>insurancePeriod</v>
      </c>
      <c r="R87" s="19" t="s">
        <v>174</v>
      </c>
      <c r="S87" s="19" t="str">
        <f>IFERROR(VLOOKUP($D87&amp;$C87,設定値!$B$55:$N$85,7,FALSE)&amp;"","")</f>
        <v>paymentPeriodClass</v>
      </c>
      <c r="T87" s="19" t="s">
        <v>240</v>
      </c>
      <c r="U87" s="19" t="str">
        <f>IFERROR(VLOOKUP($D87&amp;$C87,設定値!$B$55:$N$85,8,FALSE)&amp;"","")</f>
        <v>paymentPeriod</v>
      </c>
      <c r="V87" s="19" t="s">
        <v>174</v>
      </c>
      <c r="W87" s="19" t="str">
        <f>IFERROR(VLOOKUP($D87&amp;$C87,設定値!$B$55:$N$85,9,FALSE)&amp;"","")</f>
        <v/>
      </c>
      <c r="X87" s="19"/>
      <c r="Y87" s="19" t="str">
        <f>IFERROR(VLOOKUP($D87&amp;$C87,設定値!$B$55:$N$85,10,FALSE)&amp;"","")</f>
        <v/>
      </c>
      <c r="Z87" s="19"/>
      <c r="AA87" s="19" t="str">
        <f>IFERROR(VLOOKUP($D87&amp;$C87,設定値!$B$55:$N$85,11,FALSE)&amp;"","")</f>
        <v/>
      </c>
      <c r="AB87" s="19"/>
      <c r="AC87" s="19" t="str">
        <f>IFERROR(VLOOKUP($D87&amp;$C87,設定値!$B$55:$N$85,12,FALSE)&amp;"","")</f>
        <v/>
      </c>
      <c r="AD87" s="19"/>
      <c r="AE87" s="19" t="str">
        <f>IFERROR(VLOOKUP($D87&amp;$C87,設定値!$B$55:$N$85,13,FALSE)&amp;"","")</f>
        <v/>
      </c>
      <c r="AF87" s="19"/>
    </row>
    <row r="88" spans="1:32" ht="15">
      <c r="A88" s="27" t="s">
        <v>18</v>
      </c>
      <c r="B88" s="7" t="s">
        <v>88</v>
      </c>
      <c r="C88" s="27" t="s">
        <v>211</v>
      </c>
      <c r="D88" s="7" t="s">
        <v>252</v>
      </c>
      <c r="E88" s="7" t="str">
        <f t="shared" si="1"/>
        <v>D10</v>
      </c>
      <c r="F88" s="20" t="s">
        <v>44</v>
      </c>
      <c r="G88" s="19" t="str">
        <f>IFERROR(VLOOKUP(D88&amp;C88,設定値!$B$55:$L$85,3,FALSE),"")</f>
        <v>女性医療特約</v>
      </c>
      <c r="H88" s="8" t="s">
        <v>118</v>
      </c>
      <c r="I88" s="8" t="s">
        <v>100</v>
      </c>
      <c r="J88" s="8" t="s">
        <v>171</v>
      </c>
      <c r="K88" s="26"/>
      <c r="L88" s="19"/>
      <c r="M88" s="19" t="str">
        <f>IFERROR(VLOOKUP($D88&amp;$C88,設定値!$B$55:$N$85,4,FALSE)&amp;"","")</f>
        <v>benefit</v>
      </c>
      <c r="N88" s="19">
        <v>2000</v>
      </c>
      <c r="O88" s="19" t="str">
        <f>IFERROR(VLOOKUP($D88&amp;$C88,設定値!$B$55:$N$85,5,FALSE)&amp;"","")</f>
        <v>insurancePeriodClass</v>
      </c>
      <c r="P88" s="19" t="s">
        <v>240</v>
      </c>
      <c r="Q88" s="19" t="str">
        <f>IFERROR(VLOOKUP($D88&amp;$C88,設定値!$B$55:$N$85,6,FALSE)&amp;"","")</f>
        <v>insurancePeriod</v>
      </c>
      <c r="R88" s="19" t="s">
        <v>174</v>
      </c>
      <c r="S88" s="19" t="str">
        <f>IFERROR(VLOOKUP($D88&amp;$C88,設定値!$B$55:$N$85,7,FALSE)&amp;"","")</f>
        <v>paymentPeriodClass</v>
      </c>
      <c r="T88" s="19" t="s">
        <v>240</v>
      </c>
      <c r="U88" s="19" t="str">
        <f>IFERROR(VLOOKUP($D88&amp;$C88,設定値!$B$55:$N$85,8,FALSE)&amp;"","")</f>
        <v>paymentPeriod</v>
      </c>
      <c r="V88" s="19" t="s">
        <v>174</v>
      </c>
      <c r="W88" s="19" t="str">
        <f>IFERROR(VLOOKUP($D88&amp;$C88,設定値!$B$55:$N$85,9,FALSE)&amp;"","")</f>
        <v>hosCovPayLimitClass</v>
      </c>
      <c r="X88" s="19" t="s">
        <v>175</v>
      </c>
      <c r="Y88" s="19" t="str">
        <f>IFERROR(VLOOKUP($D88&amp;$C88,設定値!$B$55:$N$85,10,FALSE)&amp;"","")</f>
        <v>disHsptUnlmtDaysSpPrv</v>
      </c>
      <c r="Z88" s="19" t="s">
        <v>18</v>
      </c>
      <c r="AA88" s="19" t="str">
        <f>IFERROR(VLOOKUP($D88&amp;$C88,設定値!$B$55:$N$85,11,FALSE)&amp;"","")</f>
        <v/>
      </c>
      <c r="AB88" s="19"/>
      <c r="AC88" s="19" t="str">
        <f>IFERROR(VLOOKUP($D88&amp;$C88,設定値!$B$55:$N$85,12,FALSE)&amp;"","")</f>
        <v/>
      </c>
      <c r="AD88" s="19"/>
      <c r="AE88" s="19" t="str">
        <f>IFERROR(VLOOKUP($D88&amp;$C88,設定値!$B$55:$N$85,13,FALSE)&amp;"","")</f>
        <v/>
      </c>
      <c r="AF88" s="19"/>
    </row>
    <row r="89" spans="1:32" ht="15">
      <c r="A89" s="27" t="s">
        <v>18</v>
      </c>
      <c r="B89" s="7" t="s">
        <v>88</v>
      </c>
      <c r="C89" s="27" t="s">
        <v>211</v>
      </c>
      <c r="D89" s="7" t="s">
        <v>183</v>
      </c>
      <c r="E89" s="7" t="str">
        <f t="shared" si="1"/>
        <v>D10</v>
      </c>
      <c r="F89" s="20" t="s">
        <v>44</v>
      </c>
      <c r="G89" s="19" t="str">
        <f>IFERROR(VLOOKUP(D89&amp;C89,設定値!$B$55:$L$85,3,FALSE),"")</f>
        <v>退院後通院特約</v>
      </c>
      <c r="H89" s="8" t="s">
        <v>118</v>
      </c>
      <c r="I89" s="8" t="s">
        <v>100</v>
      </c>
      <c r="J89" s="8" t="s">
        <v>171</v>
      </c>
      <c r="K89" s="26"/>
      <c r="L89" s="19"/>
      <c r="M89" s="19" t="str">
        <f>IFERROR(VLOOKUP($D89&amp;$C89,設定値!$B$55:$N$85,4,FALSE)&amp;"","")</f>
        <v>benefit</v>
      </c>
      <c r="N89" s="19">
        <v>2000</v>
      </c>
      <c r="O89" s="19" t="str">
        <f>IFERROR(VLOOKUP($D89&amp;$C89,設定値!$B$55:$N$85,5,FALSE)&amp;"","")</f>
        <v>insurancePeriodClass</v>
      </c>
      <c r="P89" s="19" t="s">
        <v>240</v>
      </c>
      <c r="Q89" s="19" t="str">
        <f>IFERROR(VLOOKUP($D89&amp;$C89,設定値!$B$55:$N$85,6,FALSE)&amp;"","")</f>
        <v>insurancePeriod</v>
      </c>
      <c r="R89" s="19" t="s">
        <v>174</v>
      </c>
      <c r="S89" s="19" t="str">
        <f>IFERROR(VLOOKUP($D89&amp;$C89,設定値!$B$55:$N$85,7,FALSE)&amp;"","")</f>
        <v>paymentPeriodClass</v>
      </c>
      <c r="T89" s="19" t="s">
        <v>240</v>
      </c>
      <c r="U89" s="19" t="str">
        <f>IFERROR(VLOOKUP($D89&amp;$C89,設定値!$B$55:$N$85,8,FALSE)&amp;"","")</f>
        <v>paymentPeriod</v>
      </c>
      <c r="V89" s="19" t="s">
        <v>174</v>
      </c>
      <c r="W89" s="19" t="str">
        <f>IFERROR(VLOOKUP($D89&amp;$C89,設定値!$B$55:$N$85,9,FALSE)&amp;"","")</f>
        <v/>
      </c>
      <c r="X89" s="19"/>
      <c r="Y89" s="19" t="str">
        <f>IFERROR(VLOOKUP($D89&amp;$C89,設定値!$B$55:$N$85,10,FALSE)&amp;"","")</f>
        <v/>
      </c>
      <c r="Z89" s="19"/>
      <c r="AA89" s="19" t="str">
        <f>IFERROR(VLOOKUP($D89&amp;$C89,設定値!$B$55:$N$85,11,FALSE)&amp;"","")</f>
        <v/>
      </c>
      <c r="AB89" s="19"/>
      <c r="AC89" s="19" t="str">
        <f>IFERROR(VLOOKUP($D89&amp;$C89,設定値!$B$55:$N$85,12,FALSE)&amp;"","")</f>
        <v/>
      </c>
      <c r="AD89" s="19"/>
      <c r="AE89" s="19" t="str">
        <f>IFERROR(VLOOKUP($D89&amp;$C89,設定値!$B$55:$N$85,13,FALSE)&amp;"","")</f>
        <v/>
      </c>
      <c r="AF89" s="19"/>
    </row>
    <row r="90" spans="1:32" ht="15">
      <c r="A90" s="27" t="s">
        <v>18</v>
      </c>
      <c r="B90" s="7" t="s">
        <v>88</v>
      </c>
      <c r="C90" s="27" t="s">
        <v>211</v>
      </c>
      <c r="D90" s="7" t="s">
        <v>178</v>
      </c>
      <c r="E90" s="7" t="str">
        <f t="shared" si="1"/>
        <v>D10</v>
      </c>
      <c r="F90" s="20" t="s">
        <v>44</v>
      </c>
      <c r="G90" s="19" t="str">
        <f>IFERROR(VLOOKUP(D90&amp;C90,設定値!$B$55:$L$85,3,FALSE),"")</f>
        <v>先進医療特約</v>
      </c>
      <c r="H90" s="8" t="s">
        <v>118</v>
      </c>
      <c r="I90" s="8" t="s">
        <v>100</v>
      </c>
      <c r="J90" s="8" t="s">
        <v>171</v>
      </c>
      <c r="K90" s="26"/>
      <c r="L90" s="19"/>
      <c r="M90" s="19" t="str">
        <f>IFERROR(VLOOKUP($D90&amp;$C90,設定値!$B$55:$N$85,4,FALSE)&amp;"","")</f>
        <v>additionType</v>
      </c>
      <c r="N90" s="19" t="s">
        <v>18</v>
      </c>
      <c r="O90" s="19" t="str">
        <f>IFERROR(VLOOKUP($D90&amp;$C90,設定値!$B$55:$N$85,5,FALSE)&amp;"","")</f>
        <v>insurancePeriodClass</v>
      </c>
      <c r="P90" s="19" t="s">
        <v>240</v>
      </c>
      <c r="Q90" s="19" t="str">
        <f>IFERROR(VLOOKUP($D90&amp;$C90,設定値!$B$55:$N$85,6,FALSE)&amp;"","")</f>
        <v>insurancePeriod</v>
      </c>
      <c r="R90" s="19" t="s">
        <v>174</v>
      </c>
      <c r="S90" s="19" t="str">
        <f>IFERROR(VLOOKUP($D90&amp;$C90,設定値!$B$55:$N$85,7,FALSE)&amp;"","")</f>
        <v>paymentPeriodClass</v>
      </c>
      <c r="T90" s="19" t="s">
        <v>240</v>
      </c>
      <c r="U90" s="19" t="str">
        <f>IFERROR(VLOOKUP($D90&amp;$C90,設定値!$B$55:$N$85,8,FALSE)&amp;"","")</f>
        <v>paymentPeriod</v>
      </c>
      <c r="V90" s="19" t="s">
        <v>174</v>
      </c>
      <c r="W90" s="19" t="str">
        <f>IFERROR(VLOOKUP($D90&amp;$C90,設定値!$B$55:$N$85,9,FALSE)&amp;"","")</f>
        <v/>
      </c>
      <c r="X90" s="19"/>
      <c r="Y90" s="19" t="str">
        <f>IFERROR(VLOOKUP($D90&amp;$C90,設定値!$B$55:$N$85,10,FALSE)&amp;"","")</f>
        <v/>
      </c>
      <c r="Z90" s="19"/>
      <c r="AA90" s="19" t="str">
        <f>IFERROR(VLOOKUP($D90&amp;$C90,設定値!$B$55:$N$85,11,FALSE)&amp;"","")</f>
        <v/>
      </c>
      <c r="AB90" s="19"/>
      <c r="AC90" s="19" t="str">
        <f>IFERROR(VLOOKUP($D90&amp;$C90,設定値!$B$55:$N$85,12,FALSE)&amp;"","")</f>
        <v/>
      </c>
      <c r="AD90" s="19"/>
      <c r="AE90" s="19" t="str">
        <f>IFERROR(VLOOKUP($D90&amp;$C90,設定値!$B$55:$N$85,13,FALSE)&amp;"","")</f>
        <v/>
      </c>
      <c r="AF90" s="19"/>
    </row>
    <row r="91" spans="1:32" ht="15">
      <c r="A91" s="27" t="s">
        <v>18</v>
      </c>
      <c r="B91" s="7" t="s">
        <v>88</v>
      </c>
      <c r="C91" s="27" t="s">
        <v>211</v>
      </c>
      <c r="D91" s="7" t="s">
        <v>179</v>
      </c>
      <c r="E91" s="7" t="str">
        <f t="shared" si="1"/>
        <v>D10</v>
      </c>
      <c r="F91" s="20" t="s">
        <v>44</v>
      </c>
      <c r="G91" s="19" t="str">
        <f>IFERROR(VLOOKUP(D91&amp;C91,設定値!$B$55:$L$85,3,FALSE),"")</f>
        <v>特定疾病一時給付特約（２０）</v>
      </c>
      <c r="H91" s="8" t="s">
        <v>118</v>
      </c>
      <c r="I91" s="8" t="s">
        <v>100</v>
      </c>
      <c r="J91" s="8" t="s">
        <v>171</v>
      </c>
      <c r="K91" s="26"/>
      <c r="L91" s="19"/>
      <c r="M91" s="19" t="str">
        <f>IFERROR(VLOOKUP($D91&amp;$C91,設定値!$B$55:$N$85,4,FALSE)&amp;"","")</f>
        <v>benefit</v>
      </c>
      <c r="N91" s="19">
        <v>100000</v>
      </c>
      <c r="O91" s="19" t="str">
        <f>IFERROR(VLOOKUP($D91&amp;$C91,設定値!$B$55:$N$85,5,FALSE)&amp;"","")</f>
        <v>insurancePeriodClass</v>
      </c>
      <c r="P91" s="19" t="s">
        <v>240</v>
      </c>
      <c r="Q91" s="19" t="str">
        <f>IFERROR(VLOOKUP($D91&amp;$C91,設定値!$B$55:$N$85,6,FALSE)&amp;"","")</f>
        <v>insurancePeriod</v>
      </c>
      <c r="R91" s="19" t="s">
        <v>174</v>
      </c>
      <c r="S91" s="19" t="str">
        <f>IFERROR(VLOOKUP($D91&amp;$C91,設定値!$B$55:$N$85,7,FALSE)&amp;"","")</f>
        <v>paymentPeriodClass</v>
      </c>
      <c r="T91" s="19" t="s">
        <v>240</v>
      </c>
      <c r="U91" s="19" t="str">
        <f>IFERROR(VLOOKUP($D91&amp;$C91,設定値!$B$55:$N$85,8,FALSE)&amp;"","")</f>
        <v>paymentPeriod</v>
      </c>
      <c r="V91" s="19" t="s">
        <v>174</v>
      </c>
      <c r="W91" s="19" t="str">
        <f>IFERROR(VLOOKUP($D91&amp;$C91,設定値!$B$55:$N$85,9,FALSE)&amp;"","")</f>
        <v>diseaseCoverageType</v>
      </c>
      <c r="X91" s="19" t="s">
        <v>250</v>
      </c>
      <c r="Y91" s="19" t="str">
        <f>IFERROR(VLOOKUP($D91&amp;$C91,設定値!$B$55:$N$85,10,FALSE)&amp;"","")</f>
        <v>benefitFirstPayConvCls</v>
      </c>
      <c r="Z91" s="19" t="s">
        <v>18</v>
      </c>
      <c r="AA91" s="19" t="str">
        <f>IFERROR(VLOOKUP($D91&amp;$C91,設定値!$B$55:$N$85,11,FALSE)&amp;"","")</f>
        <v/>
      </c>
      <c r="AB91" s="19"/>
      <c r="AC91" s="19" t="str">
        <f>IFERROR(VLOOKUP($D91&amp;$C91,設定値!$B$55:$N$85,12,FALSE)&amp;"","")</f>
        <v/>
      </c>
      <c r="AD91" s="19"/>
      <c r="AE91" s="19" t="str">
        <f>IFERROR(VLOOKUP($D91&amp;$C91,設定値!$B$55:$N$85,13,FALSE)&amp;"","")</f>
        <v/>
      </c>
      <c r="AF91" s="19"/>
    </row>
    <row r="92" spans="1:32" ht="15">
      <c r="A92" s="27" t="s">
        <v>18</v>
      </c>
      <c r="B92" s="7" t="s">
        <v>88</v>
      </c>
      <c r="C92" s="27" t="s">
        <v>211</v>
      </c>
      <c r="D92" s="7" t="s">
        <v>180</v>
      </c>
      <c r="E92" s="7" t="str">
        <f t="shared" si="1"/>
        <v>D10</v>
      </c>
      <c r="F92" s="20" t="s">
        <v>44</v>
      </c>
      <c r="G92" s="19" t="str">
        <f>IFERROR(VLOOKUP(D92&amp;C92,設定値!$B$55:$L$85,3,FALSE),"")</f>
        <v>抗がん剤・ホルモン剤治療特約</v>
      </c>
      <c r="H92" s="8" t="s">
        <v>118</v>
      </c>
      <c r="I92" s="8" t="s">
        <v>100</v>
      </c>
      <c r="J92" s="8" t="s">
        <v>171</v>
      </c>
      <c r="K92" s="26"/>
      <c r="L92" s="19"/>
      <c r="M92" s="19" t="str">
        <f>IFERROR(VLOOKUP($D92&amp;$C92,設定値!$B$55:$N$85,4,FALSE)&amp;"","")</f>
        <v>benefit</v>
      </c>
      <c r="N92" s="19">
        <v>10000</v>
      </c>
      <c r="O92" s="19" t="str">
        <f>IFERROR(VLOOKUP($D92&amp;$C92,設定値!$B$55:$N$85,5,FALSE)&amp;"","")</f>
        <v>insurancePeriodClass</v>
      </c>
      <c r="P92" s="19" t="s">
        <v>240</v>
      </c>
      <c r="Q92" s="19" t="str">
        <f>IFERROR(VLOOKUP($D92&amp;$C92,設定値!$B$55:$N$85,6,FALSE)&amp;"","")</f>
        <v>insurancePeriod</v>
      </c>
      <c r="R92" s="19" t="s">
        <v>174</v>
      </c>
      <c r="S92" s="19" t="str">
        <f>IFERROR(VLOOKUP($D92&amp;$C92,設定値!$B$55:$N$85,7,FALSE)&amp;"","")</f>
        <v>paymentPeriodClass</v>
      </c>
      <c r="T92" s="19" t="s">
        <v>240</v>
      </c>
      <c r="U92" s="19" t="str">
        <f>IFERROR(VLOOKUP($D92&amp;$C92,設定値!$B$55:$N$85,8,FALSE)&amp;"","")</f>
        <v>paymentPeriod</v>
      </c>
      <c r="V92" s="19" t="s">
        <v>174</v>
      </c>
      <c r="W92" s="19" t="str">
        <f>IFERROR(VLOOKUP($D92&amp;$C92,設定値!$B$55:$N$85,9,FALSE)&amp;"","")</f>
        <v/>
      </c>
      <c r="X92" s="19"/>
      <c r="Y92" s="19" t="str">
        <f>IFERROR(VLOOKUP($D92&amp;$C92,設定値!$B$55:$N$85,10,FALSE)&amp;"","")</f>
        <v/>
      </c>
      <c r="Z92" s="19"/>
      <c r="AA92" s="19" t="str">
        <f>IFERROR(VLOOKUP($D92&amp;$C92,設定値!$B$55:$N$85,11,FALSE)&amp;"","")</f>
        <v/>
      </c>
      <c r="AB92" s="19"/>
      <c r="AC92" s="19" t="str">
        <f>IFERROR(VLOOKUP($D92&amp;$C92,設定値!$B$55:$N$85,12,FALSE)&amp;"","")</f>
        <v/>
      </c>
      <c r="AD92" s="19"/>
      <c r="AE92" s="19" t="str">
        <f>IFERROR(VLOOKUP($D92&amp;$C92,設定値!$B$55:$N$85,13,FALSE)&amp;"","")</f>
        <v/>
      </c>
      <c r="AF92" s="19"/>
    </row>
    <row r="93" spans="1:32" ht="15">
      <c r="A93" s="27" t="s">
        <v>18</v>
      </c>
      <c r="B93" s="7" t="s">
        <v>88</v>
      </c>
      <c r="C93" s="27" t="s">
        <v>211</v>
      </c>
      <c r="D93" s="7" t="s">
        <v>181</v>
      </c>
      <c r="E93" s="7" t="str">
        <f t="shared" si="1"/>
        <v>D10</v>
      </c>
      <c r="F93" s="20" t="s">
        <v>44</v>
      </c>
      <c r="G93" s="19" t="str">
        <f>IFERROR(VLOOKUP(D93&amp;C93,設定値!$B$55:$L$85,3,FALSE),"")</f>
        <v>特定損傷特約</v>
      </c>
      <c r="H93" s="8" t="s">
        <v>118</v>
      </c>
      <c r="I93" s="8" t="s">
        <v>100</v>
      </c>
      <c r="J93" s="8" t="s">
        <v>171</v>
      </c>
      <c r="K93" s="26"/>
      <c r="L93" s="19"/>
      <c r="M93" s="19" t="str">
        <f>IFERROR(VLOOKUP($D93&amp;$C93,設定値!$B$55:$N$85,4,FALSE)&amp;"","")</f>
        <v>benefit</v>
      </c>
      <c r="N93" s="19">
        <v>50000</v>
      </c>
      <c r="O93" s="19" t="str">
        <f>IFERROR(VLOOKUP($D93&amp;$C93,設定値!$B$55:$N$85,5,FALSE)&amp;"","")</f>
        <v>insurancePeriodClass</v>
      </c>
      <c r="P93" s="19" t="s">
        <v>176</v>
      </c>
      <c r="Q93" s="19" t="str">
        <f>IFERROR(VLOOKUP($D93&amp;$C93,設定値!$B$55:$N$85,6,FALSE)&amp;"","")</f>
        <v>insurancePeriod</v>
      </c>
      <c r="R93" s="19" t="s">
        <v>274</v>
      </c>
      <c r="S93" s="19" t="str">
        <f>IFERROR(VLOOKUP($D93&amp;$C93,設定値!$B$55:$N$85,7,FALSE)&amp;"","")</f>
        <v>paymentPeriodClass</v>
      </c>
      <c r="T93" s="19" t="s">
        <v>176</v>
      </c>
      <c r="U93" s="19" t="str">
        <f>IFERROR(VLOOKUP($D93&amp;$C93,設定値!$B$55:$N$85,8,FALSE)&amp;"","")</f>
        <v>paymentPeriod</v>
      </c>
      <c r="V93" s="19" t="s">
        <v>274</v>
      </c>
      <c r="W93" s="19" t="str">
        <f>IFERROR(VLOOKUP($D93&amp;$C93,設定値!$B$55:$N$85,9,FALSE)&amp;"","")</f>
        <v/>
      </c>
      <c r="X93" s="19"/>
      <c r="Y93" s="19" t="str">
        <f>IFERROR(VLOOKUP($D93&amp;$C93,設定値!$B$55:$N$85,10,FALSE)&amp;"","")</f>
        <v/>
      </c>
      <c r="Z93" s="19"/>
      <c r="AA93" s="19" t="str">
        <f>IFERROR(VLOOKUP($D93&amp;$C93,設定値!$B$55:$N$85,11,FALSE)&amp;"","")</f>
        <v/>
      </c>
      <c r="AB93" s="19"/>
      <c r="AC93" s="19" t="str">
        <f>IFERROR(VLOOKUP($D93&amp;$C93,設定値!$B$55:$N$85,12,FALSE)&amp;"","")</f>
        <v/>
      </c>
      <c r="AD93" s="19"/>
      <c r="AE93" s="19" t="str">
        <f>IFERROR(VLOOKUP($D93&amp;$C93,設定値!$B$55:$N$85,13,FALSE)&amp;"","")</f>
        <v/>
      </c>
      <c r="AF93" s="19"/>
    </row>
    <row r="94" spans="1:32" ht="15">
      <c r="A94" s="27" t="s">
        <v>18</v>
      </c>
      <c r="B94" s="7" t="s">
        <v>88</v>
      </c>
      <c r="C94" s="27" t="s">
        <v>211</v>
      </c>
      <c r="D94" s="7" t="s">
        <v>253</v>
      </c>
      <c r="E94" s="7" t="str">
        <f t="shared" si="1"/>
        <v>D10</v>
      </c>
      <c r="F94" s="20" t="s">
        <v>44</v>
      </c>
      <c r="G94" s="19" t="str">
        <f>IFERROR(VLOOKUP(D94&amp;C94,設定値!$B$55:$L$85,3,FALSE),"")</f>
        <v>女性疾病入院一時給付特約</v>
      </c>
      <c r="H94" s="8" t="s">
        <v>118</v>
      </c>
      <c r="I94" s="8" t="s">
        <v>100</v>
      </c>
      <c r="J94" s="8" t="s">
        <v>171</v>
      </c>
      <c r="K94" s="26"/>
      <c r="L94" s="19"/>
      <c r="M94" s="19" t="str">
        <f>IFERROR(VLOOKUP($D94&amp;$C94,設定値!$B$55:$N$85,4,FALSE)&amp;"","")</f>
        <v>benefit</v>
      </c>
      <c r="N94" s="19">
        <v>10000</v>
      </c>
      <c r="O94" s="19" t="str">
        <f>IFERROR(VLOOKUP($D94&amp;$C94,設定値!$B$55:$N$85,5,FALSE)&amp;"","")</f>
        <v>insurancePeriodClass</v>
      </c>
      <c r="P94" s="19" t="s">
        <v>240</v>
      </c>
      <c r="Q94" s="19" t="str">
        <f>IFERROR(VLOOKUP($D94&amp;$C94,設定値!$B$55:$N$85,6,FALSE)&amp;"","")</f>
        <v>insurancePeriod</v>
      </c>
      <c r="R94" s="19" t="s">
        <v>174</v>
      </c>
      <c r="S94" s="19" t="str">
        <f>IFERROR(VLOOKUP($D94&amp;$C94,設定値!$B$55:$N$85,7,FALSE)&amp;"","")</f>
        <v>paymentPeriodClass</v>
      </c>
      <c r="T94" s="19" t="s">
        <v>240</v>
      </c>
      <c r="U94" s="19" t="str">
        <f>IFERROR(VLOOKUP($D94&amp;$C94,設定値!$B$55:$N$85,8,FALSE)&amp;"","")</f>
        <v>paymentPeriod</v>
      </c>
      <c r="V94" s="19" t="s">
        <v>174</v>
      </c>
      <c r="W94" s="19" t="str">
        <f>IFERROR(VLOOKUP($D94&amp;$C94,設定値!$B$55:$N$85,9,FALSE)&amp;"","")</f>
        <v/>
      </c>
      <c r="X94" s="19"/>
      <c r="Y94" s="19" t="str">
        <f>IFERROR(VLOOKUP($D94&amp;$C94,設定値!$B$55:$N$85,10,FALSE)&amp;"","")</f>
        <v/>
      </c>
      <c r="Z94" s="19"/>
      <c r="AA94" s="19" t="str">
        <f>IFERROR(VLOOKUP($D94&amp;$C94,設定値!$B$55:$N$85,11,FALSE)&amp;"","")</f>
        <v/>
      </c>
      <c r="AB94" s="19"/>
      <c r="AC94" s="19" t="str">
        <f>IFERROR(VLOOKUP($D94&amp;$C94,設定値!$B$55:$N$85,12,FALSE)&amp;"","")</f>
        <v/>
      </c>
      <c r="AD94" s="19"/>
      <c r="AE94" s="19" t="str">
        <f>IFERROR(VLOOKUP($D94&amp;$C94,設定値!$B$55:$N$85,13,FALSE)&amp;"","")</f>
        <v/>
      </c>
      <c r="AF94" s="19"/>
    </row>
    <row r="95" spans="1:32" ht="15">
      <c r="A95" s="27" t="s">
        <v>18</v>
      </c>
      <c r="B95" s="7" t="s">
        <v>88</v>
      </c>
      <c r="C95" s="27" t="s">
        <v>211</v>
      </c>
      <c r="D95" s="7" t="s">
        <v>182</v>
      </c>
      <c r="E95" s="7" t="str">
        <f t="shared" si="1"/>
        <v>D10</v>
      </c>
      <c r="F95" s="20" t="s">
        <v>44</v>
      </c>
      <c r="G95" s="19" t="str">
        <f>IFERROR(VLOOKUP(D95&amp;C95,設定値!$B$55:$L$85,3,FALSE),"")</f>
        <v>がん一時給付特約</v>
      </c>
      <c r="H95" s="8" t="s">
        <v>118</v>
      </c>
      <c r="I95" s="8" t="s">
        <v>100</v>
      </c>
      <c r="J95" s="8" t="s">
        <v>171</v>
      </c>
      <c r="K95" s="26"/>
      <c r="L95" s="19"/>
      <c r="M95" s="19" t="str">
        <f>IFERROR(VLOOKUP($D95&amp;$C95,設定値!$B$55:$N$85,4,FALSE)&amp;"","")</f>
        <v>benefit</v>
      </c>
      <c r="N95" s="19">
        <v>100000</v>
      </c>
      <c r="O95" s="19" t="str">
        <f>IFERROR(VLOOKUP($D95&amp;$C95,設定値!$B$55:$N$85,5,FALSE)&amp;"","")</f>
        <v>insurancePeriodClass</v>
      </c>
      <c r="P95" s="19" t="s">
        <v>240</v>
      </c>
      <c r="Q95" s="19" t="str">
        <f>IFERROR(VLOOKUP($D95&amp;$C95,設定値!$B$55:$N$85,6,FALSE)&amp;"","")</f>
        <v>insurancePeriod</v>
      </c>
      <c r="R95" s="19" t="s">
        <v>174</v>
      </c>
      <c r="S95" s="19" t="str">
        <f>IFERROR(VLOOKUP($D95&amp;$C95,設定値!$B$55:$N$85,7,FALSE)&amp;"","")</f>
        <v>paymentPeriodClass</v>
      </c>
      <c r="T95" s="19" t="s">
        <v>240</v>
      </c>
      <c r="U95" s="19" t="str">
        <f>IFERROR(VLOOKUP($D95&amp;$C95,設定値!$B$55:$N$85,8,FALSE)&amp;"","")</f>
        <v>paymentPeriod</v>
      </c>
      <c r="V95" s="19" t="s">
        <v>174</v>
      </c>
      <c r="W95" s="19" t="str">
        <f>IFERROR(VLOOKUP($D95&amp;$C95,設定値!$B$55:$N$85,9,FALSE)&amp;"","")</f>
        <v/>
      </c>
      <c r="X95" s="19"/>
      <c r="Y95" s="19" t="str">
        <f>IFERROR(VLOOKUP($D95&amp;$C95,設定値!$B$55:$N$85,10,FALSE)&amp;"","")</f>
        <v/>
      </c>
      <c r="Z95" s="19"/>
      <c r="AA95" s="19" t="str">
        <f>IFERROR(VLOOKUP($D95&amp;$C95,設定値!$B$55:$N$85,11,FALSE)&amp;"","")</f>
        <v/>
      </c>
      <c r="AB95" s="19"/>
      <c r="AC95" s="19" t="str">
        <f>IFERROR(VLOOKUP($D95&amp;$C95,設定値!$B$55:$N$85,12,FALSE)&amp;"","")</f>
        <v/>
      </c>
      <c r="AD95" s="19"/>
      <c r="AE95" s="19" t="str">
        <f>IFERROR(VLOOKUP($D95&amp;$C95,設定値!$B$55:$N$85,13,FALSE)&amp;"","")</f>
        <v/>
      </c>
      <c r="AF95" s="19"/>
    </row>
    <row r="96" spans="1:32" ht="15">
      <c r="A96" s="27" t="s">
        <v>18</v>
      </c>
      <c r="B96" s="7" t="s">
        <v>88</v>
      </c>
      <c r="C96" s="27" t="s">
        <v>211</v>
      </c>
      <c r="D96" s="7" t="s">
        <v>172</v>
      </c>
      <c r="E96" s="7" t="str">
        <f t="shared" si="1"/>
        <v>D10</v>
      </c>
      <c r="F96" s="20" t="s">
        <v>44</v>
      </c>
      <c r="G96" s="19" t="str">
        <f>IFERROR(VLOOKUP(D96&amp;C96,設定値!$B$55:$L$85,3,FALSE),"")</f>
        <v>特定疾病保険料払込免除特約</v>
      </c>
      <c r="H96" s="8" t="s">
        <v>118</v>
      </c>
      <c r="I96" s="8" t="s">
        <v>100</v>
      </c>
      <c r="J96" s="8" t="s">
        <v>171</v>
      </c>
      <c r="K96" s="26"/>
      <c r="L96" s="19"/>
      <c r="M96" s="19" t="str">
        <f>IFERROR(VLOOKUP($D96&amp;$C96,設定値!$B$55:$N$85,4,FALSE)&amp;"","")</f>
        <v>additionType</v>
      </c>
      <c r="N96" s="19" t="s">
        <v>18</v>
      </c>
      <c r="O96" s="19" t="str">
        <f>IFERROR(VLOOKUP($D96&amp;$C96,設定値!$B$55:$N$85,5,FALSE)&amp;"","")</f>
        <v>insurancePeriodClass</v>
      </c>
      <c r="P96" s="19" t="s">
        <v>240</v>
      </c>
      <c r="Q96" s="19" t="str">
        <f>IFERROR(VLOOKUP($D96&amp;$C96,設定値!$B$55:$N$85,6,FALSE)&amp;"","")</f>
        <v>insurancePeriod</v>
      </c>
      <c r="R96" s="19" t="s">
        <v>174</v>
      </c>
      <c r="S96" s="19" t="str">
        <f>IFERROR(VLOOKUP($D96&amp;$C96,設定値!$B$55:$N$85,7,FALSE)&amp;"","")</f>
        <v>paymentPeriodClass</v>
      </c>
      <c r="T96" s="19" t="s">
        <v>240</v>
      </c>
      <c r="U96" s="19" t="str">
        <f>IFERROR(VLOOKUP($D96&amp;$C96,設定値!$B$55:$N$85,8,FALSE)&amp;"","")</f>
        <v>paymentPeriod</v>
      </c>
      <c r="V96" s="19" t="s">
        <v>174</v>
      </c>
      <c r="W96" s="19" t="str">
        <f>IFERROR(VLOOKUP($D96&amp;$C96,設定値!$B$55:$N$85,9,FALSE)&amp;"","")</f>
        <v>freeOfPremiumRiderCls</v>
      </c>
      <c r="X96" s="19" t="s">
        <v>249</v>
      </c>
      <c r="Y96" s="19" t="str">
        <f>IFERROR(VLOOKUP($D96&amp;$C96,設定値!$B$55:$N$85,10,FALSE)&amp;"","")</f>
        <v/>
      </c>
      <c r="Z96" s="19"/>
      <c r="AA96" s="19" t="str">
        <f>IFERROR(VLOOKUP($D96&amp;$C96,設定値!$B$55:$N$85,11,FALSE)&amp;"","")</f>
        <v/>
      </c>
      <c r="AB96" s="19"/>
      <c r="AC96" s="19" t="str">
        <f>IFERROR(VLOOKUP($D96&amp;$C96,設定値!$B$55:$N$85,12,FALSE)&amp;"","")</f>
        <v/>
      </c>
      <c r="AD96" s="19"/>
      <c r="AE96" s="19" t="str">
        <f>IFERROR(VLOOKUP($D96&amp;$C96,設定値!$B$55:$N$85,13,FALSE)&amp;"","")</f>
        <v/>
      </c>
      <c r="AF96" s="19"/>
    </row>
    <row r="97" spans="1:32" ht="15">
      <c r="A97" s="27" t="s">
        <v>118</v>
      </c>
      <c r="B97" s="7" t="s">
        <v>88</v>
      </c>
      <c r="C97" s="27" t="s">
        <v>18</v>
      </c>
      <c r="D97" s="7" t="s">
        <v>172</v>
      </c>
      <c r="E97" s="7" t="str">
        <f t="shared" si="1"/>
        <v>310</v>
      </c>
      <c r="F97" s="20" t="s">
        <v>44</v>
      </c>
      <c r="G97" s="19" t="str">
        <f>IFERROR(VLOOKUP(D97&amp;C97,設定値!$B$55:$L$85,3,FALSE),"")</f>
        <v>医療終身保険（無解約払戻金型）</v>
      </c>
      <c r="H97" s="8" t="s">
        <v>118</v>
      </c>
      <c r="I97" s="8" t="s">
        <v>100</v>
      </c>
      <c r="J97" s="8" t="s">
        <v>171</v>
      </c>
      <c r="K97" s="26"/>
      <c r="L97" s="19">
        <v>0</v>
      </c>
      <c r="M97" s="19" t="str">
        <f>IFERROR(VLOOKUP($D97&amp;$C97,設定値!$B$55:$N$85,4,FALSE)&amp;"","")</f>
        <v>benefit</v>
      </c>
      <c r="N97" s="19">
        <v>3000</v>
      </c>
      <c r="O97" s="19" t="str">
        <f>IFERROR(VLOOKUP($D97&amp;$C97,設定値!$B$55:$N$85,5,FALSE)&amp;"","")</f>
        <v>insurancePeriodClass</v>
      </c>
      <c r="P97" s="19" t="s">
        <v>240</v>
      </c>
      <c r="Q97" s="19" t="str">
        <f>IFERROR(VLOOKUP($D97&amp;$C97,設定値!$B$55:$N$85,6,FALSE)&amp;"","")</f>
        <v>insurancePeriod</v>
      </c>
      <c r="R97" s="19" t="s">
        <v>174</v>
      </c>
      <c r="S97" s="19" t="str">
        <f>IFERROR(VLOOKUP($D97&amp;$C97,設定値!$B$55:$N$85,7,FALSE)&amp;"","")</f>
        <v>paymentPeriodClass</v>
      </c>
      <c r="T97" s="19" t="s">
        <v>240</v>
      </c>
      <c r="U97" s="19" t="str">
        <f>IFERROR(VLOOKUP($D97&amp;$C97,設定値!$B$55:$N$85,8,FALSE)&amp;"","")</f>
        <v>paymentPeriod</v>
      </c>
      <c r="V97" s="19" t="s">
        <v>174</v>
      </c>
      <c r="W97" s="19" t="str">
        <f>IFERROR(VLOOKUP($D97&amp;$C97,設定値!$B$55:$N$85,9,FALSE)&amp;"","")</f>
        <v>hosCovPayLimitClass</v>
      </c>
      <c r="X97" s="19" t="s">
        <v>175</v>
      </c>
      <c r="Y97" s="19" t="str">
        <f>IFERROR(VLOOKUP($D97&amp;$C97,設定値!$B$55:$N$85,10,FALSE)&amp;"","")</f>
        <v>benefitPayConvCls</v>
      </c>
      <c r="Z97" s="19" t="s">
        <v>18</v>
      </c>
      <c r="AA97" s="19" t="str">
        <f>IFERROR(VLOOKUP($D97&amp;$C97,設定値!$B$55:$N$85,11,FALSE)&amp;"","")</f>
        <v>disHsptUnlmtDaysSpPrv</v>
      </c>
      <c r="AB97" s="19" t="s">
        <v>176</v>
      </c>
      <c r="AC97" s="19" t="str">
        <f>IFERROR(VLOOKUP($D97&amp;$C97,設定値!$B$55:$N$85,12,FALSE)&amp;"","")</f>
        <v>freeOfPRiderFlg</v>
      </c>
      <c r="AD97" s="19" t="s">
        <v>18</v>
      </c>
      <c r="AE97" s="19" t="str">
        <f>IFERROR(VLOOKUP($D97&amp;$C97,設定値!$B$55:$N$85,13,FALSE)&amp;"","")</f>
        <v>freeOfPremiumRiderCls</v>
      </c>
      <c r="AF97" s="19" t="s">
        <v>249</v>
      </c>
    </row>
    <row r="98" spans="1:32" ht="15">
      <c r="A98" s="27" t="s">
        <v>118</v>
      </c>
      <c r="B98" s="7" t="s">
        <v>88</v>
      </c>
      <c r="C98" s="27" t="s">
        <v>211</v>
      </c>
      <c r="D98" s="7" t="s">
        <v>177</v>
      </c>
      <c r="E98" s="7" t="str">
        <f t="shared" si="1"/>
        <v>D10</v>
      </c>
      <c r="F98" s="20" t="s">
        <v>44</v>
      </c>
      <c r="G98" s="19" t="str">
        <f>IFERROR(VLOOKUP(D98&amp;C98,設定値!$B$55:$L$85,3,FALSE),"")</f>
        <v>入院一時給付特約</v>
      </c>
      <c r="H98" s="8" t="s">
        <v>118</v>
      </c>
      <c r="I98" s="8" t="s">
        <v>100</v>
      </c>
      <c r="J98" s="8" t="s">
        <v>171</v>
      </c>
      <c r="K98" s="26"/>
      <c r="L98" s="19"/>
      <c r="M98" s="19" t="str">
        <f>IFERROR(VLOOKUP($D98&amp;$C98,設定値!$B$55:$N$85,4,FALSE)&amp;"","")</f>
        <v>benefit</v>
      </c>
      <c r="N98" s="19">
        <v>10000</v>
      </c>
      <c r="O98" s="19" t="str">
        <f>IFERROR(VLOOKUP($D98&amp;$C98,設定値!$B$55:$N$85,5,FALSE)&amp;"","")</f>
        <v>insurancePeriodClass</v>
      </c>
      <c r="P98" s="19" t="s">
        <v>240</v>
      </c>
      <c r="Q98" s="19" t="str">
        <f>IFERROR(VLOOKUP($D98&amp;$C98,設定値!$B$55:$N$85,6,FALSE)&amp;"","")</f>
        <v>insurancePeriod</v>
      </c>
      <c r="R98" s="19" t="s">
        <v>174</v>
      </c>
      <c r="S98" s="19" t="str">
        <f>IFERROR(VLOOKUP($D98&amp;$C98,設定値!$B$55:$N$85,7,FALSE)&amp;"","")</f>
        <v>paymentPeriodClass</v>
      </c>
      <c r="T98" s="19" t="s">
        <v>240</v>
      </c>
      <c r="U98" s="19" t="str">
        <f>IFERROR(VLOOKUP($D98&amp;$C98,設定値!$B$55:$N$85,8,FALSE)&amp;"","")</f>
        <v>paymentPeriod</v>
      </c>
      <c r="V98" s="19" t="s">
        <v>174</v>
      </c>
      <c r="W98" s="19" t="str">
        <f>IFERROR(VLOOKUP($D98&amp;$C98,設定値!$B$55:$N$85,9,FALSE)&amp;"","")</f>
        <v/>
      </c>
      <c r="X98" s="19"/>
      <c r="Y98" s="19" t="str">
        <f>IFERROR(VLOOKUP($D98&amp;$C98,設定値!$B$55:$N$85,10,FALSE)&amp;"","")</f>
        <v/>
      </c>
      <c r="Z98" s="19"/>
      <c r="AA98" s="19" t="str">
        <f>IFERROR(VLOOKUP($D98&amp;$C98,設定値!$B$55:$N$85,11,FALSE)&amp;"","")</f>
        <v/>
      </c>
      <c r="AB98" s="19"/>
      <c r="AC98" s="19" t="str">
        <f>IFERROR(VLOOKUP($D98&amp;$C98,設定値!$B$55:$N$85,12,FALSE)&amp;"","")</f>
        <v/>
      </c>
      <c r="AD98" s="19"/>
      <c r="AE98" s="19" t="str">
        <f>IFERROR(VLOOKUP($D98&amp;$C98,設定値!$B$55:$N$85,13,FALSE)&amp;"","")</f>
        <v/>
      </c>
      <c r="AF98" s="19"/>
    </row>
    <row r="99" spans="1:32" ht="15">
      <c r="A99" s="27" t="s">
        <v>118</v>
      </c>
      <c r="B99" s="7" t="s">
        <v>88</v>
      </c>
      <c r="C99" s="27" t="s">
        <v>211</v>
      </c>
      <c r="D99" s="7" t="s">
        <v>252</v>
      </c>
      <c r="E99" s="7" t="str">
        <f t="shared" si="1"/>
        <v>D10</v>
      </c>
      <c r="F99" s="20" t="s">
        <v>44</v>
      </c>
      <c r="G99" s="19" t="str">
        <f>IFERROR(VLOOKUP(D99&amp;C99,設定値!$B$55:$L$85,3,FALSE),"")</f>
        <v>女性医療特約</v>
      </c>
      <c r="H99" s="8" t="s">
        <v>118</v>
      </c>
      <c r="I99" s="8" t="s">
        <v>100</v>
      </c>
      <c r="J99" s="8" t="s">
        <v>171</v>
      </c>
      <c r="K99" s="26"/>
      <c r="L99" s="19"/>
      <c r="M99" s="19" t="str">
        <f>IFERROR(VLOOKUP($D99&amp;$C99,設定値!$B$55:$N$85,4,FALSE)&amp;"","")</f>
        <v>benefit</v>
      </c>
      <c r="N99" s="19">
        <v>2000</v>
      </c>
      <c r="O99" s="19" t="str">
        <f>IFERROR(VLOOKUP($D99&amp;$C99,設定値!$B$55:$N$85,5,FALSE)&amp;"","")</f>
        <v>insurancePeriodClass</v>
      </c>
      <c r="P99" s="19" t="s">
        <v>240</v>
      </c>
      <c r="Q99" s="19" t="str">
        <f>IFERROR(VLOOKUP($D99&amp;$C99,設定値!$B$55:$N$85,6,FALSE)&amp;"","")</f>
        <v>insurancePeriod</v>
      </c>
      <c r="R99" s="19" t="s">
        <v>174</v>
      </c>
      <c r="S99" s="19" t="str">
        <f>IFERROR(VLOOKUP($D99&amp;$C99,設定値!$B$55:$N$85,7,FALSE)&amp;"","")</f>
        <v>paymentPeriodClass</v>
      </c>
      <c r="T99" s="19" t="s">
        <v>240</v>
      </c>
      <c r="U99" s="19" t="str">
        <f>IFERROR(VLOOKUP($D99&amp;$C99,設定値!$B$55:$N$85,8,FALSE)&amp;"","")</f>
        <v>paymentPeriod</v>
      </c>
      <c r="V99" s="19" t="s">
        <v>174</v>
      </c>
      <c r="W99" s="19" t="str">
        <f>IFERROR(VLOOKUP($D99&amp;$C99,設定値!$B$55:$N$85,9,FALSE)&amp;"","")</f>
        <v>hosCovPayLimitClass</v>
      </c>
      <c r="X99" s="19" t="s">
        <v>175</v>
      </c>
      <c r="Y99" s="19" t="str">
        <f>IFERROR(VLOOKUP($D99&amp;$C99,設定値!$B$55:$N$85,10,FALSE)&amp;"","")</f>
        <v>disHsptUnlmtDaysSpPrv</v>
      </c>
      <c r="Z99" s="19" t="s">
        <v>18</v>
      </c>
      <c r="AA99" s="19" t="str">
        <f>IFERROR(VLOOKUP($D99&amp;$C99,設定値!$B$55:$N$85,11,FALSE)&amp;"","")</f>
        <v/>
      </c>
      <c r="AB99" s="19"/>
      <c r="AC99" s="19" t="str">
        <f>IFERROR(VLOOKUP($D99&amp;$C99,設定値!$B$55:$N$85,12,FALSE)&amp;"","")</f>
        <v/>
      </c>
      <c r="AD99" s="19"/>
      <c r="AE99" s="19" t="str">
        <f>IFERROR(VLOOKUP($D99&amp;$C99,設定値!$B$55:$N$85,13,FALSE)&amp;"","")</f>
        <v/>
      </c>
      <c r="AF99" s="19"/>
    </row>
    <row r="100" spans="1:32" ht="15">
      <c r="A100" s="27" t="s">
        <v>118</v>
      </c>
      <c r="B100" s="7" t="s">
        <v>88</v>
      </c>
      <c r="C100" s="27" t="s">
        <v>211</v>
      </c>
      <c r="D100" s="7" t="s">
        <v>183</v>
      </c>
      <c r="E100" s="7" t="str">
        <f t="shared" si="1"/>
        <v>D10</v>
      </c>
      <c r="F100" s="20" t="s">
        <v>44</v>
      </c>
      <c r="G100" s="19" t="str">
        <f>IFERROR(VLOOKUP(D100&amp;C100,設定値!$B$55:$L$85,3,FALSE),"")</f>
        <v>退院後通院特約</v>
      </c>
      <c r="H100" s="8" t="s">
        <v>118</v>
      </c>
      <c r="I100" s="8" t="s">
        <v>100</v>
      </c>
      <c r="J100" s="8" t="s">
        <v>171</v>
      </c>
      <c r="K100" s="26"/>
      <c r="L100" s="19"/>
      <c r="M100" s="19" t="str">
        <f>IFERROR(VLOOKUP($D100&amp;$C100,設定値!$B$55:$N$85,4,FALSE)&amp;"","")</f>
        <v>benefit</v>
      </c>
      <c r="N100" s="19">
        <v>2000</v>
      </c>
      <c r="O100" s="19" t="str">
        <f>IFERROR(VLOOKUP($D100&amp;$C100,設定値!$B$55:$N$85,5,FALSE)&amp;"","")</f>
        <v>insurancePeriodClass</v>
      </c>
      <c r="P100" s="19" t="s">
        <v>240</v>
      </c>
      <c r="Q100" s="19" t="str">
        <f>IFERROR(VLOOKUP($D100&amp;$C100,設定値!$B$55:$N$85,6,FALSE)&amp;"","")</f>
        <v>insurancePeriod</v>
      </c>
      <c r="R100" s="19" t="s">
        <v>174</v>
      </c>
      <c r="S100" s="19" t="str">
        <f>IFERROR(VLOOKUP($D100&amp;$C100,設定値!$B$55:$N$85,7,FALSE)&amp;"","")</f>
        <v>paymentPeriodClass</v>
      </c>
      <c r="T100" s="19" t="s">
        <v>240</v>
      </c>
      <c r="U100" s="19" t="str">
        <f>IFERROR(VLOOKUP($D100&amp;$C100,設定値!$B$55:$N$85,8,FALSE)&amp;"","")</f>
        <v>paymentPeriod</v>
      </c>
      <c r="V100" s="19" t="s">
        <v>174</v>
      </c>
      <c r="W100" s="19" t="str">
        <f>IFERROR(VLOOKUP($D100&amp;$C100,設定値!$B$55:$N$85,9,FALSE)&amp;"","")</f>
        <v/>
      </c>
      <c r="X100" s="19"/>
      <c r="Y100" s="19" t="str">
        <f>IFERROR(VLOOKUP($D100&amp;$C100,設定値!$B$55:$N$85,10,FALSE)&amp;"","")</f>
        <v/>
      </c>
      <c r="Z100" s="19"/>
      <c r="AA100" s="19" t="str">
        <f>IFERROR(VLOOKUP($D100&amp;$C100,設定値!$B$55:$N$85,11,FALSE)&amp;"","")</f>
        <v/>
      </c>
      <c r="AB100" s="19"/>
      <c r="AC100" s="19" t="str">
        <f>IFERROR(VLOOKUP($D100&amp;$C100,設定値!$B$55:$N$85,12,FALSE)&amp;"","")</f>
        <v/>
      </c>
      <c r="AD100" s="19"/>
      <c r="AE100" s="19" t="str">
        <f>IFERROR(VLOOKUP($D100&amp;$C100,設定値!$B$55:$N$85,13,FALSE)&amp;"","")</f>
        <v/>
      </c>
      <c r="AF100" s="19"/>
    </row>
    <row r="101" spans="1:32" ht="15">
      <c r="A101" s="27" t="s">
        <v>118</v>
      </c>
      <c r="B101" s="7" t="s">
        <v>88</v>
      </c>
      <c r="C101" s="27" t="s">
        <v>211</v>
      </c>
      <c r="D101" s="7" t="s">
        <v>178</v>
      </c>
      <c r="E101" s="7" t="str">
        <f t="shared" si="1"/>
        <v>D10</v>
      </c>
      <c r="F101" s="20" t="s">
        <v>44</v>
      </c>
      <c r="G101" s="19" t="str">
        <f>IFERROR(VLOOKUP(D101&amp;C101,設定値!$B$55:$L$85,3,FALSE),"")</f>
        <v>先進医療特約</v>
      </c>
      <c r="H101" s="8" t="s">
        <v>118</v>
      </c>
      <c r="I101" s="8" t="s">
        <v>100</v>
      </c>
      <c r="J101" s="8" t="s">
        <v>171</v>
      </c>
      <c r="K101" s="26"/>
      <c r="L101" s="19"/>
      <c r="M101" s="19" t="str">
        <f>IFERROR(VLOOKUP($D101&amp;$C101,設定値!$B$55:$N$85,4,FALSE)&amp;"","")</f>
        <v>additionType</v>
      </c>
      <c r="N101" s="19" t="s">
        <v>18</v>
      </c>
      <c r="O101" s="19" t="str">
        <f>IFERROR(VLOOKUP($D101&amp;$C101,設定値!$B$55:$N$85,5,FALSE)&amp;"","")</f>
        <v>insurancePeriodClass</v>
      </c>
      <c r="P101" s="19" t="s">
        <v>240</v>
      </c>
      <c r="Q101" s="19" t="str">
        <f>IFERROR(VLOOKUP($D101&amp;$C101,設定値!$B$55:$N$85,6,FALSE)&amp;"","")</f>
        <v>insurancePeriod</v>
      </c>
      <c r="R101" s="19" t="s">
        <v>174</v>
      </c>
      <c r="S101" s="19" t="str">
        <f>IFERROR(VLOOKUP($D101&amp;$C101,設定値!$B$55:$N$85,7,FALSE)&amp;"","")</f>
        <v>paymentPeriodClass</v>
      </c>
      <c r="T101" s="19" t="s">
        <v>240</v>
      </c>
      <c r="U101" s="19" t="str">
        <f>IFERROR(VLOOKUP($D101&amp;$C101,設定値!$B$55:$N$85,8,FALSE)&amp;"","")</f>
        <v>paymentPeriod</v>
      </c>
      <c r="V101" s="19" t="s">
        <v>174</v>
      </c>
      <c r="W101" s="19" t="str">
        <f>IFERROR(VLOOKUP($D101&amp;$C101,設定値!$B$55:$N$85,9,FALSE)&amp;"","")</f>
        <v/>
      </c>
      <c r="X101" s="19"/>
      <c r="Y101" s="19" t="str">
        <f>IFERROR(VLOOKUP($D101&amp;$C101,設定値!$B$55:$N$85,10,FALSE)&amp;"","")</f>
        <v/>
      </c>
      <c r="Z101" s="19"/>
      <c r="AA101" s="19" t="str">
        <f>IFERROR(VLOOKUP($D101&amp;$C101,設定値!$B$55:$N$85,11,FALSE)&amp;"","")</f>
        <v/>
      </c>
      <c r="AB101" s="19"/>
      <c r="AC101" s="19" t="str">
        <f>IFERROR(VLOOKUP($D101&amp;$C101,設定値!$B$55:$N$85,12,FALSE)&amp;"","")</f>
        <v/>
      </c>
      <c r="AD101" s="19"/>
      <c r="AE101" s="19" t="str">
        <f>IFERROR(VLOOKUP($D101&amp;$C101,設定値!$B$55:$N$85,13,FALSE)&amp;"","")</f>
        <v/>
      </c>
      <c r="AF101" s="19"/>
    </row>
    <row r="102" spans="1:32" ht="15">
      <c r="A102" s="27" t="s">
        <v>118</v>
      </c>
      <c r="B102" s="7" t="s">
        <v>88</v>
      </c>
      <c r="C102" s="27" t="s">
        <v>211</v>
      </c>
      <c r="D102" s="7" t="s">
        <v>179</v>
      </c>
      <c r="E102" s="7" t="str">
        <f t="shared" si="1"/>
        <v>D10</v>
      </c>
      <c r="F102" s="20" t="s">
        <v>44</v>
      </c>
      <c r="G102" s="19" t="str">
        <f>IFERROR(VLOOKUP(D102&amp;C102,設定値!$B$55:$L$85,3,FALSE),"")</f>
        <v>特定疾病一時給付特約（２０）</v>
      </c>
      <c r="H102" s="8" t="s">
        <v>118</v>
      </c>
      <c r="I102" s="8" t="s">
        <v>100</v>
      </c>
      <c r="J102" s="8" t="s">
        <v>171</v>
      </c>
      <c r="K102" s="26"/>
      <c r="L102" s="19"/>
      <c r="M102" s="19" t="str">
        <f>IFERROR(VLOOKUP($D102&amp;$C102,設定値!$B$55:$N$85,4,FALSE)&amp;"","")</f>
        <v>benefit</v>
      </c>
      <c r="N102" s="19">
        <v>100000</v>
      </c>
      <c r="O102" s="19" t="str">
        <f>IFERROR(VLOOKUP($D102&amp;$C102,設定値!$B$55:$N$85,5,FALSE)&amp;"","")</f>
        <v>insurancePeriodClass</v>
      </c>
      <c r="P102" s="19" t="s">
        <v>240</v>
      </c>
      <c r="Q102" s="19" t="str">
        <f>IFERROR(VLOOKUP($D102&amp;$C102,設定値!$B$55:$N$85,6,FALSE)&amp;"","")</f>
        <v>insurancePeriod</v>
      </c>
      <c r="R102" s="19" t="s">
        <v>174</v>
      </c>
      <c r="S102" s="19" t="str">
        <f>IFERROR(VLOOKUP($D102&amp;$C102,設定値!$B$55:$N$85,7,FALSE)&amp;"","")</f>
        <v>paymentPeriodClass</v>
      </c>
      <c r="T102" s="19" t="s">
        <v>240</v>
      </c>
      <c r="U102" s="19" t="str">
        <f>IFERROR(VLOOKUP($D102&amp;$C102,設定値!$B$55:$N$85,8,FALSE)&amp;"","")</f>
        <v>paymentPeriod</v>
      </c>
      <c r="V102" s="19" t="s">
        <v>174</v>
      </c>
      <c r="W102" s="19" t="str">
        <f>IFERROR(VLOOKUP($D102&amp;$C102,設定値!$B$55:$N$85,9,FALSE)&amp;"","")</f>
        <v>diseaseCoverageType</v>
      </c>
      <c r="X102" s="19" t="s">
        <v>250</v>
      </c>
      <c r="Y102" s="19" t="str">
        <f>IFERROR(VLOOKUP($D102&amp;$C102,設定値!$B$55:$N$85,10,FALSE)&amp;"","")</f>
        <v>benefitFirstPayConvCls</v>
      </c>
      <c r="Z102" s="19" t="s">
        <v>18</v>
      </c>
      <c r="AA102" s="19" t="str">
        <f>IFERROR(VLOOKUP($D102&amp;$C102,設定値!$B$55:$N$85,11,FALSE)&amp;"","")</f>
        <v/>
      </c>
      <c r="AB102" s="19"/>
      <c r="AC102" s="19" t="str">
        <f>IFERROR(VLOOKUP($D102&amp;$C102,設定値!$B$55:$N$85,12,FALSE)&amp;"","")</f>
        <v/>
      </c>
      <c r="AD102" s="19"/>
      <c r="AE102" s="19" t="str">
        <f>IFERROR(VLOOKUP($D102&amp;$C102,設定値!$B$55:$N$85,13,FALSE)&amp;"","")</f>
        <v/>
      </c>
      <c r="AF102" s="19"/>
    </row>
    <row r="103" spans="1:32" ht="15">
      <c r="A103" s="27" t="s">
        <v>118</v>
      </c>
      <c r="B103" s="7" t="s">
        <v>88</v>
      </c>
      <c r="C103" s="27" t="s">
        <v>211</v>
      </c>
      <c r="D103" s="7" t="s">
        <v>180</v>
      </c>
      <c r="E103" s="7" t="str">
        <f t="shared" si="1"/>
        <v>D10</v>
      </c>
      <c r="F103" s="20" t="s">
        <v>44</v>
      </c>
      <c r="G103" s="19" t="str">
        <f>IFERROR(VLOOKUP(D103&amp;C103,設定値!$B$55:$L$85,3,FALSE),"")</f>
        <v>抗がん剤・ホルモン剤治療特約</v>
      </c>
      <c r="H103" s="8" t="s">
        <v>118</v>
      </c>
      <c r="I103" s="8" t="s">
        <v>100</v>
      </c>
      <c r="J103" s="8" t="s">
        <v>171</v>
      </c>
      <c r="K103" s="26"/>
      <c r="L103" s="19"/>
      <c r="M103" s="19" t="str">
        <f>IFERROR(VLOOKUP($D103&amp;$C103,設定値!$B$55:$N$85,4,FALSE)&amp;"","")</f>
        <v>benefit</v>
      </c>
      <c r="N103" s="19">
        <v>10000</v>
      </c>
      <c r="O103" s="19" t="str">
        <f>IFERROR(VLOOKUP($D103&amp;$C103,設定値!$B$55:$N$85,5,FALSE)&amp;"","")</f>
        <v>insurancePeriodClass</v>
      </c>
      <c r="P103" s="19" t="s">
        <v>240</v>
      </c>
      <c r="Q103" s="19" t="str">
        <f>IFERROR(VLOOKUP($D103&amp;$C103,設定値!$B$55:$N$85,6,FALSE)&amp;"","")</f>
        <v>insurancePeriod</v>
      </c>
      <c r="R103" s="19" t="s">
        <v>174</v>
      </c>
      <c r="S103" s="19" t="str">
        <f>IFERROR(VLOOKUP($D103&amp;$C103,設定値!$B$55:$N$85,7,FALSE)&amp;"","")</f>
        <v>paymentPeriodClass</v>
      </c>
      <c r="T103" s="19" t="s">
        <v>240</v>
      </c>
      <c r="U103" s="19" t="str">
        <f>IFERROR(VLOOKUP($D103&amp;$C103,設定値!$B$55:$N$85,8,FALSE)&amp;"","")</f>
        <v>paymentPeriod</v>
      </c>
      <c r="V103" s="19" t="s">
        <v>174</v>
      </c>
      <c r="W103" s="19" t="str">
        <f>IFERROR(VLOOKUP($D103&amp;$C103,設定値!$B$55:$N$85,9,FALSE)&amp;"","")</f>
        <v/>
      </c>
      <c r="X103" s="19"/>
      <c r="Y103" s="19" t="str">
        <f>IFERROR(VLOOKUP($D103&amp;$C103,設定値!$B$55:$N$85,10,FALSE)&amp;"","")</f>
        <v/>
      </c>
      <c r="Z103" s="19"/>
      <c r="AA103" s="19" t="str">
        <f>IFERROR(VLOOKUP($D103&amp;$C103,設定値!$B$55:$N$85,11,FALSE)&amp;"","")</f>
        <v/>
      </c>
      <c r="AB103" s="19"/>
      <c r="AC103" s="19" t="str">
        <f>IFERROR(VLOOKUP($D103&amp;$C103,設定値!$B$55:$N$85,12,FALSE)&amp;"","")</f>
        <v/>
      </c>
      <c r="AD103" s="19"/>
      <c r="AE103" s="19" t="str">
        <f>IFERROR(VLOOKUP($D103&amp;$C103,設定値!$B$55:$N$85,13,FALSE)&amp;"","")</f>
        <v/>
      </c>
      <c r="AF103" s="19"/>
    </row>
    <row r="104" spans="1:32" ht="15">
      <c r="A104" s="27" t="s">
        <v>118</v>
      </c>
      <c r="B104" s="7" t="s">
        <v>88</v>
      </c>
      <c r="C104" s="27" t="s">
        <v>211</v>
      </c>
      <c r="D104" s="7" t="s">
        <v>181</v>
      </c>
      <c r="E104" s="7" t="str">
        <f t="shared" si="1"/>
        <v>D10</v>
      </c>
      <c r="F104" s="20" t="s">
        <v>44</v>
      </c>
      <c r="G104" s="19" t="str">
        <f>IFERROR(VLOOKUP(D104&amp;C104,設定値!$B$55:$L$85,3,FALSE),"")</f>
        <v>特定損傷特約</v>
      </c>
      <c r="H104" s="8" t="s">
        <v>118</v>
      </c>
      <c r="I104" s="8" t="s">
        <v>100</v>
      </c>
      <c r="J104" s="8" t="s">
        <v>171</v>
      </c>
      <c r="K104" s="26"/>
      <c r="L104" s="19"/>
      <c r="M104" s="19" t="str">
        <f>IFERROR(VLOOKUP($D104&amp;$C104,設定値!$B$55:$N$85,4,FALSE)&amp;"","")</f>
        <v>benefit</v>
      </c>
      <c r="N104" s="19">
        <v>50000</v>
      </c>
      <c r="O104" s="19" t="str">
        <f>IFERROR(VLOOKUP($D104&amp;$C104,設定値!$B$55:$N$85,5,FALSE)&amp;"","")</f>
        <v>insurancePeriodClass</v>
      </c>
      <c r="P104" s="19" t="s">
        <v>176</v>
      </c>
      <c r="Q104" s="19" t="str">
        <f>IFERROR(VLOOKUP($D104&amp;$C104,設定値!$B$55:$N$85,6,FALSE)&amp;"","")</f>
        <v>insurancePeriod</v>
      </c>
      <c r="R104" s="19" t="s">
        <v>274</v>
      </c>
      <c r="S104" s="19" t="str">
        <f>IFERROR(VLOOKUP($D104&amp;$C104,設定値!$B$55:$N$85,7,FALSE)&amp;"","")</f>
        <v>paymentPeriodClass</v>
      </c>
      <c r="T104" s="19" t="s">
        <v>176</v>
      </c>
      <c r="U104" s="19" t="str">
        <f>IFERROR(VLOOKUP($D104&amp;$C104,設定値!$B$55:$N$85,8,FALSE)&amp;"","")</f>
        <v>paymentPeriod</v>
      </c>
      <c r="V104" s="19" t="s">
        <v>274</v>
      </c>
      <c r="W104" s="19" t="str">
        <f>IFERROR(VLOOKUP($D104&amp;$C104,設定値!$B$55:$N$85,9,FALSE)&amp;"","")</f>
        <v/>
      </c>
      <c r="X104" s="19"/>
      <c r="Y104" s="19" t="str">
        <f>IFERROR(VLOOKUP($D104&amp;$C104,設定値!$B$55:$N$85,10,FALSE)&amp;"","")</f>
        <v/>
      </c>
      <c r="Z104" s="19"/>
      <c r="AA104" s="19" t="str">
        <f>IFERROR(VLOOKUP($D104&amp;$C104,設定値!$B$55:$N$85,11,FALSE)&amp;"","")</f>
        <v/>
      </c>
      <c r="AB104" s="19"/>
      <c r="AC104" s="19" t="str">
        <f>IFERROR(VLOOKUP($D104&amp;$C104,設定値!$B$55:$N$85,12,FALSE)&amp;"","")</f>
        <v/>
      </c>
      <c r="AD104" s="19"/>
      <c r="AE104" s="19" t="str">
        <f>IFERROR(VLOOKUP($D104&amp;$C104,設定値!$B$55:$N$85,13,FALSE)&amp;"","")</f>
        <v/>
      </c>
      <c r="AF104" s="19"/>
    </row>
    <row r="105" spans="1:32" ht="15">
      <c r="A105" s="27" t="s">
        <v>118</v>
      </c>
      <c r="B105" s="7" t="s">
        <v>88</v>
      </c>
      <c r="C105" s="27" t="s">
        <v>211</v>
      </c>
      <c r="D105" s="7" t="s">
        <v>253</v>
      </c>
      <c r="E105" s="7" t="str">
        <f t="shared" si="1"/>
        <v>D10</v>
      </c>
      <c r="F105" s="20" t="s">
        <v>44</v>
      </c>
      <c r="G105" s="19" t="str">
        <f>IFERROR(VLOOKUP(D105&amp;C105,設定値!$B$55:$L$85,3,FALSE),"")</f>
        <v>女性疾病入院一時給付特約</v>
      </c>
      <c r="H105" s="8" t="s">
        <v>118</v>
      </c>
      <c r="I105" s="8" t="s">
        <v>100</v>
      </c>
      <c r="J105" s="8" t="s">
        <v>171</v>
      </c>
      <c r="K105" s="26"/>
      <c r="L105" s="19"/>
      <c r="M105" s="19" t="str">
        <f>IFERROR(VLOOKUP($D105&amp;$C105,設定値!$B$55:$N$85,4,FALSE)&amp;"","")</f>
        <v>benefit</v>
      </c>
      <c r="N105" s="19">
        <v>10000</v>
      </c>
      <c r="O105" s="19" t="str">
        <f>IFERROR(VLOOKUP($D105&amp;$C105,設定値!$B$55:$N$85,5,FALSE)&amp;"","")</f>
        <v>insurancePeriodClass</v>
      </c>
      <c r="P105" s="19" t="s">
        <v>240</v>
      </c>
      <c r="Q105" s="19" t="str">
        <f>IFERROR(VLOOKUP($D105&amp;$C105,設定値!$B$55:$N$85,6,FALSE)&amp;"","")</f>
        <v>insurancePeriod</v>
      </c>
      <c r="R105" s="19" t="s">
        <v>174</v>
      </c>
      <c r="S105" s="19" t="str">
        <f>IFERROR(VLOOKUP($D105&amp;$C105,設定値!$B$55:$N$85,7,FALSE)&amp;"","")</f>
        <v>paymentPeriodClass</v>
      </c>
      <c r="T105" s="19" t="s">
        <v>240</v>
      </c>
      <c r="U105" s="19" t="str">
        <f>IFERROR(VLOOKUP($D105&amp;$C105,設定値!$B$55:$N$85,8,FALSE)&amp;"","")</f>
        <v>paymentPeriod</v>
      </c>
      <c r="V105" s="19" t="s">
        <v>174</v>
      </c>
      <c r="W105" s="19" t="str">
        <f>IFERROR(VLOOKUP($D105&amp;$C105,設定値!$B$55:$N$85,9,FALSE)&amp;"","")</f>
        <v/>
      </c>
      <c r="X105" s="19"/>
      <c r="Y105" s="19" t="str">
        <f>IFERROR(VLOOKUP($D105&amp;$C105,設定値!$B$55:$N$85,10,FALSE)&amp;"","")</f>
        <v/>
      </c>
      <c r="Z105" s="19"/>
      <c r="AA105" s="19" t="str">
        <f>IFERROR(VLOOKUP($D105&amp;$C105,設定値!$B$55:$N$85,11,FALSE)&amp;"","")</f>
        <v/>
      </c>
      <c r="AB105" s="19"/>
      <c r="AC105" s="19" t="str">
        <f>IFERROR(VLOOKUP($D105&amp;$C105,設定値!$B$55:$N$85,12,FALSE)&amp;"","")</f>
        <v/>
      </c>
      <c r="AD105" s="19"/>
      <c r="AE105" s="19" t="str">
        <f>IFERROR(VLOOKUP($D105&amp;$C105,設定値!$B$55:$N$85,13,FALSE)&amp;"","")</f>
        <v/>
      </c>
      <c r="AF105" s="19"/>
    </row>
    <row r="106" spans="1:32" ht="15">
      <c r="A106" s="27" t="s">
        <v>118</v>
      </c>
      <c r="B106" s="7" t="s">
        <v>88</v>
      </c>
      <c r="C106" s="27" t="s">
        <v>211</v>
      </c>
      <c r="D106" s="7" t="s">
        <v>182</v>
      </c>
      <c r="E106" s="7" t="str">
        <f t="shared" si="1"/>
        <v>D10</v>
      </c>
      <c r="F106" s="20" t="s">
        <v>44</v>
      </c>
      <c r="G106" s="19" t="str">
        <f>IFERROR(VLOOKUP(D106&amp;C106,設定値!$B$55:$L$85,3,FALSE),"")</f>
        <v>がん一時給付特約</v>
      </c>
      <c r="H106" s="8" t="s">
        <v>118</v>
      </c>
      <c r="I106" s="8" t="s">
        <v>100</v>
      </c>
      <c r="J106" s="8" t="s">
        <v>171</v>
      </c>
      <c r="K106" s="26"/>
      <c r="L106" s="19"/>
      <c r="M106" s="19" t="str">
        <f>IFERROR(VLOOKUP($D106&amp;$C106,設定値!$B$55:$N$85,4,FALSE)&amp;"","")</f>
        <v>benefit</v>
      </c>
      <c r="N106" s="19">
        <v>100000</v>
      </c>
      <c r="O106" s="19" t="str">
        <f>IFERROR(VLOOKUP($D106&amp;$C106,設定値!$B$55:$N$85,5,FALSE)&amp;"","")</f>
        <v>insurancePeriodClass</v>
      </c>
      <c r="P106" s="19" t="s">
        <v>240</v>
      </c>
      <c r="Q106" s="19" t="str">
        <f>IFERROR(VLOOKUP($D106&amp;$C106,設定値!$B$55:$N$85,6,FALSE)&amp;"","")</f>
        <v>insurancePeriod</v>
      </c>
      <c r="R106" s="19" t="s">
        <v>174</v>
      </c>
      <c r="S106" s="19" t="str">
        <f>IFERROR(VLOOKUP($D106&amp;$C106,設定値!$B$55:$N$85,7,FALSE)&amp;"","")</f>
        <v>paymentPeriodClass</v>
      </c>
      <c r="T106" s="19" t="s">
        <v>240</v>
      </c>
      <c r="U106" s="19" t="str">
        <f>IFERROR(VLOOKUP($D106&amp;$C106,設定値!$B$55:$N$85,8,FALSE)&amp;"","")</f>
        <v>paymentPeriod</v>
      </c>
      <c r="V106" s="19" t="s">
        <v>174</v>
      </c>
      <c r="W106" s="19" t="str">
        <f>IFERROR(VLOOKUP($D106&amp;$C106,設定値!$B$55:$N$85,9,FALSE)&amp;"","")</f>
        <v/>
      </c>
      <c r="X106" s="19"/>
      <c r="Y106" s="19" t="str">
        <f>IFERROR(VLOOKUP($D106&amp;$C106,設定値!$B$55:$N$85,10,FALSE)&amp;"","")</f>
        <v/>
      </c>
      <c r="Z106" s="19"/>
      <c r="AA106" s="19" t="str">
        <f>IFERROR(VLOOKUP($D106&amp;$C106,設定値!$B$55:$N$85,11,FALSE)&amp;"","")</f>
        <v/>
      </c>
      <c r="AB106" s="19"/>
      <c r="AC106" s="19" t="str">
        <f>IFERROR(VLOOKUP($D106&amp;$C106,設定値!$B$55:$N$85,12,FALSE)&amp;"","")</f>
        <v/>
      </c>
      <c r="AD106" s="19"/>
      <c r="AE106" s="19" t="str">
        <f>IFERROR(VLOOKUP($D106&amp;$C106,設定値!$B$55:$N$85,13,FALSE)&amp;"","")</f>
        <v/>
      </c>
      <c r="AF106" s="19"/>
    </row>
    <row r="107" spans="1:32" ht="15">
      <c r="A107" s="27" t="s">
        <v>118</v>
      </c>
      <c r="B107" s="7" t="s">
        <v>88</v>
      </c>
      <c r="C107" s="27" t="s">
        <v>211</v>
      </c>
      <c r="D107" s="7" t="s">
        <v>172</v>
      </c>
      <c r="E107" s="7" t="str">
        <f t="shared" si="1"/>
        <v>D10</v>
      </c>
      <c r="F107" s="20" t="s">
        <v>44</v>
      </c>
      <c r="G107" s="19" t="str">
        <f>IFERROR(VLOOKUP(D107&amp;C107,設定値!$B$55:$L$85,3,FALSE),"")</f>
        <v>特定疾病保険料払込免除特約</v>
      </c>
      <c r="H107" s="8" t="s">
        <v>118</v>
      </c>
      <c r="I107" s="8" t="s">
        <v>100</v>
      </c>
      <c r="J107" s="8" t="s">
        <v>171</v>
      </c>
      <c r="K107" s="26"/>
      <c r="L107" s="19"/>
      <c r="M107" s="19" t="str">
        <f>IFERROR(VLOOKUP($D107&amp;$C107,設定値!$B$55:$N$85,4,FALSE)&amp;"","")</f>
        <v>additionType</v>
      </c>
      <c r="N107" s="19" t="s">
        <v>18</v>
      </c>
      <c r="O107" s="19" t="str">
        <f>IFERROR(VLOOKUP($D107&amp;$C107,設定値!$B$55:$N$85,5,FALSE)&amp;"","")</f>
        <v>insurancePeriodClass</v>
      </c>
      <c r="P107" s="19" t="s">
        <v>240</v>
      </c>
      <c r="Q107" s="19" t="str">
        <f>IFERROR(VLOOKUP($D107&amp;$C107,設定値!$B$55:$N$85,6,FALSE)&amp;"","")</f>
        <v>insurancePeriod</v>
      </c>
      <c r="R107" s="19" t="s">
        <v>174</v>
      </c>
      <c r="S107" s="19" t="str">
        <f>IFERROR(VLOOKUP($D107&amp;$C107,設定値!$B$55:$N$85,7,FALSE)&amp;"","")</f>
        <v>paymentPeriodClass</v>
      </c>
      <c r="T107" s="19" t="s">
        <v>240</v>
      </c>
      <c r="U107" s="19" t="str">
        <f>IFERROR(VLOOKUP($D107&amp;$C107,設定値!$B$55:$N$85,8,FALSE)&amp;"","")</f>
        <v>paymentPeriod</v>
      </c>
      <c r="V107" s="19" t="s">
        <v>174</v>
      </c>
      <c r="W107" s="19" t="str">
        <f>IFERROR(VLOOKUP($D107&amp;$C107,設定値!$B$55:$N$85,9,FALSE)&amp;"","")</f>
        <v>freeOfPremiumRiderCls</v>
      </c>
      <c r="X107" s="19" t="s">
        <v>249</v>
      </c>
      <c r="Y107" s="19" t="str">
        <f>IFERROR(VLOOKUP($D107&amp;$C107,設定値!$B$55:$N$85,10,FALSE)&amp;"","")</f>
        <v/>
      </c>
      <c r="Z107" s="19"/>
      <c r="AA107" s="19" t="str">
        <f>IFERROR(VLOOKUP($D107&amp;$C107,設定値!$B$55:$N$85,11,FALSE)&amp;"","")</f>
        <v/>
      </c>
      <c r="AB107" s="19"/>
      <c r="AC107" s="19" t="str">
        <f>IFERROR(VLOOKUP($D107&amp;$C107,設定値!$B$55:$N$85,12,FALSE)&amp;"","")</f>
        <v/>
      </c>
      <c r="AD107" s="19"/>
      <c r="AE107" s="19" t="str">
        <f>IFERROR(VLOOKUP($D107&amp;$C107,設定値!$B$55:$N$85,13,FALSE)&amp;"","")</f>
        <v/>
      </c>
      <c r="AF107" s="19"/>
    </row>
    <row r="108" spans="1:32" ht="15">
      <c r="A108" s="27" t="s">
        <v>213</v>
      </c>
      <c r="B108" s="7" t="s">
        <v>88</v>
      </c>
      <c r="C108" s="27" t="s">
        <v>18</v>
      </c>
      <c r="D108" s="7" t="s">
        <v>172</v>
      </c>
      <c r="E108" s="7" t="str">
        <f t="shared" si="1"/>
        <v>310</v>
      </c>
      <c r="F108" s="20" t="s">
        <v>44</v>
      </c>
      <c r="G108" s="19" t="str">
        <f>IFERROR(VLOOKUP(D108&amp;C108,設定値!$B$55:$L$85,3,FALSE),"")</f>
        <v>医療終身保険（無解約払戻金型）</v>
      </c>
      <c r="H108" s="8" t="s">
        <v>118</v>
      </c>
      <c r="I108" s="8" t="s">
        <v>100</v>
      </c>
      <c r="J108" s="8" t="s">
        <v>171</v>
      </c>
      <c r="K108" s="26"/>
      <c r="L108" s="19">
        <v>0</v>
      </c>
      <c r="M108" s="19" t="str">
        <f>IFERROR(VLOOKUP($D108&amp;$C108,設定値!$B$55:$N$85,4,FALSE)&amp;"","")</f>
        <v>benefit</v>
      </c>
      <c r="N108" s="19">
        <v>3000</v>
      </c>
      <c r="O108" s="19" t="str">
        <f>IFERROR(VLOOKUP($D108&amp;$C108,設定値!$B$55:$N$85,5,FALSE)&amp;"","")</f>
        <v>insurancePeriodClass</v>
      </c>
      <c r="P108" s="19" t="s">
        <v>240</v>
      </c>
      <c r="Q108" s="19" t="str">
        <f>IFERROR(VLOOKUP($D108&amp;$C108,設定値!$B$55:$N$85,6,FALSE)&amp;"","")</f>
        <v>insurancePeriod</v>
      </c>
      <c r="R108" s="19" t="s">
        <v>174</v>
      </c>
      <c r="S108" s="19" t="str">
        <f>IFERROR(VLOOKUP($D108&amp;$C108,設定値!$B$55:$N$85,7,FALSE)&amp;"","")</f>
        <v>paymentPeriodClass</v>
      </c>
      <c r="T108" s="19" t="s">
        <v>240</v>
      </c>
      <c r="U108" s="19" t="str">
        <f>IFERROR(VLOOKUP($D108&amp;$C108,設定値!$B$55:$N$85,8,FALSE)&amp;"","")</f>
        <v>paymentPeriod</v>
      </c>
      <c r="V108" s="19" t="s">
        <v>174</v>
      </c>
      <c r="W108" s="19" t="str">
        <f>IFERROR(VLOOKUP($D108&amp;$C108,設定値!$B$55:$N$85,9,FALSE)&amp;"","")</f>
        <v>hosCovPayLimitClass</v>
      </c>
      <c r="X108" s="19" t="s">
        <v>175</v>
      </c>
      <c r="Y108" s="19" t="str">
        <f>IFERROR(VLOOKUP($D108&amp;$C108,設定値!$B$55:$N$85,10,FALSE)&amp;"","")</f>
        <v>benefitPayConvCls</v>
      </c>
      <c r="Z108" s="19" t="s">
        <v>18</v>
      </c>
      <c r="AA108" s="19" t="str">
        <f>IFERROR(VLOOKUP($D108&amp;$C108,設定値!$B$55:$N$85,11,FALSE)&amp;"","")</f>
        <v>disHsptUnlmtDaysSpPrv</v>
      </c>
      <c r="AB108" s="19" t="s">
        <v>176</v>
      </c>
      <c r="AC108" s="19" t="str">
        <f>IFERROR(VLOOKUP($D108&amp;$C108,設定値!$B$55:$N$85,12,FALSE)&amp;"","")</f>
        <v>freeOfPRiderFlg</v>
      </c>
      <c r="AD108" s="19" t="s">
        <v>18</v>
      </c>
      <c r="AE108" s="19" t="str">
        <f>IFERROR(VLOOKUP($D108&amp;$C108,設定値!$B$55:$N$85,13,FALSE)&amp;"","")</f>
        <v>freeOfPremiumRiderCls</v>
      </c>
      <c r="AF108" s="19" t="s">
        <v>249</v>
      </c>
    </row>
    <row r="109" spans="1:32" ht="15">
      <c r="A109" s="27" t="s">
        <v>213</v>
      </c>
      <c r="B109" s="7" t="s">
        <v>88</v>
      </c>
      <c r="C109" s="27" t="s">
        <v>211</v>
      </c>
      <c r="D109" s="7" t="s">
        <v>177</v>
      </c>
      <c r="E109" s="7" t="str">
        <f t="shared" si="1"/>
        <v>D10</v>
      </c>
      <c r="F109" s="20" t="s">
        <v>44</v>
      </c>
      <c r="G109" s="19" t="str">
        <f>IFERROR(VLOOKUP(D109&amp;C109,設定値!$B$55:$L$85,3,FALSE),"")</f>
        <v>入院一時給付特約</v>
      </c>
      <c r="H109" s="8" t="s">
        <v>118</v>
      </c>
      <c r="I109" s="8" t="s">
        <v>100</v>
      </c>
      <c r="J109" s="8" t="s">
        <v>171</v>
      </c>
      <c r="K109" s="26"/>
      <c r="L109" s="19"/>
      <c r="M109" s="19" t="str">
        <f>IFERROR(VLOOKUP($D109&amp;$C109,設定値!$B$55:$N$85,4,FALSE)&amp;"","")</f>
        <v>benefit</v>
      </c>
      <c r="N109" s="19">
        <v>10000</v>
      </c>
      <c r="O109" s="19" t="str">
        <f>IFERROR(VLOOKUP($D109&amp;$C109,設定値!$B$55:$N$85,5,FALSE)&amp;"","")</f>
        <v>insurancePeriodClass</v>
      </c>
      <c r="P109" s="19" t="s">
        <v>240</v>
      </c>
      <c r="Q109" s="19" t="str">
        <f>IFERROR(VLOOKUP($D109&amp;$C109,設定値!$B$55:$N$85,6,FALSE)&amp;"","")</f>
        <v>insurancePeriod</v>
      </c>
      <c r="R109" s="19" t="s">
        <v>174</v>
      </c>
      <c r="S109" s="19" t="str">
        <f>IFERROR(VLOOKUP($D109&amp;$C109,設定値!$B$55:$N$85,7,FALSE)&amp;"","")</f>
        <v>paymentPeriodClass</v>
      </c>
      <c r="T109" s="19" t="s">
        <v>240</v>
      </c>
      <c r="U109" s="19" t="str">
        <f>IFERROR(VLOOKUP($D109&amp;$C109,設定値!$B$55:$N$85,8,FALSE)&amp;"","")</f>
        <v>paymentPeriod</v>
      </c>
      <c r="V109" s="19" t="s">
        <v>174</v>
      </c>
      <c r="W109" s="19" t="str">
        <f>IFERROR(VLOOKUP($D109&amp;$C109,設定値!$B$55:$N$85,9,FALSE)&amp;"","")</f>
        <v/>
      </c>
      <c r="X109" s="19"/>
      <c r="Y109" s="19" t="str">
        <f>IFERROR(VLOOKUP($D109&amp;$C109,設定値!$B$55:$N$85,10,FALSE)&amp;"","")</f>
        <v/>
      </c>
      <c r="Z109" s="19"/>
      <c r="AA109" s="19" t="str">
        <f>IFERROR(VLOOKUP($D109&amp;$C109,設定値!$B$55:$N$85,11,FALSE)&amp;"","")</f>
        <v/>
      </c>
      <c r="AB109" s="19"/>
      <c r="AC109" s="19" t="str">
        <f>IFERROR(VLOOKUP($D109&amp;$C109,設定値!$B$55:$N$85,12,FALSE)&amp;"","")</f>
        <v/>
      </c>
      <c r="AD109" s="19"/>
      <c r="AE109" s="19" t="str">
        <f>IFERROR(VLOOKUP($D109&amp;$C109,設定値!$B$55:$N$85,13,FALSE)&amp;"","")</f>
        <v/>
      </c>
      <c r="AF109" s="19"/>
    </row>
    <row r="110" spans="1:32" ht="15">
      <c r="A110" s="27" t="s">
        <v>213</v>
      </c>
      <c r="B110" s="7" t="s">
        <v>88</v>
      </c>
      <c r="C110" s="27" t="s">
        <v>211</v>
      </c>
      <c r="D110" s="7" t="s">
        <v>252</v>
      </c>
      <c r="E110" s="7" t="str">
        <f t="shared" si="1"/>
        <v>D10</v>
      </c>
      <c r="F110" s="20" t="s">
        <v>44</v>
      </c>
      <c r="G110" s="19" t="str">
        <f>IFERROR(VLOOKUP(D110&amp;C110,設定値!$B$55:$L$85,3,FALSE),"")</f>
        <v>女性医療特約</v>
      </c>
      <c r="H110" s="8" t="s">
        <v>118</v>
      </c>
      <c r="I110" s="8" t="s">
        <v>100</v>
      </c>
      <c r="J110" s="8" t="s">
        <v>171</v>
      </c>
      <c r="K110" s="26"/>
      <c r="L110" s="19"/>
      <c r="M110" s="19" t="str">
        <f>IFERROR(VLOOKUP($D110&amp;$C110,設定値!$B$55:$N$85,4,FALSE)&amp;"","")</f>
        <v>benefit</v>
      </c>
      <c r="N110" s="19">
        <v>2000</v>
      </c>
      <c r="O110" s="19" t="str">
        <f>IFERROR(VLOOKUP($D110&amp;$C110,設定値!$B$55:$N$85,5,FALSE)&amp;"","")</f>
        <v>insurancePeriodClass</v>
      </c>
      <c r="P110" s="19" t="s">
        <v>240</v>
      </c>
      <c r="Q110" s="19" t="str">
        <f>IFERROR(VLOOKUP($D110&amp;$C110,設定値!$B$55:$N$85,6,FALSE)&amp;"","")</f>
        <v>insurancePeriod</v>
      </c>
      <c r="R110" s="19" t="s">
        <v>174</v>
      </c>
      <c r="S110" s="19" t="str">
        <f>IFERROR(VLOOKUP($D110&amp;$C110,設定値!$B$55:$N$85,7,FALSE)&amp;"","")</f>
        <v>paymentPeriodClass</v>
      </c>
      <c r="T110" s="19" t="s">
        <v>240</v>
      </c>
      <c r="U110" s="19" t="str">
        <f>IFERROR(VLOOKUP($D110&amp;$C110,設定値!$B$55:$N$85,8,FALSE)&amp;"","")</f>
        <v>paymentPeriod</v>
      </c>
      <c r="V110" s="19" t="s">
        <v>174</v>
      </c>
      <c r="W110" s="19" t="str">
        <f>IFERROR(VLOOKUP($D110&amp;$C110,設定値!$B$55:$N$85,9,FALSE)&amp;"","")</f>
        <v>hosCovPayLimitClass</v>
      </c>
      <c r="X110" s="19" t="s">
        <v>175</v>
      </c>
      <c r="Y110" s="19" t="str">
        <f>IFERROR(VLOOKUP($D110&amp;$C110,設定値!$B$55:$N$85,10,FALSE)&amp;"","")</f>
        <v>disHsptUnlmtDaysSpPrv</v>
      </c>
      <c r="Z110" s="19" t="s">
        <v>18</v>
      </c>
      <c r="AA110" s="19" t="str">
        <f>IFERROR(VLOOKUP($D110&amp;$C110,設定値!$B$55:$N$85,11,FALSE)&amp;"","")</f>
        <v/>
      </c>
      <c r="AB110" s="19"/>
      <c r="AC110" s="19" t="str">
        <f>IFERROR(VLOOKUP($D110&amp;$C110,設定値!$B$55:$N$85,12,FALSE)&amp;"","")</f>
        <v/>
      </c>
      <c r="AD110" s="19"/>
      <c r="AE110" s="19" t="str">
        <f>IFERROR(VLOOKUP($D110&amp;$C110,設定値!$B$55:$N$85,13,FALSE)&amp;"","")</f>
        <v/>
      </c>
      <c r="AF110" s="19"/>
    </row>
    <row r="111" spans="1:32" ht="15">
      <c r="A111" s="27" t="s">
        <v>213</v>
      </c>
      <c r="B111" s="7" t="s">
        <v>88</v>
      </c>
      <c r="C111" s="27" t="s">
        <v>211</v>
      </c>
      <c r="D111" s="7" t="s">
        <v>183</v>
      </c>
      <c r="E111" s="7" t="str">
        <f t="shared" si="1"/>
        <v>D10</v>
      </c>
      <c r="F111" s="20" t="s">
        <v>44</v>
      </c>
      <c r="G111" s="19" t="str">
        <f>IFERROR(VLOOKUP(D111&amp;C111,設定値!$B$55:$L$85,3,FALSE),"")</f>
        <v>退院後通院特約</v>
      </c>
      <c r="H111" s="8" t="s">
        <v>118</v>
      </c>
      <c r="I111" s="8" t="s">
        <v>100</v>
      </c>
      <c r="J111" s="8" t="s">
        <v>171</v>
      </c>
      <c r="K111" s="26"/>
      <c r="L111" s="19"/>
      <c r="M111" s="19" t="str">
        <f>IFERROR(VLOOKUP($D111&amp;$C111,設定値!$B$55:$N$85,4,FALSE)&amp;"","")</f>
        <v>benefit</v>
      </c>
      <c r="N111" s="19">
        <v>2000</v>
      </c>
      <c r="O111" s="19" t="str">
        <f>IFERROR(VLOOKUP($D111&amp;$C111,設定値!$B$55:$N$85,5,FALSE)&amp;"","")</f>
        <v>insurancePeriodClass</v>
      </c>
      <c r="P111" s="19" t="s">
        <v>240</v>
      </c>
      <c r="Q111" s="19" t="str">
        <f>IFERROR(VLOOKUP($D111&amp;$C111,設定値!$B$55:$N$85,6,FALSE)&amp;"","")</f>
        <v>insurancePeriod</v>
      </c>
      <c r="R111" s="19" t="s">
        <v>174</v>
      </c>
      <c r="S111" s="19" t="str">
        <f>IFERROR(VLOOKUP($D111&amp;$C111,設定値!$B$55:$N$85,7,FALSE)&amp;"","")</f>
        <v>paymentPeriodClass</v>
      </c>
      <c r="T111" s="19" t="s">
        <v>240</v>
      </c>
      <c r="U111" s="19" t="str">
        <f>IFERROR(VLOOKUP($D111&amp;$C111,設定値!$B$55:$N$85,8,FALSE)&amp;"","")</f>
        <v>paymentPeriod</v>
      </c>
      <c r="V111" s="19" t="s">
        <v>174</v>
      </c>
      <c r="W111" s="19" t="str">
        <f>IFERROR(VLOOKUP($D111&amp;$C111,設定値!$B$55:$N$85,9,FALSE)&amp;"","")</f>
        <v/>
      </c>
      <c r="X111" s="19"/>
      <c r="Y111" s="19" t="str">
        <f>IFERROR(VLOOKUP($D111&amp;$C111,設定値!$B$55:$N$85,10,FALSE)&amp;"","")</f>
        <v/>
      </c>
      <c r="Z111" s="19"/>
      <c r="AA111" s="19" t="str">
        <f>IFERROR(VLOOKUP($D111&amp;$C111,設定値!$B$55:$N$85,11,FALSE)&amp;"","")</f>
        <v/>
      </c>
      <c r="AB111" s="19"/>
      <c r="AC111" s="19" t="str">
        <f>IFERROR(VLOOKUP($D111&amp;$C111,設定値!$B$55:$N$85,12,FALSE)&amp;"","")</f>
        <v/>
      </c>
      <c r="AD111" s="19"/>
      <c r="AE111" s="19" t="str">
        <f>IFERROR(VLOOKUP($D111&amp;$C111,設定値!$B$55:$N$85,13,FALSE)&amp;"","")</f>
        <v/>
      </c>
      <c r="AF111" s="19"/>
    </row>
    <row r="112" spans="1:32" ht="15">
      <c r="A112" s="27" t="s">
        <v>213</v>
      </c>
      <c r="B112" s="7" t="s">
        <v>88</v>
      </c>
      <c r="C112" s="27" t="s">
        <v>211</v>
      </c>
      <c r="D112" s="7" t="s">
        <v>178</v>
      </c>
      <c r="E112" s="7" t="str">
        <f t="shared" si="1"/>
        <v>D10</v>
      </c>
      <c r="F112" s="20" t="s">
        <v>44</v>
      </c>
      <c r="G112" s="19" t="str">
        <f>IFERROR(VLOOKUP(D112&amp;C112,設定値!$B$55:$L$85,3,FALSE),"")</f>
        <v>先進医療特約</v>
      </c>
      <c r="H112" s="8" t="s">
        <v>118</v>
      </c>
      <c r="I112" s="8" t="s">
        <v>100</v>
      </c>
      <c r="J112" s="8" t="s">
        <v>171</v>
      </c>
      <c r="K112" s="26"/>
      <c r="L112" s="19"/>
      <c r="M112" s="19" t="str">
        <f>IFERROR(VLOOKUP($D112&amp;$C112,設定値!$B$55:$N$85,4,FALSE)&amp;"","")</f>
        <v>additionType</v>
      </c>
      <c r="N112" s="19" t="s">
        <v>18</v>
      </c>
      <c r="O112" s="19" t="str">
        <f>IFERROR(VLOOKUP($D112&amp;$C112,設定値!$B$55:$N$85,5,FALSE)&amp;"","")</f>
        <v>insurancePeriodClass</v>
      </c>
      <c r="P112" s="19" t="s">
        <v>240</v>
      </c>
      <c r="Q112" s="19" t="str">
        <f>IFERROR(VLOOKUP($D112&amp;$C112,設定値!$B$55:$N$85,6,FALSE)&amp;"","")</f>
        <v>insurancePeriod</v>
      </c>
      <c r="R112" s="19" t="s">
        <v>174</v>
      </c>
      <c r="S112" s="19" t="str">
        <f>IFERROR(VLOOKUP($D112&amp;$C112,設定値!$B$55:$N$85,7,FALSE)&amp;"","")</f>
        <v>paymentPeriodClass</v>
      </c>
      <c r="T112" s="19" t="s">
        <v>240</v>
      </c>
      <c r="U112" s="19" t="str">
        <f>IFERROR(VLOOKUP($D112&amp;$C112,設定値!$B$55:$N$85,8,FALSE)&amp;"","")</f>
        <v>paymentPeriod</v>
      </c>
      <c r="V112" s="19" t="s">
        <v>174</v>
      </c>
      <c r="W112" s="19" t="str">
        <f>IFERROR(VLOOKUP($D112&amp;$C112,設定値!$B$55:$N$85,9,FALSE)&amp;"","")</f>
        <v/>
      </c>
      <c r="X112" s="19"/>
      <c r="Y112" s="19" t="str">
        <f>IFERROR(VLOOKUP($D112&amp;$C112,設定値!$B$55:$N$85,10,FALSE)&amp;"","")</f>
        <v/>
      </c>
      <c r="Z112" s="19"/>
      <c r="AA112" s="19" t="str">
        <f>IFERROR(VLOOKUP($D112&amp;$C112,設定値!$B$55:$N$85,11,FALSE)&amp;"","")</f>
        <v/>
      </c>
      <c r="AB112" s="19"/>
      <c r="AC112" s="19" t="str">
        <f>IFERROR(VLOOKUP($D112&amp;$C112,設定値!$B$55:$N$85,12,FALSE)&amp;"","")</f>
        <v/>
      </c>
      <c r="AD112" s="19"/>
      <c r="AE112" s="19" t="str">
        <f>IFERROR(VLOOKUP($D112&amp;$C112,設定値!$B$55:$N$85,13,FALSE)&amp;"","")</f>
        <v/>
      </c>
      <c r="AF112" s="19"/>
    </row>
    <row r="113" spans="1:32" ht="15">
      <c r="A113" s="27" t="s">
        <v>213</v>
      </c>
      <c r="B113" s="7" t="s">
        <v>88</v>
      </c>
      <c r="C113" s="27" t="s">
        <v>211</v>
      </c>
      <c r="D113" s="7" t="s">
        <v>179</v>
      </c>
      <c r="E113" s="7" t="str">
        <f t="shared" si="1"/>
        <v>D10</v>
      </c>
      <c r="F113" s="20" t="s">
        <v>44</v>
      </c>
      <c r="G113" s="19" t="str">
        <f>IFERROR(VLOOKUP(D113&amp;C113,設定値!$B$55:$L$85,3,FALSE),"")</f>
        <v>特定疾病一時給付特約（２０）</v>
      </c>
      <c r="H113" s="8" t="s">
        <v>118</v>
      </c>
      <c r="I113" s="8" t="s">
        <v>100</v>
      </c>
      <c r="J113" s="8" t="s">
        <v>171</v>
      </c>
      <c r="K113" s="26"/>
      <c r="L113" s="19"/>
      <c r="M113" s="19" t="str">
        <f>IFERROR(VLOOKUP($D113&amp;$C113,設定値!$B$55:$N$85,4,FALSE)&amp;"","")</f>
        <v>benefit</v>
      </c>
      <c r="N113" s="19">
        <v>100000</v>
      </c>
      <c r="O113" s="19" t="str">
        <f>IFERROR(VLOOKUP($D113&amp;$C113,設定値!$B$55:$N$85,5,FALSE)&amp;"","")</f>
        <v>insurancePeriodClass</v>
      </c>
      <c r="P113" s="19" t="s">
        <v>240</v>
      </c>
      <c r="Q113" s="19" t="str">
        <f>IFERROR(VLOOKUP($D113&amp;$C113,設定値!$B$55:$N$85,6,FALSE)&amp;"","")</f>
        <v>insurancePeriod</v>
      </c>
      <c r="R113" s="19" t="s">
        <v>174</v>
      </c>
      <c r="S113" s="19" t="str">
        <f>IFERROR(VLOOKUP($D113&amp;$C113,設定値!$B$55:$N$85,7,FALSE)&amp;"","")</f>
        <v>paymentPeriodClass</v>
      </c>
      <c r="T113" s="19" t="s">
        <v>240</v>
      </c>
      <c r="U113" s="19" t="str">
        <f>IFERROR(VLOOKUP($D113&amp;$C113,設定値!$B$55:$N$85,8,FALSE)&amp;"","")</f>
        <v>paymentPeriod</v>
      </c>
      <c r="V113" s="19" t="s">
        <v>174</v>
      </c>
      <c r="W113" s="19" t="str">
        <f>IFERROR(VLOOKUP($D113&amp;$C113,設定値!$B$55:$N$85,9,FALSE)&amp;"","")</f>
        <v>diseaseCoverageType</v>
      </c>
      <c r="X113" s="19" t="s">
        <v>250</v>
      </c>
      <c r="Y113" s="19" t="str">
        <f>IFERROR(VLOOKUP($D113&amp;$C113,設定値!$B$55:$N$85,10,FALSE)&amp;"","")</f>
        <v>benefitFirstPayConvCls</v>
      </c>
      <c r="Z113" s="19" t="s">
        <v>18</v>
      </c>
      <c r="AA113" s="19" t="str">
        <f>IFERROR(VLOOKUP($D113&amp;$C113,設定値!$B$55:$N$85,11,FALSE)&amp;"","")</f>
        <v/>
      </c>
      <c r="AB113" s="19"/>
      <c r="AC113" s="19" t="str">
        <f>IFERROR(VLOOKUP($D113&amp;$C113,設定値!$B$55:$N$85,12,FALSE)&amp;"","")</f>
        <v/>
      </c>
      <c r="AD113" s="19"/>
      <c r="AE113" s="19" t="str">
        <f>IFERROR(VLOOKUP($D113&amp;$C113,設定値!$B$55:$N$85,13,FALSE)&amp;"","")</f>
        <v/>
      </c>
      <c r="AF113" s="19"/>
    </row>
    <row r="114" spans="1:32" ht="15">
      <c r="A114" s="27" t="s">
        <v>213</v>
      </c>
      <c r="B114" s="7" t="s">
        <v>88</v>
      </c>
      <c r="C114" s="27" t="s">
        <v>211</v>
      </c>
      <c r="D114" s="7" t="s">
        <v>180</v>
      </c>
      <c r="E114" s="7" t="str">
        <f t="shared" si="1"/>
        <v>D10</v>
      </c>
      <c r="F114" s="20" t="s">
        <v>44</v>
      </c>
      <c r="G114" s="19" t="str">
        <f>IFERROR(VLOOKUP(D114&amp;C114,設定値!$B$55:$L$85,3,FALSE),"")</f>
        <v>抗がん剤・ホルモン剤治療特約</v>
      </c>
      <c r="H114" s="8" t="s">
        <v>118</v>
      </c>
      <c r="I114" s="8" t="s">
        <v>100</v>
      </c>
      <c r="J114" s="8" t="s">
        <v>171</v>
      </c>
      <c r="K114" s="26"/>
      <c r="L114" s="19"/>
      <c r="M114" s="19" t="str">
        <f>IFERROR(VLOOKUP($D114&amp;$C114,設定値!$B$55:$N$85,4,FALSE)&amp;"","")</f>
        <v>benefit</v>
      </c>
      <c r="N114" s="19">
        <v>10000</v>
      </c>
      <c r="O114" s="19" t="str">
        <f>IFERROR(VLOOKUP($D114&amp;$C114,設定値!$B$55:$N$85,5,FALSE)&amp;"","")</f>
        <v>insurancePeriodClass</v>
      </c>
      <c r="P114" s="19" t="s">
        <v>240</v>
      </c>
      <c r="Q114" s="19" t="str">
        <f>IFERROR(VLOOKUP($D114&amp;$C114,設定値!$B$55:$N$85,6,FALSE)&amp;"","")</f>
        <v>insurancePeriod</v>
      </c>
      <c r="R114" s="19" t="s">
        <v>174</v>
      </c>
      <c r="S114" s="19" t="str">
        <f>IFERROR(VLOOKUP($D114&amp;$C114,設定値!$B$55:$N$85,7,FALSE)&amp;"","")</f>
        <v>paymentPeriodClass</v>
      </c>
      <c r="T114" s="19" t="s">
        <v>240</v>
      </c>
      <c r="U114" s="19" t="str">
        <f>IFERROR(VLOOKUP($D114&amp;$C114,設定値!$B$55:$N$85,8,FALSE)&amp;"","")</f>
        <v>paymentPeriod</v>
      </c>
      <c r="V114" s="19" t="s">
        <v>174</v>
      </c>
      <c r="W114" s="19" t="str">
        <f>IFERROR(VLOOKUP($D114&amp;$C114,設定値!$B$55:$N$85,9,FALSE)&amp;"","")</f>
        <v/>
      </c>
      <c r="X114" s="19"/>
      <c r="Y114" s="19" t="str">
        <f>IFERROR(VLOOKUP($D114&amp;$C114,設定値!$B$55:$N$85,10,FALSE)&amp;"","")</f>
        <v/>
      </c>
      <c r="Z114" s="19"/>
      <c r="AA114" s="19" t="str">
        <f>IFERROR(VLOOKUP($D114&amp;$C114,設定値!$B$55:$N$85,11,FALSE)&amp;"","")</f>
        <v/>
      </c>
      <c r="AB114" s="19"/>
      <c r="AC114" s="19" t="str">
        <f>IFERROR(VLOOKUP($D114&amp;$C114,設定値!$B$55:$N$85,12,FALSE)&amp;"","")</f>
        <v/>
      </c>
      <c r="AD114" s="19"/>
      <c r="AE114" s="19" t="str">
        <f>IFERROR(VLOOKUP($D114&amp;$C114,設定値!$B$55:$N$85,13,FALSE)&amp;"","")</f>
        <v/>
      </c>
      <c r="AF114" s="19"/>
    </row>
    <row r="115" spans="1:32" ht="15">
      <c r="A115" s="27" t="s">
        <v>213</v>
      </c>
      <c r="B115" s="7" t="s">
        <v>88</v>
      </c>
      <c r="C115" s="27" t="s">
        <v>211</v>
      </c>
      <c r="D115" s="7" t="s">
        <v>181</v>
      </c>
      <c r="E115" s="7" t="str">
        <f t="shared" si="1"/>
        <v>D10</v>
      </c>
      <c r="F115" s="20" t="s">
        <v>44</v>
      </c>
      <c r="G115" s="19" t="str">
        <f>IFERROR(VLOOKUP(D115&amp;C115,設定値!$B$55:$L$85,3,FALSE),"")</f>
        <v>特定損傷特約</v>
      </c>
      <c r="H115" s="8" t="s">
        <v>118</v>
      </c>
      <c r="I115" s="8" t="s">
        <v>100</v>
      </c>
      <c r="J115" s="8" t="s">
        <v>171</v>
      </c>
      <c r="K115" s="26"/>
      <c r="L115" s="19"/>
      <c r="M115" s="19" t="str">
        <f>IFERROR(VLOOKUP($D115&amp;$C115,設定値!$B$55:$N$85,4,FALSE)&amp;"","")</f>
        <v>benefit</v>
      </c>
      <c r="N115" s="19">
        <v>50000</v>
      </c>
      <c r="O115" s="19" t="str">
        <f>IFERROR(VLOOKUP($D115&amp;$C115,設定値!$B$55:$N$85,5,FALSE)&amp;"","")</f>
        <v>insurancePeriodClass</v>
      </c>
      <c r="P115" s="19" t="s">
        <v>176</v>
      </c>
      <c r="Q115" s="19" t="str">
        <f>IFERROR(VLOOKUP($D115&amp;$C115,設定値!$B$55:$N$85,6,FALSE)&amp;"","")</f>
        <v>insurancePeriod</v>
      </c>
      <c r="R115" s="19" t="s">
        <v>274</v>
      </c>
      <c r="S115" s="19" t="str">
        <f>IFERROR(VLOOKUP($D115&amp;$C115,設定値!$B$55:$N$85,7,FALSE)&amp;"","")</f>
        <v>paymentPeriodClass</v>
      </c>
      <c r="T115" s="19" t="s">
        <v>176</v>
      </c>
      <c r="U115" s="19" t="str">
        <f>IFERROR(VLOOKUP($D115&amp;$C115,設定値!$B$55:$N$85,8,FALSE)&amp;"","")</f>
        <v>paymentPeriod</v>
      </c>
      <c r="V115" s="19" t="s">
        <v>274</v>
      </c>
      <c r="W115" s="19" t="str">
        <f>IFERROR(VLOOKUP($D115&amp;$C115,設定値!$B$55:$N$85,9,FALSE)&amp;"","")</f>
        <v/>
      </c>
      <c r="X115" s="19"/>
      <c r="Y115" s="19" t="str">
        <f>IFERROR(VLOOKUP($D115&amp;$C115,設定値!$B$55:$N$85,10,FALSE)&amp;"","")</f>
        <v/>
      </c>
      <c r="Z115" s="19"/>
      <c r="AA115" s="19" t="str">
        <f>IFERROR(VLOOKUP($D115&amp;$C115,設定値!$B$55:$N$85,11,FALSE)&amp;"","")</f>
        <v/>
      </c>
      <c r="AB115" s="19"/>
      <c r="AC115" s="19" t="str">
        <f>IFERROR(VLOOKUP($D115&amp;$C115,設定値!$B$55:$N$85,12,FALSE)&amp;"","")</f>
        <v/>
      </c>
      <c r="AD115" s="19"/>
      <c r="AE115" s="19" t="str">
        <f>IFERROR(VLOOKUP($D115&amp;$C115,設定値!$B$55:$N$85,13,FALSE)&amp;"","")</f>
        <v/>
      </c>
      <c r="AF115" s="19"/>
    </row>
    <row r="116" spans="1:32" ht="15">
      <c r="A116" s="27" t="s">
        <v>213</v>
      </c>
      <c r="B116" s="7" t="s">
        <v>88</v>
      </c>
      <c r="C116" s="27" t="s">
        <v>211</v>
      </c>
      <c r="D116" s="7" t="s">
        <v>253</v>
      </c>
      <c r="E116" s="7" t="str">
        <f t="shared" si="1"/>
        <v>D10</v>
      </c>
      <c r="F116" s="20" t="s">
        <v>44</v>
      </c>
      <c r="G116" s="19" t="str">
        <f>IFERROR(VLOOKUP(D116&amp;C116,設定値!$B$55:$L$85,3,FALSE),"")</f>
        <v>女性疾病入院一時給付特約</v>
      </c>
      <c r="H116" s="8" t="s">
        <v>118</v>
      </c>
      <c r="I116" s="8" t="s">
        <v>100</v>
      </c>
      <c r="J116" s="8" t="s">
        <v>171</v>
      </c>
      <c r="K116" s="26"/>
      <c r="L116" s="19"/>
      <c r="M116" s="19" t="str">
        <f>IFERROR(VLOOKUP($D116&amp;$C116,設定値!$B$55:$N$85,4,FALSE)&amp;"","")</f>
        <v>benefit</v>
      </c>
      <c r="N116" s="19">
        <v>10000</v>
      </c>
      <c r="O116" s="19" t="str">
        <f>IFERROR(VLOOKUP($D116&amp;$C116,設定値!$B$55:$N$85,5,FALSE)&amp;"","")</f>
        <v>insurancePeriodClass</v>
      </c>
      <c r="P116" s="19" t="s">
        <v>240</v>
      </c>
      <c r="Q116" s="19" t="str">
        <f>IFERROR(VLOOKUP($D116&amp;$C116,設定値!$B$55:$N$85,6,FALSE)&amp;"","")</f>
        <v>insurancePeriod</v>
      </c>
      <c r="R116" s="19" t="s">
        <v>174</v>
      </c>
      <c r="S116" s="19" t="str">
        <f>IFERROR(VLOOKUP($D116&amp;$C116,設定値!$B$55:$N$85,7,FALSE)&amp;"","")</f>
        <v>paymentPeriodClass</v>
      </c>
      <c r="T116" s="19" t="s">
        <v>240</v>
      </c>
      <c r="U116" s="19" t="str">
        <f>IFERROR(VLOOKUP($D116&amp;$C116,設定値!$B$55:$N$85,8,FALSE)&amp;"","")</f>
        <v>paymentPeriod</v>
      </c>
      <c r="V116" s="19" t="s">
        <v>174</v>
      </c>
      <c r="W116" s="19" t="str">
        <f>IFERROR(VLOOKUP($D116&amp;$C116,設定値!$B$55:$N$85,9,FALSE)&amp;"","")</f>
        <v/>
      </c>
      <c r="X116" s="19"/>
      <c r="Y116" s="19" t="str">
        <f>IFERROR(VLOOKUP($D116&amp;$C116,設定値!$B$55:$N$85,10,FALSE)&amp;"","")</f>
        <v/>
      </c>
      <c r="Z116" s="19"/>
      <c r="AA116" s="19" t="str">
        <f>IFERROR(VLOOKUP($D116&amp;$C116,設定値!$B$55:$N$85,11,FALSE)&amp;"","")</f>
        <v/>
      </c>
      <c r="AB116" s="19"/>
      <c r="AC116" s="19" t="str">
        <f>IFERROR(VLOOKUP($D116&amp;$C116,設定値!$B$55:$N$85,12,FALSE)&amp;"","")</f>
        <v/>
      </c>
      <c r="AD116" s="19"/>
      <c r="AE116" s="19" t="str">
        <f>IFERROR(VLOOKUP($D116&amp;$C116,設定値!$B$55:$N$85,13,FALSE)&amp;"","")</f>
        <v/>
      </c>
      <c r="AF116" s="19"/>
    </row>
    <row r="117" spans="1:32" ht="15">
      <c r="A117" s="27" t="s">
        <v>213</v>
      </c>
      <c r="B117" s="7" t="s">
        <v>88</v>
      </c>
      <c r="C117" s="27" t="s">
        <v>211</v>
      </c>
      <c r="D117" s="7" t="s">
        <v>182</v>
      </c>
      <c r="E117" s="7" t="str">
        <f t="shared" si="1"/>
        <v>D10</v>
      </c>
      <c r="F117" s="20" t="s">
        <v>44</v>
      </c>
      <c r="G117" s="19" t="str">
        <f>IFERROR(VLOOKUP(D117&amp;C117,設定値!$B$55:$L$85,3,FALSE),"")</f>
        <v>がん一時給付特約</v>
      </c>
      <c r="H117" s="8" t="s">
        <v>118</v>
      </c>
      <c r="I117" s="8" t="s">
        <v>100</v>
      </c>
      <c r="J117" s="8" t="s">
        <v>171</v>
      </c>
      <c r="K117" s="26"/>
      <c r="L117" s="19"/>
      <c r="M117" s="19" t="str">
        <f>IFERROR(VLOOKUP($D117&amp;$C117,設定値!$B$55:$N$85,4,FALSE)&amp;"","")</f>
        <v>benefit</v>
      </c>
      <c r="N117" s="19">
        <v>100000</v>
      </c>
      <c r="O117" s="19" t="str">
        <f>IFERROR(VLOOKUP($D117&amp;$C117,設定値!$B$55:$N$85,5,FALSE)&amp;"","")</f>
        <v>insurancePeriodClass</v>
      </c>
      <c r="P117" s="19" t="s">
        <v>240</v>
      </c>
      <c r="Q117" s="19" t="str">
        <f>IFERROR(VLOOKUP($D117&amp;$C117,設定値!$B$55:$N$85,6,FALSE)&amp;"","")</f>
        <v>insurancePeriod</v>
      </c>
      <c r="R117" s="19" t="s">
        <v>174</v>
      </c>
      <c r="S117" s="19" t="str">
        <f>IFERROR(VLOOKUP($D117&amp;$C117,設定値!$B$55:$N$85,7,FALSE)&amp;"","")</f>
        <v>paymentPeriodClass</v>
      </c>
      <c r="T117" s="19" t="s">
        <v>240</v>
      </c>
      <c r="U117" s="19" t="str">
        <f>IFERROR(VLOOKUP($D117&amp;$C117,設定値!$B$55:$N$85,8,FALSE)&amp;"","")</f>
        <v>paymentPeriod</v>
      </c>
      <c r="V117" s="19" t="s">
        <v>174</v>
      </c>
      <c r="W117" s="19" t="str">
        <f>IFERROR(VLOOKUP($D117&amp;$C117,設定値!$B$55:$N$85,9,FALSE)&amp;"","")</f>
        <v/>
      </c>
      <c r="X117" s="19"/>
      <c r="Y117" s="19" t="str">
        <f>IFERROR(VLOOKUP($D117&amp;$C117,設定値!$B$55:$N$85,10,FALSE)&amp;"","")</f>
        <v/>
      </c>
      <c r="Z117" s="19"/>
      <c r="AA117" s="19" t="str">
        <f>IFERROR(VLOOKUP($D117&amp;$C117,設定値!$B$55:$N$85,11,FALSE)&amp;"","")</f>
        <v/>
      </c>
      <c r="AB117" s="19"/>
      <c r="AC117" s="19" t="str">
        <f>IFERROR(VLOOKUP($D117&amp;$C117,設定値!$B$55:$N$85,12,FALSE)&amp;"","")</f>
        <v/>
      </c>
      <c r="AD117" s="19"/>
      <c r="AE117" s="19" t="str">
        <f>IFERROR(VLOOKUP($D117&amp;$C117,設定値!$B$55:$N$85,13,FALSE)&amp;"","")</f>
        <v/>
      </c>
      <c r="AF117" s="19"/>
    </row>
    <row r="118" spans="1:32" ht="15">
      <c r="A118" s="27" t="s">
        <v>213</v>
      </c>
      <c r="B118" s="7" t="s">
        <v>88</v>
      </c>
      <c r="C118" s="27" t="s">
        <v>211</v>
      </c>
      <c r="D118" s="7" t="s">
        <v>172</v>
      </c>
      <c r="E118" s="7" t="str">
        <f t="shared" si="1"/>
        <v>D10</v>
      </c>
      <c r="F118" s="20" t="s">
        <v>44</v>
      </c>
      <c r="G118" s="19" t="str">
        <f>IFERROR(VLOOKUP(D118&amp;C118,設定値!$B$55:$L$85,3,FALSE),"")</f>
        <v>特定疾病保険料払込免除特約</v>
      </c>
      <c r="H118" s="8" t="s">
        <v>118</v>
      </c>
      <c r="I118" s="8" t="s">
        <v>100</v>
      </c>
      <c r="J118" s="8" t="s">
        <v>171</v>
      </c>
      <c r="K118" s="26"/>
      <c r="L118" s="19"/>
      <c r="M118" s="19" t="str">
        <f>IFERROR(VLOOKUP($D118&amp;$C118,設定値!$B$55:$N$85,4,FALSE)&amp;"","")</f>
        <v>additionType</v>
      </c>
      <c r="N118" s="19" t="s">
        <v>18</v>
      </c>
      <c r="O118" s="19" t="str">
        <f>IFERROR(VLOOKUP($D118&amp;$C118,設定値!$B$55:$N$85,5,FALSE)&amp;"","")</f>
        <v>insurancePeriodClass</v>
      </c>
      <c r="P118" s="19" t="s">
        <v>240</v>
      </c>
      <c r="Q118" s="19" t="str">
        <f>IFERROR(VLOOKUP($D118&amp;$C118,設定値!$B$55:$N$85,6,FALSE)&amp;"","")</f>
        <v>insurancePeriod</v>
      </c>
      <c r="R118" s="19" t="s">
        <v>174</v>
      </c>
      <c r="S118" s="19" t="str">
        <f>IFERROR(VLOOKUP($D118&amp;$C118,設定値!$B$55:$N$85,7,FALSE)&amp;"","")</f>
        <v>paymentPeriodClass</v>
      </c>
      <c r="T118" s="19" t="s">
        <v>240</v>
      </c>
      <c r="U118" s="19" t="str">
        <f>IFERROR(VLOOKUP($D118&amp;$C118,設定値!$B$55:$N$85,8,FALSE)&amp;"","")</f>
        <v>paymentPeriod</v>
      </c>
      <c r="V118" s="19" t="s">
        <v>174</v>
      </c>
      <c r="W118" s="19" t="str">
        <f>IFERROR(VLOOKUP($D118&amp;$C118,設定値!$B$55:$N$85,9,FALSE)&amp;"","")</f>
        <v>freeOfPremiumRiderCls</v>
      </c>
      <c r="X118" s="19" t="s">
        <v>249</v>
      </c>
      <c r="Y118" s="19" t="str">
        <f>IFERROR(VLOOKUP($D118&amp;$C118,設定値!$B$55:$N$85,10,FALSE)&amp;"","")</f>
        <v/>
      </c>
      <c r="Z118" s="19"/>
      <c r="AA118" s="19" t="str">
        <f>IFERROR(VLOOKUP($D118&amp;$C118,設定値!$B$55:$N$85,11,FALSE)&amp;"","")</f>
        <v/>
      </c>
      <c r="AB118" s="19"/>
      <c r="AC118" s="19" t="str">
        <f>IFERROR(VLOOKUP($D118&amp;$C118,設定値!$B$55:$N$85,12,FALSE)&amp;"","")</f>
        <v/>
      </c>
      <c r="AD118" s="19"/>
      <c r="AE118" s="19" t="str">
        <f>IFERROR(VLOOKUP($D118&amp;$C118,設定値!$B$55:$N$85,13,FALSE)&amp;"","")</f>
        <v/>
      </c>
      <c r="AF118" s="19"/>
    </row>
    <row r="119" spans="1:32" ht="15">
      <c r="A119" s="27" t="s">
        <v>18</v>
      </c>
      <c r="B119" s="7" t="s">
        <v>214</v>
      </c>
      <c r="C119" s="27" t="s">
        <v>18</v>
      </c>
      <c r="D119" s="7" t="s">
        <v>215</v>
      </c>
      <c r="E119" s="7" t="str">
        <f t="shared" si="1"/>
        <v>310</v>
      </c>
      <c r="F119" s="20" t="s">
        <v>44</v>
      </c>
      <c r="G119" s="19" t="str">
        <f>IFERROR(VLOOKUP(D119&amp;C119,設定値!$B$55:$L$85,3,FALSE),"")</f>
        <v>特定疾病一時給付保険（無解約払戻金型）（２０）</v>
      </c>
      <c r="H119" s="8" t="s">
        <v>118</v>
      </c>
      <c r="I119" s="8" t="s">
        <v>100</v>
      </c>
      <c r="J119" s="8" t="s">
        <v>171</v>
      </c>
      <c r="K119" s="26">
        <v>1</v>
      </c>
      <c r="L119" s="19">
        <v>1</v>
      </c>
      <c r="M119" s="19" t="str">
        <f>IFERROR(VLOOKUP($D119&amp;$C119,設定値!$B$55:$N$85,4,FALSE)&amp;"","")</f>
        <v>benefit</v>
      </c>
      <c r="N119" s="19">
        <v>300000</v>
      </c>
      <c r="O119" s="19" t="str">
        <f>IFERROR(VLOOKUP($D119&amp;$C119,設定値!$B$55:$N$85,5,FALSE)&amp;"","")</f>
        <v>insurancePeriodClass</v>
      </c>
      <c r="P119" s="19" t="s">
        <v>240</v>
      </c>
      <c r="Q119" s="19" t="str">
        <f>IFERROR(VLOOKUP($D119&amp;$C119,設定値!$B$55:$N$85,6,FALSE)&amp;"","")</f>
        <v>insurancePeriod</v>
      </c>
      <c r="R119" s="19" t="s">
        <v>174</v>
      </c>
      <c r="S119" s="19" t="str">
        <f>IFERROR(VLOOKUP($D119&amp;$C119,設定値!$B$55:$N$85,7,FALSE)&amp;"","")</f>
        <v>paymentPeriodClass</v>
      </c>
      <c r="T119" s="19" t="s">
        <v>240</v>
      </c>
      <c r="U119" s="19" t="str">
        <f>IFERROR(VLOOKUP($D119&amp;$C119,設定値!$B$55:$N$85,8,FALSE)&amp;"","")</f>
        <v>paymentPeriod</v>
      </c>
      <c r="V119" s="19" t="s">
        <v>174</v>
      </c>
      <c r="W119" s="19" t="str">
        <f>IFERROR(VLOOKUP($D119&amp;$C119,設定値!$B$55:$N$85,9,FALSE)&amp;"","")</f>
        <v>diseaseCoverageType</v>
      </c>
      <c r="X119" s="19" t="s">
        <v>250</v>
      </c>
      <c r="Y119" s="19" t="str">
        <f>IFERROR(VLOOKUP($D119&amp;$C119,設定値!$B$55:$N$85,10,FALSE)&amp;"","")</f>
        <v>benefitFirstPayConvCls</v>
      </c>
      <c r="Z119" s="19" t="s">
        <v>18</v>
      </c>
      <c r="AA119" s="19" t="str">
        <f>IFERROR(VLOOKUP($D119&amp;$C119,設定値!$B$55:$N$85,11,FALSE)&amp;"","")</f>
        <v>freeOfPRiderFlg</v>
      </c>
      <c r="AB119" s="19" t="s">
        <v>18</v>
      </c>
      <c r="AC119" s="19" t="str">
        <f>IFERROR(VLOOKUP($D119&amp;$C119,設定値!$B$55:$N$85,12,FALSE)&amp;"","")</f>
        <v>freeOfPremiumRiderCls</v>
      </c>
      <c r="AD119" s="19" t="s">
        <v>249</v>
      </c>
      <c r="AE119" s="19" t="str">
        <f>IFERROR(VLOOKUP($D119&amp;$C119,設定値!$B$55:$N$85,13,FALSE)&amp;"","")</f>
        <v/>
      </c>
      <c r="AF119" s="19"/>
    </row>
    <row r="120" spans="1:32" ht="15">
      <c r="A120" s="27" t="s">
        <v>18</v>
      </c>
      <c r="B120" s="7" t="s">
        <v>214</v>
      </c>
      <c r="C120" s="27" t="s">
        <v>211</v>
      </c>
      <c r="D120" s="7" t="s">
        <v>178</v>
      </c>
      <c r="E120" s="7" t="str">
        <f t="shared" si="1"/>
        <v>D10</v>
      </c>
      <c r="F120" s="20" t="s">
        <v>44</v>
      </c>
      <c r="G120" s="19" t="str">
        <f>IFERROR(VLOOKUP(D120&amp;C120,設定値!$B$55:$L$85,3,FALSE),"")</f>
        <v>先進医療特約</v>
      </c>
      <c r="H120" s="8" t="s">
        <v>118</v>
      </c>
      <c r="I120" s="8" t="s">
        <v>100</v>
      </c>
      <c r="J120" s="8" t="s">
        <v>171</v>
      </c>
      <c r="K120" s="26"/>
      <c r="L120" s="19"/>
      <c r="M120" s="19" t="str">
        <f>IFERROR(VLOOKUP($D120&amp;$C120,設定値!$B$55:$N$85,4,FALSE)&amp;"","")</f>
        <v>additionType</v>
      </c>
      <c r="N120" s="19" t="s">
        <v>18</v>
      </c>
      <c r="O120" s="19" t="str">
        <f>IFERROR(VLOOKUP($D120&amp;$C120,設定値!$B$55:$N$85,5,FALSE)&amp;"","")</f>
        <v>insurancePeriodClass</v>
      </c>
      <c r="P120" s="19" t="s">
        <v>240</v>
      </c>
      <c r="Q120" s="19" t="str">
        <f>IFERROR(VLOOKUP($D120&amp;$C120,設定値!$B$55:$N$85,6,FALSE)&amp;"","")</f>
        <v>insurancePeriod</v>
      </c>
      <c r="R120" s="19" t="s">
        <v>174</v>
      </c>
      <c r="S120" s="19" t="str">
        <f>IFERROR(VLOOKUP($D120&amp;$C120,設定値!$B$55:$N$85,7,FALSE)&amp;"","")</f>
        <v>paymentPeriodClass</v>
      </c>
      <c r="T120" s="19" t="s">
        <v>240</v>
      </c>
      <c r="U120" s="19" t="str">
        <f>IFERROR(VLOOKUP($D120&amp;$C120,設定値!$B$55:$N$85,8,FALSE)&amp;"","")</f>
        <v>paymentPeriod</v>
      </c>
      <c r="V120" s="19" t="s">
        <v>174</v>
      </c>
      <c r="W120" s="19" t="str">
        <f>IFERROR(VLOOKUP($D120&amp;$C120,設定値!$B$55:$N$85,9,FALSE)&amp;"","")</f>
        <v/>
      </c>
      <c r="X120" s="19"/>
      <c r="Y120" s="19" t="str">
        <f>IFERROR(VLOOKUP($D120&amp;$C120,設定値!$B$55:$N$85,10,FALSE)&amp;"","")</f>
        <v/>
      </c>
      <c r="Z120" s="19"/>
      <c r="AA120" s="19" t="str">
        <f>IFERROR(VLOOKUP($D120&amp;$C120,設定値!$B$55:$N$85,11,FALSE)&amp;"","")</f>
        <v/>
      </c>
      <c r="AB120" s="19"/>
      <c r="AC120" s="19" t="str">
        <f>IFERROR(VLOOKUP($D120&amp;$C120,設定値!$B$55:$N$85,12,FALSE)&amp;"","")</f>
        <v/>
      </c>
      <c r="AD120" s="19"/>
      <c r="AE120" s="19" t="str">
        <f>IFERROR(VLOOKUP($D120&amp;$C120,設定値!$B$55:$N$85,13,FALSE)&amp;"","")</f>
        <v/>
      </c>
      <c r="AF120" s="19"/>
    </row>
    <row r="121" spans="1:32" ht="15">
      <c r="A121" s="27" t="s">
        <v>18</v>
      </c>
      <c r="B121" s="7" t="s">
        <v>214</v>
      </c>
      <c r="C121" s="27" t="s">
        <v>211</v>
      </c>
      <c r="D121" s="7" t="s">
        <v>180</v>
      </c>
      <c r="E121" s="7" t="str">
        <f t="shared" si="1"/>
        <v>D10</v>
      </c>
      <c r="F121" s="20" t="s">
        <v>44</v>
      </c>
      <c r="G121" s="19" t="str">
        <f>IFERROR(VLOOKUP(D121&amp;C121,設定値!$B$55:$L$85,3,FALSE),"")</f>
        <v>抗がん剤・ホルモン剤治療特約</v>
      </c>
      <c r="H121" s="8" t="s">
        <v>118</v>
      </c>
      <c r="I121" s="8" t="s">
        <v>100</v>
      </c>
      <c r="J121" s="8" t="s">
        <v>171</v>
      </c>
      <c r="K121" s="26"/>
      <c r="L121" s="19"/>
      <c r="M121" s="19" t="str">
        <f>IFERROR(VLOOKUP($D121&amp;$C121,設定値!$B$55:$N$85,4,FALSE)&amp;"","")</f>
        <v>benefit</v>
      </c>
      <c r="N121" s="19">
        <v>10000</v>
      </c>
      <c r="O121" s="19" t="str">
        <f>IFERROR(VLOOKUP($D121&amp;$C121,設定値!$B$55:$N$85,5,FALSE)&amp;"","")</f>
        <v>insurancePeriodClass</v>
      </c>
      <c r="P121" s="19" t="s">
        <v>240</v>
      </c>
      <c r="Q121" s="19" t="str">
        <f>IFERROR(VLOOKUP($D121&amp;$C121,設定値!$B$55:$N$85,6,FALSE)&amp;"","")</f>
        <v>insurancePeriod</v>
      </c>
      <c r="R121" s="19" t="s">
        <v>174</v>
      </c>
      <c r="S121" s="19" t="str">
        <f>IFERROR(VLOOKUP($D121&amp;$C121,設定値!$B$55:$N$85,7,FALSE)&amp;"","")</f>
        <v>paymentPeriodClass</v>
      </c>
      <c r="T121" s="19" t="s">
        <v>240</v>
      </c>
      <c r="U121" s="19" t="str">
        <f>IFERROR(VLOOKUP($D121&amp;$C121,設定値!$B$55:$N$85,8,FALSE)&amp;"","")</f>
        <v>paymentPeriod</v>
      </c>
      <c r="V121" s="19" t="s">
        <v>174</v>
      </c>
      <c r="W121" s="19" t="str">
        <f>IFERROR(VLOOKUP($D121&amp;$C121,設定値!$B$55:$N$85,9,FALSE)&amp;"","")</f>
        <v/>
      </c>
      <c r="X121" s="19"/>
      <c r="Y121" s="19" t="str">
        <f>IFERROR(VLOOKUP($D121&amp;$C121,設定値!$B$55:$N$85,10,FALSE)&amp;"","")</f>
        <v/>
      </c>
      <c r="Z121" s="19"/>
      <c r="AA121" s="19" t="str">
        <f>IFERROR(VLOOKUP($D121&amp;$C121,設定値!$B$55:$N$85,11,FALSE)&amp;"","")</f>
        <v/>
      </c>
      <c r="AB121" s="19"/>
      <c r="AC121" s="19" t="str">
        <f>IFERROR(VLOOKUP($D121&amp;$C121,設定値!$B$55:$N$85,12,FALSE)&amp;"","")</f>
        <v/>
      </c>
      <c r="AD121" s="19"/>
      <c r="AE121" s="19" t="str">
        <f>IFERROR(VLOOKUP($D121&amp;$C121,設定値!$B$55:$N$85,13,FALSE)&amp;"","")</f>
        <v/>
      </c>
      <c r="AF121" s="19"/>
    </row>
    <row r="122" spans="1:32" ht="15">
      <c r="A122" s="27" t="s">
        <v>18</v>
      </c>
      <c r="B122" s="7" t="s">
        <v>214</v>
      </c>
      <c r="C122" s="27" t="s">
        <v>211</v>
      </c>
      <c r="D122" s="7" t="s">
        <v>182</v>
      </c>
      <c r="E122" s="7" t="str">
        <f t="shared" si="1"/>
        <v>D10</v>
      </c>
      <c r="F122" s="20" t="s">
        <v>44</v>
      </c>
      <c r="G122" s="19" t="str">
        <f>IFERROR(VLOOKUP(D122&amp;C122,設定値!$B$55:$L$85,3,FALSE),"")</f>
        <v>がん一時給付特約</v>
      </c>
      <c r="H122" s="8" t="s">
        <v>118</v>
      </c>
      <c r="I122" s="8" t="s">
        <v>100</v>
      </c>
      <c r="J122" s="8" t="s">
        <v>171</v>
      </c>
      <c r="K122" s="26"/>
      <c r="L122" s="19"/>
      <c r="M122" s="19" t="str">
        <f>IFERROR(VLOOKUP($D122&amp;$C122,設定値!$B$55:$N$85,4,FALSE)&amp;"","")</f>
        <v>benefit</v>
      </c>
      <c r="N122" s="19">
        <v>100000</v>
      </c>
      <c r="O122" s="19" t="str">
        <f>IFERROR(VLOOKUP($D122&amp;$C122,設定値!$B$55:$N$85,5,FALSE)&amp;"","")</f>
        <v>insurancePeriodClass</v>
      </c>
      <c r="P122" s="19" t="s">
        <v>240</v>
      </c>
      <c r="Q122" s="19" t="str">
        <f>IFERROR(VLOOKUP($D122&amp;$C122,設定値!$B$55:$N$85,6,FALSE)&amp;"","")</f>
        <v>insurancePeriod</v>
      </c>
      <c r="R122" s="19" t="s">
        <v>174</v>
      </c>
      <c r="S122" s="19" t="str">
        <f>IFERROR(VLOOKUP($D122&amp;$C122,設定値!$B$55:$N$85,7,FALSE)&amp;"","")</f>
        <v>paymentPeriodClass</v>
      </c>
      <c r="T122" s="19" t="s">
        <v>240</v>
      </c>
      <c r="U122" s="19" t="str">
        <f>IFERROR(VLOOKUP($D122&amp;$C122,設定値!$B$55:$N$85,8,FALSE)&amp;"","")</f>
        <v>paymentPeriod</v>
      </c>
      <c r="V122" s="19" t="s">
        <v>174</v>
      </c>
      <c r="W122" s="19" t="str">
        <f>IFERROR(VLOOKUP($D122&amp;$C122,設定値!$B$55:$N$85,9,FALSE)&amp;"","")</f>
        <v/>
      </c>
      <c r="X122" s="19"/>
      <c r="Y122" s="19" t="str">
        <f>IFERROR(VLOOKUP($D122&amp;$C122,設定値!$B$55:$N$85,10,FALSE)&amp;"","")</f>
        <v/>
      </c>
      <c r="Z122" s="19"/>
      <c r="AA122" s="19" t="str">
        <f>IFERROR(VLOOKUP($D122&amp;$C122,設定値!$B$55:$N$85,11,FALSE)&amp;"","")</f>
        <v/>
      </c>
      <c r="AB122" s="19"/>
      <c r="AC122" s="19" t="str">
        <f>IFERROR(VLOOKUP($D122&amp;$C122,設定値!$B$55:$N$85,12,FALSE)&amp;"","")</f>
        <v/>
      </c>
      <c r="AD122" s="19"/>
      <c r="AE122" s="19" t="str">
        <f>IFERROR(VLOOKUP($D122&amp;$C122,設定値!$B$55:$N$85,13,FALSE)&amp;"","")</f>
        <v/>
      </c>
      <c r="AF122" s="19"/>
    </row>
    <row r="123" spans="1:32" ht="15">
      <c r="A123" s="27" t="s">
        <v>18</v>
      </c>
      <c r="B123" s="7" t="s">
        <v>214</v>
      </c>
      <c r="C123" s="27" t="s">
        <v>211</v>
      </c>
      <c r="D123" s="7" t="s">
        <v>215</v>
      </c>
      <c r="E123" s="7" t="str">
        <f t="shared" si="1"/>
        <v>D10</v>
      </c>
      <c r="F123" s="20" t="s">
        <v>44</v>
      </c>
      <c r="G123" s="19" t="str">
        <f>IFERROR(VLOOKUP(D123&amp;C123,設定値!$B$55:$L$85,3,FALSE),"")</f>
        <v>特定疾病保険料払込免除特約</v>
      </c>
      <c r="H123" s="8" t="s">
        <v>118</v>
      </c>
      <c r="I123" s="8" t="s">
        <v>100</v>
      </c>
      <c r="J123" s="8" t="s">
        <v>171</v>
      </c>
      <c r="K123" s="26"/>
      <c r="L123" s="19"/>
      <c r="M123" s="19" t="str">
        <f>IFERROR(VLOOKUP($D123&amp;$C123,設定値!$B$55:$N$85,4,FALSE)&amp;"","")</f>
        <v>additionType</v>
      </c>
      <c r="N123" s="19" t="s">
        <v>18</v>
      </c>
      <c r="O123" s="19" t="str">
        <f>IFERROR(VLOOKUP($D123&amp;$C123,設定値!$B$55:$N$85,5,FALSE)&amp;"","")</f>
        <v>insurancePeriodClass</v>
      </c>
      <c r="P123" s="19" t="s">
        <v>240</v>
      </c>
      <c r="Q123" s="19" t="str">
        <f>IFERROR(VLOOKUP($D123&amp;$C123,設定値!$B$55:$N$85,6,FALSE)&amp;"","")</f>
        <v>insurancePeriod</v>
      </c>
      <c r="R123" s="19" t="s">
        <v>174</v>
      </c>
      <c r="S123" s="19" t="str">
        <f>IFERROR(VLOOKUP($D123&amp;$C123,設定値!$B$55:$N$85,7,FALSE)&amp;"","")</f>
        <v>paymentPeriodClass</v>
      </c>
      <c r="T123" s="19" t="s">
        <v>240</v>
      </c>
      <c r="U123" s="19" t="str">
        <f>IFERROR(VLOOKUP($D123&amp;$C123,設定値!$B$55:$N$85,8,FALSE)&amp;"","")</f>
        <v>paymentPeriod</v>
      </c>
      <c r="V123" s="19" t="s">
        <v>174</v>
      </c>
      <c r="W123" s="19" t="str">
        <f>IFERROR(VLOOKUP($D123&amp;$C123,設定値!$B$55:$N$85,9,FALSE)&amp;"","")</f>
        <v>freeOfPremiumRiderCls</v>
      </c>
      <c r="X123" s="19" t="s">
        <v>249</v>
      </c>
      <c r="Y123" s="19" t="str">
        <f>IFERROR(VLOOKUP($D123&amp;$C123,設定値!$B$55:$N$85,10,FALSE)&amp;"","")</f>
        <v/>
      </c>
      <c r="Z123" s="19"/>
      <c r="AA123" s="19" t="str">
        <f>IFERROR(VLOOKUP($D123&amp;$C123,設定値!$B$55:$N$85,11,FALSE)&amp;"","")</f>
        <v/>
      </c>
      <c r="AB123" s="19"/>
      <c r="AC123" s="19" t="str">
        <f>IFERROR(VLOOKUP($D123&amp;$C123,設定値!$B$55:$N$85,12,FALSE)&amp;"","")</f>
        <v/>
      </c>
      <c r="AD123" s="19"/>
      <c r="AE123" s="19" t="str">
        <f>IFERROR(VLOOKUP($D123&amp;$C123,設定値!$B$55:$N$85,13,FALSE)&amp;"","")</f>
        <v/>
      </c>
      <c r="AF123" s="19"/>
    </row>
    <row r="124" spans="1:32" ht="15">
      <c r="A124" s="27" t="s">
        <v>118</v>
      </c>
      <c r="B124" s="7" t="s">
        <v>214</v>
      </c>
      <c r="C124" s="27" t="s">
        <v>18</v>
      </c>
      <c r="D124" s="7" t="s">
        <v>215</v>
      </c>
      <c r="E124" s="7" t="str">
        <f t="shared" si="1"/>
        <v>310</v>
      </c>
      <c r="F124" s="20" t="s">
        <v>44</v>
      </c>
      <c r="G124" s="19" t="str">
        <f>IFERROR(VLOOKUP(D124&amp;C124,設定値!$B$55:$L$85,3,FALSE),"")</f>
        <v>特定疾病一時給付保険（無解約払戻金型）（２０）</v>
      </c>
      <c r="H124" s="8" t="s">
        <v>118</v>
      </c>
      <c r="I124" s="8" t="s">
        <v>100</v>
      </c>
      <c r="J124" s="8" t="s">
        <v>171</v>
      </c>
      <c r="K124" s="26"/>
      <c r="L124" s="19">
        <v>0</v>
      </c>
      <c r="M124" s="19" t="str">
        <f>IFERROR(VLOOKUP($D124&amp;$C124,設定値!$B$55:$N$85,4,FALSE)&amp;"","")</f>
        <v>benefit</v>
      </c>
      <c r="N124" s="19">
        <v>300000</v>
      </c>
      <c r="O124" s="19" t="str">
        <f>IFERROR(VLOOKUP($D124&amp;$C124,設定値!$B$55:$N$85,5,FALSE)&amp;"","")</f>
        <v>insurancePeriodClass</v>
      </c>
      <c r="P124" s="19" t="s">
        <v>240</v>
      </c>
      <c r="Q124" s="19" t="str">
        <f>IFERROR(VLOOKUP($D124&amp;$C124,設定値!$B$55:$N$85,6,FALSE)&amp;"","")</f>
        <v>insurancePeriod</v>
      </c>
      <c r="R124" s="19" t="s">
        <v>174</v>
      </c>
      <c r="S124" s="19" t="str">
        <f>IFERROR(VLOOKUP($D124&amp;$C124,設定値!$B$55:$N$85,7,FALSE)&amp;"","")</f>
        <v>paymentPeriodClass</v>
      </c>
      <c r="T124" s="19" t="s">
        <v>240</v>
      </c>
      <c r="U124" s="19" t="str">
        <f>IFERROR(VLOOKUP($D124&amp;$C124,設定値!$B$55:$N$85,8,FALSE)&amp;"","")</f>
        <v>paymentPeriod</v>
      </c>
      <c r="V124" s="19" t="s">
        <v>174</v>
      </c>
      <c r="W124" s="19" t="str">
        <f>IFERROR(VLOOKUP($D124&amp;$C124,設定値!$B$55:$N$85,9,FALSE)&amp;"","")</f>
        <v>diseaseCoverageType</v>
      </c>
      <c r="X124" s="19" t="s">
        <v>250</v>
      </c>
      <c r="Y124" s="19" t="str">
        <f>IFERROR(VLOOKUP($D124&amp;$C124,設定値!$B$55:$N$85,10,FALSE)&amp;"","")</f>
        <v>benefitFirstPayConvCls</v>
      </c>
      <c r="Z124" s="19" t="s">
        <v>18</v>
      </c>
      <c r="AA124" s="19" t="str">
        <f>IFERROR(VLOOKUP($D124&amp;$C124,設定値!$B$55:$N$85,11,FALSE)&amp;"","")</f>
        <v>freeOfPRiderFlg</v>
      </c>
      <c r="AB124" s="19" t="s">
        <v>18</v>
      </c>
      <c r="AC124" s="19" t="str">
        <f>IFERROR(VLOOKUP($D124&amp;$C124,設定値!$B$55:$N$85,12,FALSE)&amp;"","")</f>
        <v>freeOfPremiumRiderCls</v>
      </c>
      <c r="AD124" s="19" t="s">
        <v>249</v>
      </c>
      <c r="AE124" s="19" t="str">
        <f>IFERROR(VLOOKUP($D124&amp;$C124,設定値!$B$55:$N$85,13,FALSE)&amp;"","")</f>
        <v/>
      </c>
      <c r="AF124" s="19"/>
    </row>
    <row r="125" spans="1:32" ht="15">
      <c r="A125" s="27" t="s">
        <v>118</v>
      </c>
      <c r="B125" s="7" t="s">
        <v>214</v>
      </c>
      <c r="C125" s="27" t="s">
        <v>211</v>
      </c>
      <c r="D125" s="7" t="s">
        <v>178</v>
      </c>
      <c r="E125" s="7" t="str">
        <f t="shared" si="1"/>
        <v>D10</v>
      </c>
      <c r="F125" s="20" t="s">
        <v>44</v>
      </c>
      <c r="G125" s="19" t="str">
        <f>IFERROR(VLOOKUP(D125&amp;C125,設定値!$B$55:$L$85,3,FALSE),"")</f>
        <v>先進医療特約</v>
      </c>
      <c r="H125" s="8" t="s">
        <v>118</v>
      </c>
      <c r="I125" s="8" t="s">
        <v>100</v>
      </c>
      <c r="J125" s="8" t="s">
        <v>171</v>
      </c>
      <c r="K125" s="26"/>
      <c r="L125" s="19"/>
      <c r="M125" s="19" t="str">
        <f>IFERROR(VLOOKUP($D125&amp;$C125,設定値!$B$55:$N$85,4,FALSE)&amp;"","")</f>
        <v>additionType</v>
      </c>
      <c r="N125" s="19" t="s">
        <v>18</v>
      </c>
      <c r="O125" s="19" t="str">
        <f>IFERROR(VLOOKUP($D125&amp;$C125,設定値!$B$55:$N$85,5,FALSE)&amp;"","")</f>
        <v>insurancePeriodClass</v>
      </c>
      <c r="P125" s="19" t="s">
        <v>240</v>
      </c>
      <c r="Q125" s="19" t="str">
        <f>IFERROR(VLOOKUP($D125&amp;$C125,設定値!$B$55:$N$85,6,FALSE)&amp;"","")</f>
        <v>insurancePeriod</v>
      </c>
      <c r="R125" s="19" t="s">
        <v>174</v>
      </c>
      <c r="S125" s="19" t="str">
        <f>IFERROR(VLOOKUP($D125&amp;$C125,設定値!$B$55:$N$85,7,FALSE)&amp;"","")</f>
        <v>paymentPeriodClass</v>
      </c>
      <c r="T125" s="19" t="s">
        <v>240</v>
      </c>
      <c r="U125" s="19" t="str">
        <f>IFERROR(VLOOKUP($D125&amp;$C125,設定値!$B$55:$N$85,8,FALSE)&amp;"","")</f>
        <v>paymentPeriod</v>
      </c>
      <c r="V125" s="19" t="s">
        <v>174</v>
      </c>
      <c r="W125" s="19" t="str">
        <f>IFERROR(VLOOKUP($D125&amp;$C125,設定値!$B$55:$N$85,9,FALSE)&amp;"","")</f>
        <v/>
      </c>
      <c r="X125" s="19"/>
      <c r="Y125" s="19" t="str">
        <f>IFERROR(VLOOKUP($D125&amp;$C125,設定値!$B$55:$N$85,10,FALSE)&amp;"","")</f>
        <v/>
      </c>
      <c r="Z125" s="19"/>
      <c r="AA125" s="19" t="str">
        <f>IFERROR(VLOOKUP($D125&amp;$C125,設定値!$B$55:$N$85,11,FALSE)&amp;"","")</f>
        <v/>
      </c>
      <c r="AB125" s="19"/>
      <c r="AC125" s="19" t="str">
        <f>IFERROR(VLOOKUP($D125&amp;$C125,設定値!$B$55:$N$85,12,FALSE)&amp;"","")</f>
        <v/>
      </c>
      <c r="AD125" s="19"/>
      <c r="AE125" s="19" t="str">
        <f>IFERROR(VLOOKUP($D125&amp;$C125,設定値!$B$55:$N$85,13,FALSE)&amp;"","")</f>
        <v/>
      </c>
      <c r="AF125" s="19"/>
    </row>
    <row r="126" spans="1:32" ht="15">
      <c r="A126" s="27" t="s">
        <v>118</v>
      </c>
      <c r="B126" s="7" t="s">
        <v>214</v>
      </c>
      <c r="C126" s="27" t="s">
        <v>211</v>
      </c>
      <c r="D126" s="7" t="s">
        <v>180</v>
      </c>
      <c r="E126" s="7" t="str">
        <f t="shared" si="1"/>
        <v>D10</v>
      </c>
      <c r="F126" s="20" t="s">
        <v>44</v>
      </c>
      <c r="G126" s="19" t="str">
        <f>IFERROR(VLOOKUP(D126&amp;C126,設定値!$B$55:$L$85,3,FALSE),"")</f>
        <v>抗がん剤・ホルモン剤治療特約</v>
      </c>
      <c r="H126" s="8" t="s">
        <v>118</v>
      </c>
      <c r="I126" s="8" t="s">
        <v>100</v>
      </c>
      <c r="J126" s="8" t="s">
        <v>171</v>
      </c>
      <c r="K126" s="26"/>
      <c r="L126" s="19"/>
      <c r="M126" s="19" t="str">
        <f>IFERROR(VLOOKUP($D126&amp;$C126,設定値!$B$55:$N$85,4,FALSE)&amp;"","")</f>
        <v>benefit</v>
      </c>
      <c r="N126" s="19">
        <v>10000</v>
      </c>
      <c r="O126" s="19" t="str">
        <f>IFERROR(VLOOKUP($D126&amp;$C126,設定値!$B$55:$N$85,5,FALSE)&amp;"","")</f>
        <v>insurancePeriodClass</v>
      </c>
      <c r="P126" s="19" t="s">
        <v>240</v>
      </c>
      <c r="Q126" s="19" t="str">
        <f>IFERROR(VLOOKUP($D126&amp;$C126,設定値!$B$55:$N$85,6,FALSE)&amp;"","")</f>
        <v>insurancePeriod</v>
      </c>
      <c r="R126" s="19" t="s">
        <v>174</v>
      </c>
      <c r="S126" s="19" t="str">
        <f>IFERROR(VLOOKUP($D126&amp;$C126,設定値!$B$55:$N$85,7,FALSE)&amp;"","")</f>
        <v>paymentPeriodClass</v>
      </c>
      <c r="T126" s="19" t="s">
        <v>240</v>
      </c>
      <c r="U126" s="19" t="str">
        <f>IFERROR(VLOOKUP($D126&amp;$C126,設定値!$B$55:$N$85,8,FALSE)&amp;"","")</f>
        <v>paymentPeriod</v>
      </c>
      <c r="V126" s="19" t="s">
        <v>174</v>
      </c>
      <c r="W126" s="19" t="str">
        <f>IFERROR(VLOOKUP($D126&amp;$C126,設定値!$B$55:$N$85,9,FALSE)&amp;"","")</f>
        <v/>
      </c>
      <c r="X126" s="19"/>
      <c r="Y126" s="19" t="str">
        <f>IFERROR(VLOOKUP($D126&amp;$C126,設定値!$B$55:$N$85,10,FALSE)&amp;"","")</f>
        <v/>
      </c>
      <c r="Z126" s="19"/>
      <c r="AA126" s="19" t="str">
        <f>IFERROR(VLOOKUP($D126&amp;$C126,設定値!$B$55:$N$85,11,FALSE)&amp;"","")</f>
        <v/>
      </c>
      <c r="AB126" s="19"/>
      <c r="AC126" s="19" t="str">
        <f>IFERROR(VLOOKUP($D126&amp;$C126,設定値!$B$55:$N$85,12,FALSE)&amp;"","")</f>
        <v/>
      </c>
      <c r="AD126" s="19"/>
      <c r="AE126" s="19" t="str">
        <f>IFERROR(VLOOKUP($D126&amp;$C126,設定値!$B$55:$N$85,13,FALSE)&amp;"","")</f>
        <v/>
      </c>
      <c r="AF126" s="19"/>
    </row>
    <row r="127" spans="1:32" ht="15">
      <c r="A127" s="27" t="s">
        <v>118</v>
      </c>
      <c r="B127" s="7" t="s">
        <v>214</v>
      </c>
      <c r="C127" s="27" t="s">
        <v>211</v>
      </c>
      <c r="D127" s="7" t="s">
        <v>182</v>
      </c>
      <c r="E127" s="7" t="str">
        <f t="shared" si="1"/>
        <v>D10</v>
      </c>
      <c r="F127" s="20" t="s">
        <v>44</v>
      </c>
      <c r="G127" s="19" t="str">
        <f>IFERROR(VLOOKUP(D127&amp;C127,設定値!$B$55:$L$85,3,FALSE),"")</f>
        <v>がん一時給付特約</v>
      </c>
      <c r="H127" s="8" t="s">
        <v>118</v>
      </c>
      <c r="I127" s="8" t="s">
        <v>100</v>
      </c>
      <c r="J127" s="8" t="s">
        <v>171</v>
      </c>
      <c r="K127" s="26"/>
      <c r="L127" s="19"/>
      <c r="M127" s="19" t="str">
        <f>IFERROR(VLOOKUP($D127&amp;$C127,設定値!$B$55:$N$85,4,FALSE)&amp;"","")</f>
        <v>benefit</v>
      </c>
      <c r="N127" s="19">
        <v>100000</v>
      </c>
      <c r="O127" s="19" t="str">
        <f>IFERROR(VLOOKUP($D127&amp;$C127,設定値!$B$55:$N$85,5,FALSE)&amp;"","")</f>
        <v>insurancePeriodClass</v>
      </c>
      <c r="P127" s="19" t="s">
        <v>240</v>
      </c>
      <c r="Q127" s="19" t="str">
        <f>IFERROR(VLOOKUP($D127&amp;$C127,設定値!$B$55:$N$85,6,FALSE)&amp;"","")</f>
        <v>insurancePeriod</v>
      </c>
      <c r="R127" s="19" t="s">
        <v>174</v>
      </c>
      <c r="S127" s="19" t="str">
        <f>IFERROR(VLOOKUP($D127&amp;$C127,設定値!$B$55:$N$85,7,FALSE)&amp;"","")</f>
        <v>paymentPeriodClass</v>
      </c>
      <c r="T127" s="19" t="s">
        <v>240</v>
      </c>
      <c r="U127" s="19" t="str">
        <f>IFERROR(VLOOKUP($D127&amp;$C127,設定値!$B$55:$N$85,8,FALSE)&amp;"","")</f>
        <v>paymentPeriod</v>
      </c>
      <c r="V127" s="19" t="s">
        <v>174</v>
      </c>
      <c r="W127" s="19" t="str">
        <f>IFERROR(VLOOKUP($D127&amp;$C127,設定値!$B$55:$N$85,9,FALSE)&amp;"","")</f>
        <v/>
      </c>
      <c r="X127" s="19"/>
      <c r="Y127" s="19" t="str">
        <f>IFERROR(VLOOKUP($D127&amp;$C127,設定値!$B$55:$N$85,10,FALSE)&amp;"","")</f>
        <v/>
      </c>
      <c r="Z127" s="19"/>
      <c r="AA127" s="19" t="str">
        <f>IFERROR(VLOOKUP($D127&amp;$C127,設定値!$B$55:$N$85,11,FALSE)&amp;"","")</f>
        <v/>
      </c>
      <c r="AB127" s="19"/>
      <c r="AC127" s="19" t="str">
        <f>IFERROR(VLOOKUP($D127&amp;$C127,設定値!$B$55:$N$85,12,FALSE)&amp;"","")</f>
        <v/>
      </c>
      <c r="AD127" s="19"/>
      <c r="AE127" s="19" t="str">
        <f>IFERROR(VLOOKUP($D127&amp;$C127,設定値!$B$55:$N$85,13,FALSE)&amp;"","")</f>
        <v/>
      </c>
      <c r="AF127" s="19"/>
    </row>
    <row r="128" spans="1:32" ht="15">
      <c r="A128" s="27" t="s">
        <v>118</v>
      </c>
      <c r="B128" s="7" t="s">
        <v>214</v>
      </c>
      <c r="C128" s="27" t="s">
        <v>211</v>
      </c>
      <c r="D128" s="7" t="s">
        <v>215</v>
      </c>
      <c r="E128" s="7" t="str">
        <f t="shared" si="1"/>
        <v>D10</v>
      </c>
      <c r="F128" s="20" t="s">
        <v>44</v>
      </c>
      <c r="G128" s="19" t="str">
        <f>IFERROR(VLOOKUP(D128&amp;C128,設定値!$B$55:$L$85,3,FALSE),"")</f>
        <v>特定疾病保険料払込免除特約</v>
      </c>
      <c r="H128" s="8" t="s">
        <v>118</v>
      </c>
      <c r="I128" s="8" t="s">
        <v>100</v>
      </c>
      <c r="J128" s="8" t="s">
        <v>171</v>
      </c>
      <c r="K128" s="26"/>
      <c r="L128" s="19"/>
      <c r="M128" s="19" t="str">
        <f>IFERROR(VLOOKUP($D128&amp;$C128,設定値!$B$55:$N$85,4,FALSE)&amp;"","")</f>
        <v>additionType</v>
      </c>
      <c r="N128" s="19" t="s">
        <v>18</v>
      </c>
      <c r="O128" s="19" t="str">
        <f>IFERROR(VLOOKUP($D128&amp;$C128,設定値!$B$55:$N$85,5,FALSE)&amp;"","")</f>
        <v>insurancePeriodClass</v>
      </c>
      <c r="P128" s="19" t="s">
        <v>240</v>
      </c>
      <c r="Q128" s="19" t="str">
        <f>IFERROR(VLOOKUP($D128&amp;$C128,設定値!$B$55:$N$85,6,FALSE)&amp;"","")</f>
        <v>insurancePeriod</v>
      </c>
      <c r="R128" s="19" t="s">
        <v>174</v>
      </c>
      <c r="S128" s="19" t="str">
        <f>IFERROR(VLOOKUP($D128&amp;$C128,設定値!$B$55:$N$85,7,FALSE)&amp;"","")</f>
        <v>paymentPeriodClass</v>
      </c>
      <c r="T128" s="19" t="s">
        <v>240</v>
      </c>
      <c r="U128" s="19" t="str">
        <f>IFERROR(VLOOKUP($D128&amp;$C128,設定値!$B$55:$N$85,8,FALSE)&amp;"","")</f>
        <v>paymentPeriod</v>
      </c>
      <c r="V128" s="19" t="s">
        <v>174</v>
      </c>
      <c r="W128" s="19" t="str">
        <f>IFERROR(VLOOKUP($D128&amp;$C128,設定値!$B$55:$N$85,9,FALSE)&amp;"","")</f>
        <v>freeOfPremiumRiderCls</v>
      </c>
      <c r="X128" s="19" t="s">
        <v>249</v>
      </c>
      <c r="Y128" s="19" t="str">
        <f>IFERROR(VLOOKUP($D128&amp;$C128,設定値!$B$55:$N$85,10,FALSE)&amp;"","")</f>
        <v/>
      </c>
      <c r="Z128" s="19"/>
      <c r="AA128" s="19" t="str">
        <f>IFERROR(VLOOKUP($D128&amp;$C128,設定値!$B$55:$N$85,11,FALSE)&amp;"","")</f>
        <v/>
      </c>
      <c r="AB128" s="19"/>
      <c r="AC128" s="19" t="str">
        <f>IFERROR(VLOOKUP($D128&amp;$C128,設定値!$B$55:$N$85,12,FALSE)&amp;"","")</f>
        <v/>
      </c>
      <c r="AD128" s="19"/>
      <c r="AE128" s="19" t="str">
        <f>IFERROR(VLOOKUP($D128&amp;$C128,設定値!$B$55:$N$85,13,FALSE)&amp;"","")</f>
        <v/>
      </c>
      <c r="AF128" s="19"/>
    </row>
    <row r="129" spans="1:32" ht="15">
      <c r="A129" s="27" t="s">
        <v>213</v>
      </c>
      <c r="B129" s="7" t="s">
        <v>214</v>
      </c>
      <c r="C129" s="27" t="s">
        <v>18</v>
      </c>
      <c r="D129" s="7" t="s">
        <v>215</v>
      </c>
      <c r="E129" s="7" t="str">
        <f t="shared" si="1"/>
        <v>310</v>
      </c>
      <c r="F129" s="20" t="s">
        <v>44</v>
      </c>
      <c r="G129" s="19" t="str">
        <f>IFERROR(VLOOKUP(D129&amp;C129,設定値!$B$55:$L$85,3,FALSE),"")</f>
        <v>特定疾病一時給付保険（無解約払戻金型）（２０）</v>
      </c>
      <c r="H129" s="8" t="s">
        <v>118</v>
      </c>
      <c r="I129" s="8" t="s">
        <v>100</v>
      </c>
      <c r="J129" s="8" t="s">
        <v>171</v>
      </c>
      <c r="K129" s="26"/>
      <c r="L129" s="19">
        <v>0</v>
      </c>
      <c r="M129" s="19" t="str">
        <f>IFERROR(VLOOKUP($D129&amp;$C129,設定値!$B$55:$N$85,4,FALSE)&amp;"","")</f>
        <v>benefit</v>
      </c>
      <c r="N129" s="19">
        <v>300000</v>
      </c>
      <c r="O129" s="19" t="str">
        <f>IFERROR(VLOOKUP($D129&amp;$C129,設定値!$B$55:$N$85,5,FALSE)&amp;"","")</f>
        <v>insurancePeriodClass</v>
      </c>
      <c r="P129" s="19" t="s">
        <v>240</v>
      </c>
      <c r="Q129" s="19" t="str">
        <f>IFERROR(VLOOKUP($D129&amp;$C129,設定値!$B$55:$N$85,6,FALSE)&amp;"","")</f>
        <v>insurancePeriod</v>
      </c>
      <c r="R129" s="19" t="s">
        <v>174</v>
      </c>
      <c r="S129" s="19" t="str">
        <f>IFERROR(VLOOKUP($D129&amp;$C129,設定値!$B$55:$N$85,7,FALSE)&amp;"","")</f>
        <v>paymentPeriodClass</v>
      </c>
      <c r="T129" s="19" t="s">
        <v>240</v>
      </c>
      <c r="U129" s="19" t="str">
        <f>IFERROR(VLOOKUP($D129&amp;$C129,設定値!$B$55:$N$85,8,FALSE)&amp;"","")</f>
        <v>paymentPeriod</v>
      </c>
      <c r="V129" s="19" t="s">
        <v>174</v>
      </c>
      <c r="W129" s="19" t="str">
        <f>IFERROR(VLOOKUP($D129&amp;$C129,設定値!$B$55:$N$85,9,FALSE)&amp;"","")</f>
        <v>diseaseCoverageType</v>
      </c>
      <c r="X129" s="19" t="s">
        <v>250</v>
      </c>
      <c r="Y129" s="19" t="str">
        <f>IFERROR(VLOOKUP($D129&amp;$C129,設定値!$B$55:$N$85,10,FALSE)&amp;"","")</f>
        <v>benefitFirstPayConvCls</v>
      </c>
      <c r="Z129" s="19" t="s">
        <v>18</v>
      </c>
      <c r="AA129" s="19" t="str">
        <f>IFERROR(VLOOKUP($D129&amp;$C129,設定値!$B$55:$N$85,11,FALSE)&amp;"","")</f>
        <v>freeOfPRiderFlg</v>
      </c>
      <c r="AB129" s="19" t="s">
        <v>18</v>
      </c>
      <c r="AC129" s="19" t="str">
        <f>IFERROR(VLOOKUP($D129&amp;$C129,設定値!$B$55:$N$85,12,FALSE)&amp;"","")</f>
        <v>freeOfPremiumRiderCls</v>
      </c>
      <c r="AD129" s="19" t="s">
        <v>249</v>
      </c>
      <c r="AE129" s="19" t="str">
        <f>IFERROR(VLOOKUP($D129&amp;$C129,設定値!$B$55:$N$85,13,FALSE)&amp;"","")</f>
        <v/>
      </c>
      <c r="AF129" s="19"/>
    </row>
    <row r="130" spans="1:32" ht="15">
      <c r="A130" s="27" t="s">
        <v>213</v>
      </c>
      <c r="B130" s="7" t="s">
        <v>214</v>
      </c>
      <c r="C130" s="27" t="s">
        <v>211</v>
      </c>
      <c r="D130" s="7" t="s">
        <v>178</v>
      </c>
      <c r="E130" s="7" t="str">
        <f t="shared" si="1"/>
        <v>D10</v>
      </c>
      <c r="F130" s="20" t="s">
        <v>44</v>
      </c>
      <c r="G130" s="19" t="str">
        <f>IFERROR(VLOOKUP(D130&amp;C130,設定値!$B$55:$L$85,3,FALSE),"")</f>
        <v>先進医療特約</v>
      </c>
      <c r="H130" s="8" t="s">
        <v>118</v>
      </c>
      <c r="I130" s="8" t="s">
        <v>100</v>
      </c>
      <c r="J130" s="8" t="s">
        <v>171</v>
      </c>
      <c r="K130" s="26"/>
      <c r="L130" s="19"/>
      <c r="M130" s="19" t="str">
        <f>IFERROR(VLOOKUP($D130&amp;$C130,設定値!$B$55:$N$85,4,FALSE)&amp;"","")</f>
        <v>additionType</v>
      </c>
      <c r="N130" s="19" t="s">
        <v>18</v>
      </c>
      <c r="O130" s="19" t="str">
        <f>IFERROR(VLOOKUP($D130&amp;$C130,設定値!$B$55:$N$85,5,FALSE)&amp;"","")</f>
        <v>insurancePeriodClass</v>
      </c>
      <c r="P130" s="19" t="s">
        <v>240</v>
      </c>
      <c r="Q130" s="19" t="str">
        <f>IFERROR(VLOOKUP($D130&amp;$C130,設定値!$B$55:$N$85,6,FALSE)&amp;"","")</f>
        <v>insurancePeriod</v>
      </c>
      <c r="R130" s="19" t="s">
        <v>174</v>
      </c>
      <c r="S130" s="19" t="str">
        <f>IFERROR(VLOOKUP($D130&amp;$C130,設定値!$B$55:$N$85,7,FALSE)&amp;"","")</f>
        <v>paymentPeriodClass</v>
      </c>
      <c r="T130" s="19" t="s">
        <v>240</v>
      </c>
      <c r="U130" s="19" t="str">
        <f>IFERROR(VLOOKUP($D130&amp;$C130,設定値!$B$55:$N$85,8,FALSE)&amp;"","")</f>
        <v>paymentPeriod</v>
      </c>
      <c r="V130" s="19" t="s">
        <v>174</v>
      </c>
      <c r="W130" s="19" t="str">
        <f>IFERROR(VLOOKUP($D130&amp;$C130,設定値!$B$55:$N$85,9,FALSE)&amp;"","")</f>
        <v/>
      </c>
      <c r="X130" s="19"/>
      <c r="Y130" s="19" t="str">
        <f>IFERROR(VLOOKUP($D130&amp;$C130,設定値!$B$55:$N$85,10,FALSE)&amp;"","")</f>
        <v/>
      </c>
      <c r="Z130" s="19"/>
      <c r="AA130" s="19" t="str">
        <f>IFERROR(VLOOKUP($D130&amp;$C130,設定値!$B$55:$N$85,11,FALSE)&amp;"","")</f>
        <v/>
      </c>
      <c r="AB130" s="19"/>
      <c r="AC130" s="19" t="str">
        <f>IFERROR(VLOOKUP($D130&amp;$C130,設定値!$B$55:$N$85,12,FALSE)&amp;"","")</f>
        <v/>
      </c>
      <c r="AD130" s="19"/>
      <c r="AE130" s="19" t="str">
        <f>IFERROR(VLOOKUP($D130&amp;$C130,設定値!$B$55:$N$85,13,FALSE)&amp;"","")</f>
        <v/>
      </c>
      <c r="AF130" s="19"/>
    </row>
    <row r="131" spans="1:32" ht="15">
      <c r="A131" s="27" t="s">
        <v>213</v>
      </c>
      <c r="B131" s="7" t="s">
        <v>214</v>
      </c>
      <c r="C131" s="27" t="s">
        <v>211</v>
      </c>
      <c r="D131" s="7" t="s">
        <v>180</v>
      </c>
      <c r="E131" s="7" t="str">
        <f t="shared" ref="E131:E178" si="2">IF(B131="03A003","030",IF(C131="1","310","D10"))</f>
        <v>D10</v>
      </c>
      <c r="F131" s="20" t="s">
        <v>44</v>
      </c>
      <c r="G131" s="19" t="str">
        <f>IFERROR(VLOOKUP(D131&amp;C131,設定値!$B$55:$L$85,3,FALSE),"")</f>
        <v>抗がん剤・ホルモン剤治療特約</v>
      </c>
      <c r="H131" s="8" t="s">
        <v>118</v>
      </c>
      <c r="I131" s="8" t="s">
        <v>100</v>
      </c>
      <c r="J131" s="8" t="s">
        <v>171</v>
      </c>
      <c r="K131" s="26"/>
      <c r="L131" s="19"/>
      <c r="M131" s="19" t="str">
        <f>IFERROR(VLOOKUP($D131&amp;$C131,設定値!$B$55:$N$85,4,FALSE)&amp;"","")</f>
        <v>benefit</v>
      </c>
      <c r="N131" s="19">
        <v>10000</v>
      </c>
      <c r="O131" s="19" t="str">
        <f>IFERROR(VLOOKUP($D131&amp;$C131,設定値!$B$55:$N$85,5,FALSE)&amp;"","")</f>
        <v>insurancePeriodClass</v>
      </c>
      <c r="P131" s="19" t="s">
        <v>240</v>
      </c>
      <c r="Q131" s="19" t="str">
        <f>IFERROR(VLOOKUP($D131&amp;$C131,設定値!$B$55:$N$85,6,FALSE)&amp;"","")</f>
        <v>insurancePeriod</v>
      </c>
      <c r="R131" s="19" t="s">
        <v>174</v>
      </c>
      <c r="S131" s="19" t="str">
        <f>IFERROR(VLOOKUP($D131&amp;$C131,設定値!$B$55:$N$85,7,FALSE)&amp;"","")</f>
        <v>paymentPeriodClass</v>
      </c>
      <c r="T131" s="19" t="s">
        <v>240</v>
      </c>
      <c r="U131" s="19" t="str">
        <f>IFERROR(VLOOKUP($D131&amp;$C131,設定値!$B$55:$N$85,8,FALSE)&amp;"","")</f>
        <v>paymentPeriod</v>
      </c>
      <c r="V131" s="19" t="s">
        <v>174</v>
      </c>
      <c r="W131" s="19" t="str">
        <f>IFERROR(VLOOKUP($D131&amp;$C131,設定値!$B$55:$N$85,9,FALSE)&amp;"","")</f>
        <v/>
      </c>
      <c r="X131" s="19"/>
      <c r="Y131" s="19" t="str">
        <f>IFERROR(VLOOKUP($D131&amp;$C131,設定値!$B$55:$N$85,10,FALSE)&amp;"","")</f>
        <v/>
      </c>
      <c r="Z131" s="19"/>
      <c r="AA131" s="19" t="str">
        <f>IFERROR(VLOOKUP($D131&amp;$C131,設定値!$B$55:$N$85,11,FALSE)&amp;"","")</f>
        <v/>
      </c>
      <c r="AB131" s="19"/>
      <c r="AC131" s="19" t="str">
        <f>IFERROR(VLOOKUP($D131&amp;$C131,設定値!$B$55:$N$85,12,FALSE)&amp;"","")</f>
        <v/>
      </c>
      <c r="AD131" s="19"/>
      <c r="AE131" s="19" t="str">
        <f>IFERROR(VLOOKUP($D131&amp;$C131,設定値!$B$55:$N$85,13,FALSE)&amp;"","")</f>
        <v/>
      </c>
      <c r="AF131" s="19"/>
    </row>
    <row r="132" spans="1:32" ht="15">
      <c r="A132" s="27" t="s">
        <v>213</v>
      </c>
      <c r="B132" s="7" t="s">
        <v>214</v>
      </c>
      <c r="C132" s="27" t="s">
        <v>211</v>
      </c>
      <c r="D132" s="7" t="s">
        <v>182</v>
      </c>
      <c r="E132" s="7" t="str">
        <f t="shared" si="2"/>
        <v>D10</v>
      </c>
      <c r="F132" s="20" t="s">
        <v>44</v>
      </c>
      <c r="G132" s="19" t="str">
        <f>IFERROR(VLOOKUP(D132&amp;C132,設定値!$B$55:$L$85,3,FALSE),"")</f>
        <v>がん一時給付特約</v>
      </c>
      <c r="H132" s="8" t="s">
        <v>118</v>
      </c>
      <c r="I132" s="8" t="s">
        <v>100</v>
      </c>
      <c r="J132" s="8" t="s">
        <v>171</v>
      </c>
      <c r="K132" s="26"/>
      <c r="L132" s="19"/>
      <c r="M132" s="19" t="str">
        <f>IFERROR(VLOOKUP($D132&amp;$C132,設定値!$B$55:$N$85,4,FALSE)&amp;"","")</f>
        <v>benefit</v>
      </c>
      <c r="N132" s="19">
        <v>100000</v>
      </c>
      <c r="O132" s="19" t="str">
        <f>IFERROR(VLOOKUP($D132&amp;$C132,設定値!$B$55:$N$85,5,FALSE)&amp;"","")</f>
        <v>insurancePeriodClass</v>
      </c>
      <c r="P132" s="19" t="s">
        <v>240</v>
      </c>
      <c r="Q132" s="19" t="str">
        <f>IFERROR(VLOOKUP($D132&amp;$C132,設定値!$B$55:$N$85,6,FALSE)&amp;"","")</f>
        <v>insurancePeriod</v>
      </c>
      <c r="R132" s="19" t="s">
        <v>174</v>
      </c>
      <c r="S132" s="19" t="str">
        <f>IFERROR(VLOOKUP($D132&amp;$C132,設定値!$B$55:$N$85,7,FALSE)&amp;"","")</f>
        <v>paymentPeriodClass</v>
      </c>
      <c r="T132" s="19" t="s">
        <v>240</v>
      </c>
      <c r="U132" s="19" t="str">
        <f>IFERROR(VLOOKUP($D132&amp;$C132,設定値!$B$55:$N$85,8,FALSE)&amp;"","")</f>
        <v>paymentPeriod</v>
      </c>
      <c r="V132" s="19" t="s">
        <v>174</v>
      </c>
      <c r="W132" s="19" t="str">
        <f>IFERROR(VLOOKUP($D132&amp;$C132,設定値!$B$55:$N$85,9,FALSE)&amp;"","")</f>
        <v/>
      </c>
      <c r="X132" s="19"/>
      <c r="Y132" s="19" t="str">
        <f>IFERROR(VLOOKUP($D132&amp;$C132,設定値!$B$55:$N$85,10,FALSE)&amp;"","")</f>
        <v/>
      </c>
      <c r="Z132" s="19"/>
      <c r="AA132" s="19" t="str">
        <f>IFERROR(VLOOKUP($D132&amp;$C132,設定値!$B$55:$N$85,11,FALSE)&amp;"","")</f>
        <v/>
      </c>
      <c r="AB132" s="19"/>
      <c r="AC132" s="19" t="str">
        <f>IFERROR(VLOOKUP($D132&amp;$C132,設定値!$B$55:$N$85,12,FALSE)&amp;"","")</f>
        <v/>
      </c>
      <c r="AD132" s="19"/>
      <c r="AE132" s="19" t="str">
        <f>IFERROR(VLOOKUP($D132&amp;$C132,設定値!$B$55:$N$85,13,FALSE)&amp;"","")</f>
        <v/>
      </c>
      <c r="AF132" s="19"/>
    </row>
    <row r="133" spans="1:32" ht="15">
      <c r="A133" s="27" t="s">
        <v>213</v>
      </c>
      <c r="B133" s="7" t="s">
        <v>214</v>
      </c>
      <c r="C133" s="27" t="s">
        <v>211</v>
      </c>
      <c r="D133" s="7" t="s">
        <v>215</v>
      </c>
      <c r="E133" s="7" t="str">
        <f t="shared" si="2"/>
        <v>D10</v>
      </c>
      <c r="F133" s="20" t="s">
        <v>44</v>
      </c>
      <c r="G133" s="19" t="str">
        <f>IFERROR(VLOOKUP(D133&amp;C133,設定値!$B$55:$L$85,3,FALSE),"")</f>
        <v>特定疾病保険料払込免除特約</v>
      </c>
      <c r="H133" s="8" t="s">
        <v>118</v>
      </c>
      <c r="I133" s="8" t="s">
        <v>100</v>
      </c>
      <c r="J133" s="8" t="s">
        <v>171</v>
      </c>
      <c r="K133" s="26"/>
      <c r="L133" s="19"/>
      <c r="M133" s="19" t="str">
        <f>IFERROR(VLOOKUP($D133&amp;$C133,設定値!$B$55:$N$85,4,FALSE)&amp;"","")</f>
        <v>additionType</v>
      </c>
      <c r="N133" s="19" t="s">
        <v>18</v>
      </c>
      <c r="O133" s="19" t="str">
        <f>IFERROR(VLOOKUP($D133&amp;$C133,設定値!$B$55:$N$85,5,FALSE)&amp;"","")</f>
        <v>insurancePeriodClass</v>
      </c>
      <c r="P133" s="19" t="s">
        <v>240</v>
      </c>
      <c r="Q133" s="19" t="str">
        <f>IFERROR(VLOOKUP($D133&amp;$C133,設定値!$B$55:$N$85,6,FALSE)&amp;"","")</f>
        <v>insurancePeriod</v>
      </c>
      <c r="R133" s="19" t="s">
        <v>174</v>
      </c>
      <c r="S133" s="19" t="str">
        <f>IFERROR(VLOOKUP($D133&amp;$C133,設定値!$B$55:$N$85,7,FALSE)&amp;"","")</f>
        <v>paymentPeriodClass</v>
      </c>
      <c r="T133" s="19" t="s">
        <v>240</v>
      </c>
      <c r="U133" s="19" t="str">
        <f>IFERROR(VLOOKUP($D133&amp;$C133,設定値!$B$55:$N$85,8,FALSE)&amp;"","")</f>
        <v>paymentPeriod</v>
      </c>
      <c r="V133" s="19" t="s">
        <v>174</v>
      </c>
      <c r="W133" s="19" t="str">
        <f>IFERROR(VLOOKUP($D133&amp;$C133,設定値!$B$55:$N$85,9,FALSE)&amp;"","")</f>
        <v>freeOfPremiumRiderCls</v>
      </c>
      <c r="X133" s="19" t="s">
        <v>249</v>
      </c>
      <c r="Y133" s="19" t="str">
        <f>IFERROR(VLOOKUP($D133&amp;$C133,設定値!$B$55:$N$85,10,FALSE)&amp;"","")</f>
        <v/>
      </c>
      <c r="Z133" s="19"/>
      <c r="AA133" s="19" t="str">
        <f>IFERROR(VLOOKUP($D133&amp;$C133,設定値!$B$55:$N$85,11,FALSE)&amp;"","")</f>
        <v/>
      </c>
      <c r="AB133" s="19"/>
      <c r="AC133" s="19" t="str">
        <f>IFERROR(VLOOKUP($D133&amp;$C133,設定値!$B$55:$N$85,12,FALSE)&amp;"","")</f>
        <v/>
      </c>
      <c r="AD133" s="19"/>
      <c r="AE133" s="19" t="str">
        <f>IFERROR(VLOOKUP($D133&amp;$C133,設定値!$B$55:$N$85,13,FALSE)&amp;"","")</f>
        <v/>
      </c>
      <c r="AF133" s="19"/>
    </row>
    <row r="134" spans="1:32" ht="15">
      <c r="A134" s="27" t="s">
        <v>18</v>
      </c>
      <c r="B134" s="7" t="s">
        <v>216</v>
      </c>
      <c r="C134" s="27" t="s">
        <v>18</v>
      </c>
      <c r="D134" s="7" t="s">
        <v>217</v>
      </c>
      <c r="E134" s="7" t="str">
        <f t="shared" si="2"/>
        <v>310</v>
      </c>
      <c r="F134" s="20" t="s">
        <v>44</v>
      </c>
      <c r="G134" s="19" t="str">
        <f>IFERROR(VLOOKUP(D134&amp;C134,設定値!$B$55:$L$85,3,FALSE),"")</f>
        <v>引受緩和型医療終身保険（無解約払戻金型）</v>
      </c>
      <c r="H134" s="8" t="s">
        <v>118</v>
      </c>
      <c r="I134" s="8" t="s">
        <v>100</v>
      </c>
      <c r="J134" s="8" t="s">
        <v>171</v>
      </c>
      <c r="K134" s="26">
        <v>1</v>
      </c>
      <c r="L134" s="19">
        <v>1</v>
      </c>
      <c r="M134" s="19" t="str">
        <f>IFERROR(VLOOKUP($D134&amp;$C134,設定値!$B$55:$N$85,4,FALSE)&amp;"","")</f>
        <v>benefit</v>
      </c>
      <c r="N134" s="19">
        <v>3000</v>
      </c>
      <c r="O134" s="19" t="str">
        <f>IFERROR(VLOOKUP($D134&amp;$C134,設定値!$B$55:$N$85,5,FALSE)&amp;"","")</f>
        <v>insurancePeriodClass</v>
      </c>
      <c r="P134" s="19" t="s">
        <v>240</v>
      </c>
      <c r="Q134" s="19" t="str">
        <f>IFERROR(VLOOKUP($D134&amp;$C134,設定値!$B$55:$N$85,6,FALSE)&amp;"","")</f>
        <v>insurancePeriod</v>
      </c>
      <c r="R134" s="19" t="s">
        <v>174</v>
      </c>
      <c r="S134" s="19" t="str">
        <f>IFERROR(VLOOKUP($D134&amp;$C134,設定値!$B$55:$N$85,7,FALSE)&amp;"","")</f>
        <v>paymentPeriodClass</v>
      </c>
      <c r="T134" s="19" t="s">
        <v>240</v>
      </c>
      <c r="U134" s="19" t="str">
        <f>IFERROR(VLOOKUP($D134&amp;$C134,設定値!$B$55:$N$85,8,FALSE)&amp;"","")</f>
        <v>paymentPeriod</v>
      </c>
      <c r="V134" s="19" t="s">
        <v>174</v>
      </c>
      <c r="W134" s="19" t="str">
        <f>IFERROR(VLOOKUP($D134&amp;$C134,設定値!$B$55:$N$85,9,FALSE)&amp;"","")</f>
        <v>hosCovPayLimitClass</v>
      </c>
      <c r="X134" s="19" t="s">
        <v>175</v>
      </c>
      <c r="Y134" s="19" t="str">
        <f>IFERROR(VLOOKUP($D134&amp;$C134,設定値!$B$55:$N$85,10,FALSE)&amp;"","")</f>
        <v>benefitPayConvCls</v>
      </c>
      <c r="Z134" s="19" t="s">
        <v>18</v>
      </c>
      <c r="AA134" s="19" t="str">
        <f>IFERROR(VLOOKUP($D134&amp;$C134,設定値!$B$55:$N$85,11,FALSE)&amp;"","")</f>
        <v>disHsptUnlmtDaysSpPrv</v>
      </c>
      <c r="AB134" s="19" t="s">
        <v>18</v>
      </c>
      <c r="AC134" s="19" t="str">
        <f>IFERROR(VLOOKUP($D134&amp;$C134,設定値!$B$55:$N$85,12,FALSE)&amp;"","")</f>
        <v>freeOfPRiderFlg</v>
      </c>
      <c r="AD134" s="19" t="s">
        <v>18</v>
      </c>
      <c r="AE134" s="19" t="str">
        <f>IFERROR(VLOOKUP($D134&amp;$C134,設定値!$B$55:$N$85,13,FALSE)&amp;"","")</f>
        <v>freeOfPremiumRiderCls</v>
      </c>
      <c r="AF134" s="19" t="s">
        <v>246</v>
      </c>
    </row>
    <row r="135" spans="1:32" ht="15">
      <c r="A135" s="27" t="s">
        <v>18</v>
      </c>
      <c r="B135" s="7" t="s">
        <v>216</v>
      </c>
      <c r="C135" s="27" t="s">
        <v>211</v>
      </c>
      <c r="D135" s="7" t="s">
        <v>218</v>
      </c>
      <c r="E135" s="7" t="str">
        <f t="shared" si="2"/>
        <v>D10</v>
      </c>
      <c r="F135" s="20" t="s">
        <v>44</v>
      </c>
      <c r="G135" s="19" t="str">
        <f>IFERROR(VLOOKUP(D135&amp;C135,設定値!$B$55:$L$85,3,FALSE),"")</f>
        <v>引受緩和型入院一時給付特約</v>
      </c>
      <c r="H135" s="8" t="s">
        <v>118</v>
      </c>
      <c r="I135" s="8" t="s">
        <v>100</v>
      </c>
      <c r="J135" s="8" t="s">
        <v>171</v>
      </c>
      <c r="K135" s="26"/>
      <c r="L135" s="19"/>
      <c r="M135" s="19" t="str">
        <f>IFERROR(VLOOKUP($D135&amp;$C135,設定値!$B$55:$N$85,4,FALSE)&amp;"","")</f>
        <v>benefit</v>
      </c>
      <c r="N135" s="19" t="s">
        <v>173</v>
      </c>
      <c r="O135" s="19" t="str">
        <f>IFERROR(VLOOKUP($D135&amp;$C135,設定値!$B$55:$N$85,5,FALSE)&amp;"","")</f>
        <v>insurancePeriodClass</v>
      </c>
      <c r="P135" s="19" t="s">
        <v>240</v>
      </c>
      <c r="Q135" s="19" t="str">
        <f>IFERROR(VLOOKUP($D135&amp;$C135,設定値!$B$55:$N$85,6,FALSE)&amp;"","")</f>
        <v>insurancePeriod</v>
      </c>
      <c r="R135" s="19" t="s">
        <v>174</v>
      </c>
      <c r="S135" s="19" t="str">
        <f>IFERROR(VLOOKUP($D135&amp;$C135,設定値!$B$55:$N$85,7,FALSE)&amp;"","")</f>
        <v>paymentPeriodClass</v>
      </c>
      <c r="T135" s="19" t="s">
        <v>240</v>
      </c>
      <c r="U135" s="19" t="str">
        <f>IFERROR(VLOOKUP($D135&amp;$C135,設定値!$B$55:$N$85,8,FALSE)&amp;"","")</f>
        <v>paymentPeriod</v>
      </c>
      <c r="V135" s="19" t="s">
        <v>174</v>
      </c>
      <c r="W135" s="19" t="str">
        <f>IFERROR(VLOOKUP($D135&amp;$C135,設定値!$B$55:$N$85,9,FALSE)&amp;"","")</f>
        <v/>
      </c>
      <c r="X135" s="19"/>
      <c r="Y135" s="19" t="str">
        <f>IFERROR(VLOOKUP($D135&amp;$C135,設定値!$B$55:$N$85,10,FALSE)&amp;"","")</f>
        <v/>
      </c>
      <c r="Z135" s="19"/>
      <c r="AA135" s="19" t="str">
        <f>IFERROR(VLOOKUP($D135&amp;$C135,設定値!$B$55:$N$85,11,FALSE)&amp;"","")</f>
        <v/>
      </c>
      <c r="AB135" s="19"/>
      <c r="AC135" s="19" t="str">
        <f>IFERROR(VLOOKUP($D135&amp;$C135,設定値!$B$55:$N$85,12,FALSE)&amp;"","")</f>
        <v/>
      </c>
      <c r="AD135" s="19"/>
      <c r="AE135" s="19" t="str">
        <f>IFERROR(VLOOKUP($D135&amp;$C135,設定値!$B$55:$N$85,13,FALSE)&amp;"","")</f>
        <v/>
      </c>
      <c r="AF135" s="19"/>
    </row>
    <row r="136" spans="1:32" ht="15">
      <c r="A136" s="27" t="s">
        <v>18</v>
      </c>
      <c r="B136" s="7" t="s">
        <v>216</v>
      </c>
      <c r="C136" s="27" t="s">
        <v>211</v>
      </c>
      <c r="D136" s="7" t="s">
        <v>219</v>
      </c>
      <c r="E136" s="7" t="str">
        <f t="shared" si="2"/>
        <v>D10</v>
      </c>
      <c r="F136" s="20" t="s">
        <v>44</v>
      </c>
      <c r="G136" s="19" t="str">
        <f>IFERROR(VLOOKUP(D136&amp;C136,設定値!$B$55:$L$85,3,FALSE),"")</f>
        <v>引受緩和型女性疾病入院特約</v>
      </c>
      <c r="H136" s="8" t="s">
        <v>118</v>
      </c>
      <c r="I136" s="8" t="s">
        <v>100</v>
      </c>
      <c r="J136" s="8" t="s">
        <v>171</v>
      </c>
      <c r="K136" s="26"/>
      <c r="L136" s="19"/>
      <c r="M136" s="19" t="str">
        <f>IFERROR(VLOOKUP($D136&amp;$C136,設定値!$B$55:$N$85,4,FALSE)&amp;"","")</f>
        <v>benefit</v>
      </c>
      <c r="N136" s="19">
        <v>3000</v>
      </c>
      <c r="O136" s="19" t="str">
        <f>IFERROR(VLOOKUP($D136&amp;$C136,設定値!$B$55:$N$85,5,FALSE)&amp;"","")</f>
        <v>insurancePeriodClass</v>
      </c>
      <c r="P136" s="19" t="s">
        <v>240</v>
      </c>
      <c r="Q136" s="19" t="str">
        <f>IFERROR(VLOOKUP($D136&amp;$C136,設定値!$B$55:$N$85,6,FALSE)&amp;"","")</f>
        <v>insurancePeriod</v>
      </c>
      <c r="R136" s="19" t="s">
        <v>174</v>
      </c>
      <c r="S136" s="19" t="str">
        <f>IFERROR(VLOOKUP($D136&amp;$C136,設定値!$B$55:$N$85,7,FALSE)&amp;"","")</f>
        <v>paymentPeriodClass</v>
      </c>
      <c r="T136" s="19" t="s">
        <v>240</v>
      </c>
      <c r="U136" s="19" t="str">
        <f>IFERROR(VLOOKUP($D136&amp;$C136,設定値!$B$55:$N$85,8,FALSE)&amp;"","")</f>
        <v>paymentPeriod</v>
      </c>
      <c r="V136" s="19" t="s">
        <v>174</v>
      </c>
      <c r="W136" s="19" t="str">
        <f>IFERROR(VLOOKUP($D136&amp;$C136,設定値!$B$55:$N$85,9,FALSE)&amp;"","")</f>
        <v>hosCovPayLimitClass</v>
      </c>
      <c r="X136" s="19" t="s">
        <v>175</v>
      </c>
      <c r="Y136" s="19" t="str">
        <f>IFERROR(VLOOKUP($D136&amp;$C136,設定値!$B$55:$N$85,10,FALSE)&amp;"","")</f>
        <v>disHsptUnlmtDaysSpPrv</v>
      </c>
      <c r="Z136" s="19" t="s">
        <v>18</v>
      </c>
      <c r="AA136" s="19" t="str">
        <f>IFERROR(VLOOKUP($D136&amp;$C136,設定値!$B$55:$N$85,11,FALSE)&amp;"","")</f>
        <v/>
      </c>
      <c r="AB136" s="19"/>
      <c r="AC136" s="19" t="str">
        <f>IFERROR(VLOOKUP($D136&amp;$C136,設定値!$B$55:$N$85,12,FALSE)&amp;"","")</f>
        <v/>
      </c>
      <c r="AD136" s="19"/>
      <c r="AE136" s="19" t="str">
        <f>IFERROR(VLOOKUP($D136&amp;$C136,設定値!$B$55:$N$85,13,FALSE)&amp;"","")</f>
        <v/>
      </c>
      <c r="AF136" s="19"/>
    </row>
    <row r="137" spans="1:32" ht="15">
      <c r="A137" s="27" t="s">
        <v>18</v>
      </c>
      <c r="B137" s="7" t="s">
        <v>216</v>
      </c>
      <c r="C137" s="27" t="s">
        <v>211</v>
      </c>
      <c r="D137" s="7" t="s">
        <v>251</v>
      </c>
      <c r="E137" s="7" t="str">
        <f t="shared" si="2"/>
        <v>D10</v>
      </c>
      <c r="F137" s="20" t="s">
        <v>44</v>
      </c>
      <c r="G137" s="19" t="str">
        <f>IFERROR(VLOOKUP(D137&amp;C137,設定値!$B$55:$L$85,3,FALSE),"")</f>
        <v>引受緩和型退院後通院特約</v>
      </c>
      <c r="H137" s="8" t="s">
        <v>118</v>
      </c>
      <c r="I137" s="8" t="s">
        <v>100</v>
      </c>
      <c r="J137" s="8" t="s">
        <v>171</v>
      </c>
      <c r="K137" s="26"/>
      <c r="L137" s="19"/>
      <c r="M137" s="19" t="str">
        <f>IFERROR(VLOOKUP($D137&amp;$C137,設定値!$B$55:$N$85,4,FALSE)&amp;"","")</f>
        <v>benefit</v>
      </c>
      <c r="N137" s="19">
        <v>2000</v>
      </c>
      <c r="O137" s="19" t="str">
        <f>IFERROR(VLOOKUP($D137&amp;$C137,設定値!$B$55:$N$85,5,FALSE)&amp;"","")</f>
        <v>insurancePeriodClass</v>
      </c>
      <c r="P137" s="19" t="s">
        <v>240</v>
      </c>
      <c r="Q137" s="19" t="str">
        <f>IFERROR(VLOOKUP($D137&amp;$C137,設定値!$B$55:$N$85,6,FALSE)&amp;"","")</f>
        <v>insurancePeriod</v>
      </c>
      <c r="R137" s="19" t="s">
        <v>174</v>
      </c>
      <c r="S137" s="19" t="str">
        <f>IFERROR(VLOOKUP($D137&amp;$C137,設定値!$B$55:$N$85,7,FALSE)&amp;"","")</f>
        <v>paymentPeriodClass</v>
      </c>
      <c r="T137" s="19" t="s">
        <v>240</v>
      </c>
      <c r="U137" s="19" t="str">
        <f>IFERROR(VLOOKUP($D137&amp;$C137,設定値!$B$55:$N$85,8,FALSE)&amp;"","")</f>
        <v>paymentPeriod</v>
      </c>
      <c r="V137" s="19" t="s">
        <v>174</v>
      </c>
      <c r="W137" s="19" t="str">
        <f>IFERROR(VLOOKUP($D137&amp;$C137,設定値!$B$55:$N$85,9,FALSE)&amp;"","")</f>
        <v/>
      </c>
      <c r="X137" s="19"/>
      <c r="Y137" s="19" t="str">
        <f>IFERROR(VLOOKUP($D137&amp;$C137,設定値!$B$55:$N$85,10,FALSE)&amp;"","")</f>
        <v/>
      </c>
      <c r="Z137" s="19"/>
      <c r="AA137" s="19" t="str">
        <f>IFERROR(VLOOKUP($D137&amp;$C137,設定値!$B$55:$N$85,11,FALSE)&amp;"","")</f>
        <v/>
      </c>
      <c r="AB137" s="19"/>
      <c r="AC137" s="19" t="str">
        <f>IFERROR(VLOOKUP($D137&amp;$C137,設定値!$B$55:$N$85,12,FALSE)&amp;"","")</f>
        <v/>
      </c>
      <c r="AD137" s="19"/>
      <c r="AE137" s="19" t="str">
        <f>IFERROR(VLOOKUP($D137&amp;$C137,設定値!$B$55:$N$85,13,FALSE)&amp;"","")</f>
        <v/>
      </c>
      <c r="AF137" s="19"/>
    </row>
    <row r="138" spans="1:32" ht="15">
      <c r="A138" s="27" t="s">
        <v>95</v>
      </c>
      <c r="B138" s="7" t="s">
        <v>216</v>
      </c>
      <c r="C138" s="27" t="s">
        <v>221</v>
      </c>
      <c r="D138" s="7" t="s">
        <v>220</v>
      </c>
      <c r="E138" s="7" t="str">
        <f t="shared" si="2"/>
        <v>D10</v>
      </c>
      <c r="F138" s="20" t="s">
        <v>44</v>
      </c>
      <c r="G138" s="19" t="str">
        <f>IFERROR(VLOOKUP(D138&amp;C138,設定値!$B$55:$L$85,3,FALSE),"")</f>
        <v>引受緩和型先進医療特約</v>
      </c>
      <c r="H138" s="8" t="s">
        <v>118</v>
      </c>
      <c r="I138" s="8" t="s">
        <v>100</v>
      </c>
      <c r="J138" s="8" t="s">
        <v>171</v>
      </c>
      <c r="K138" s="26"/>
      <c r="L138" s="19"/>
      <c r="M138" s="19" t="str">
        <f>IFERROR(VLOOKUP($D138&amp;$C138,設定値!$B$55:$N$85,4,FALSE)&amp;"","")</f>
        <v>additionType</v>
      </c>
      <c r="N138" s="19">
        <v>1</v>
      </c>
      <c r="O138" s="19" t="str">
        <f>IFERROR(VLOOKUP($D138&amp;$C138,設定値!$B$55:$N$85,5,FALSE)&amp;"","")</f>
        <v>insurancePeriodClass</v>
      </c>
      <c r="P138" s="19" t="s">
        <v>240</v>
      </c>
      <c r="Q138" s="19" t="str">
        <f>IFERROR(VLOOKUP($D138&amp;$C138,設定値!$B$55:$N$85,6,FALSE)&amp;"","")</f>
        <v>insurancePeriod</v>
      </c>
      <c r="R138" s="19" t="s">
        <v>174</v>
      </c>
      <c r="S138" s="19" t="str">
        <f>IFERROR(VLOOKUP($D138&amp;$C138,設定値!$B$55:$N$85,7,FALSE)&amp;"","")</f>
        <v>paymentPeriodClass</v>
      </c>
      <c r="T138" s="19" t="s">
        <v>240</v>
      </c>
      <c r="U138" s="19" t="str">
        <f>IFERROR(VLOOKUP($D138&amp;$C138,設定値!$B$55:$N$85,8,FALSE)&amp;"","")</f>
        <v>paymentPeriod</v>
      </c>
      <c r="V138" s="19" t="s">
        <v>174</v>
      </c>
      <c r="W138" s="19" t="str">
        <f>IFERROR(VLOOKUP($D138&amp;$C138,設定値!$B$55:$N$85,9,FALSE)&amp;"","")</f>
        <v/>
      </c>
      <c r="X138" s="19"/>
      <c r="Y138" s="19" t="str">
        <f>IFERROR(VLOOKUP($D138&amp;$C138,設定値!$B$55:$N$85,10,FALSE)&amp;"","")</f>
        <v/>
      </c>
      <c r="Z138" s="19"/>
      <c r="AA138" s="19" t="str">
        <f>IFERROR(VLOOKUP($D138&amp;$C138,設定値!$B$55:$N$85,11,FALSE)&amp;"","")</f>
        <v/>
      </c>
      <c r="AB138" s="19"/>
      <c r="AC138" s="19" t="str">
        <f>IFERROR(VLOOKUP($D138&amp;$C138,設定値!$B$55:$N$85,12,FALSE)&amp;"","")</f>
        <v/>
      </c>
      <c r="AD138" s="19"/>
      <c r="AE138" s="19" t="str">
        <f>IFERROR(VLOOKUP($D138&amp;$C138,設定値!$B$55:$N$85,13,FALSE)&amp;"","")</f>
        <v/>
      </c>
      <c r="AF138" s="19"/>
    </row>
    <row r="139" spans="1:32" ht="15">
      <c r="A139" s="27" t="s">
        <v>95</v>
      </c>
      <c r="B139" s="7" t="s">
        <v>216</v>
      </c>
      <c r="C139" s="27" t="s">
        <v>221</v>
      </c>
      <c r="D139" s="7" t="s">
        <v>222</v>
      </c>
      <c r="E139" s="7" t="str">
        <f t="shared" si="2"/>
        <v>D10</v>
      </c>
      <c r="F139" s="20" t="s">
        <v>44</v>
      </c>
      <c r="G139" s="19" t="str">
        <f>IFERROR(VLOOKUP(D139&amp;C139,設定値!$B$55:$L$85,3,FALSE),"")</f>
        <v>引受緩和型特定疾病一時給付特約</v>
      </c>
      <c r="H139" s="8" t="s">
        <v>118</v>
      </c>
      <c r="I139" s="8" t="s">
        <v>100</v>
      </c>
      <c r="J139" s="8" t="s">
        <v>171</v>
      </c>
      <c r="K139" s="26"/>
      <c r="L139" s="19"/>
      <c r="M139" s="19" t="str">
        <f>IFERROR(VLOOKUP($D139&amp;$C139,設定値!$B$55:$N$85,4,FALSE)&amp;"","")</f>
        <v>benefit</v>
      </c>
      <c r="N139" s="19">
        <v>100000</v>
      </c>
      <c r="O139" s="19" t="str">
        <f>IFERROR(VLOOKUP($D139&amp;$C139,設定値!$B$55:$N$85,5,FALSE)&amp;"","")</f>
        <v>insurancePeriodClass</v>
      </c>
      <c r="P139" s="19" t="s">
        <v>240</v>
      </c>
      <c r="Q139" s="19" t="str">
        <f>IFERROR(VLOOKUP($D139&amp;$C139,設定値!$B$55:$N$85,6,FALSE)&amp;"","")</f>
        <v>insurancePeriod</v>
      </c>
      <c r="R139" s="19" t="s">
        <v>174</v>
      </c>
      <c r="S139" s="19" t="str">
        <f>IFERROR(VLOOKUP($D139&amp;$C139,設定値!$B$55:$N$85,7,FALSE)&amp;"","")</f>
        <v>paymentPeriodClass</v>
      </c>
      <c r="T139" s="19" t="s">
        <v>240</v>
      </c>
      <c r="U139" s="19" t="str">
        <f>IFERROR(VLOOKUP($D139&amp;$C139,設定値!$B$55:$N$85,8,FALSE)&amp;"","")</f>
        <v>paymentPeriod</v>
      </c>
      <c r="V139" s="19" t="s">
        <v>174</v>
      </c>
      <c r="W139" s="19" t="str">
        <f>IFERROR(VLOOKUP($D139&amp;$C139,設定値!$B$55:$N$85,9,FALSE)&amp;"","")</f>
        <v>diseaseCoverageType</v>
      </c>
      <c r="X139" s="19" t="s">
        <v>176</v>
      </c>
      <c r="Y139" s="19" t="str">
        <f>IFERROR(VLOOKUP($D139&amp;$C139,設定値!$B$55:$N$85,10,FALSE)&amp;"","")</f>
        <v>benefitFirstPayConvCls</v>
      </c>
      <c r="Z139" s="19" t="s">
        <v>18</v>
      </c>
      <c r="AA139" s="19" t="str">
        <f>IFERROR(VLOOKUP($D139&amp;$C139,設定値!$B$55:$N$85,11,FALSE)&amp;"","")</f>
        <v/>
      </c>
      <c r="AB139" s="19"/>
      <c r="AC139" s="19" t="str">
        <f>IFERROR(VLOOKUP($D139&amp;$C139,設定値!$B$55:$N$85,12,FALSE)&amp;"","")</f>
        <v/>
      </c>
      <c r="AD139" s="19"/>
      <c r="AE139" s="19" t="str">
        <f>IFERROR(VLOOKUP($D139&amp;$C139,設定値!$B$55:$N$85,13,FALSE)&amp;"","")</f>
        <v/>
      </c>
      <c r="AF139" s="19"/>
    </row>
    <row r="140" spans="1:32" ht="15">
      <c r="A140" s="27" t="s">
        <v>95</v>
      </c>
      <c r="B140" s="7" t="s">
        <v>216</v>
      </c>
      <c r="C140" s="27" t="s">
        <v>211</v>
      </c>
      <c r="D140" s="7" t="s">
        <v>223</v>
      </c>
      <c r="E140" s="7" t="str">
        <f t="shared" si="2"/>
        <v>D10</v>
      </c>
      <c r="F140" s="20" t="s">
        <v>44</v>
      </c>
      <c r="G140" s="19" t="str">
        <f>IFERROR(VLOOKUP(D140&amp;C140,設定値!$B$55:$L$85,3,FALSE),"")</f>
        <v>引受緩和型抗がん剤・ホルモン剤治療特約</v>
      </c>
      <c r="H140" s="8" t="s">
        <v>118</v>
      </c>
      <c r="I140" s="8" t="s">
        <v>100</v>
      </c>
      <c r="J140" s="8" t="s">
        <v>171</v>
      </c>
      <c r="K140" s="26"/>
      <c r="L140" s="19"/>
      <c r="M140" s="19" t="str">
        <f>IFERROR(VLOOKUP($D140&amp;$C140,設定値!$B$55:$N$85,4,FALSE)&amp;"","")</f>
        <v>benefit</v>
      </c>
      <c r="N140" s="19">
        <v>10000</v>
      </c>
      <c r="O140" s="19" t="str">
        <f>IFERROR(VLOOKUP($D140&amp;$C140,設定値!$B$55:$N$85,5,FALSE)&amp;"","")</f>
        <v>insurancePeriodClass</v>
      </c>
      <c r="P140" s="19" t="s">
        <v>240</v>
      </c>
      <c r="Q140" s="19" t="str">
        <f>IFERROR(VLOOKUP($D140&amp;$C140,設定値!$B$55:$N$85,6,FALSE)&amp;"","")</f>
        <v>insurancePeriod</v>
      </c>
      <c r="R140" s="19" t="s">
        <v>174</v>
      </c>
      <c r="S140" s="19" t="str">
        <f>IFERROR(VLOOKUP($D140&amp;$C140,設定値!$B$55:$N$85,7,FALSE)&amp;"","")</f>
        <v>paymentPeriodClass</v>
      </c>
      <c r="T140" s="19" t="s">
        <v>240</v>
      </c>
      <c r="U140" s="19" t="str">
        <f>IFERROR(VLOOKUP($D140&amp;$C140,設定値!$B$55:$N$85,8,FALSE)&amp;"","")</f>
        <v>paymentPeriod</v>
      </c>
      <c r="V140" s="19" t="s">
        <v>174</v>
      </c>
      <c r="W140" s="19" t="str">
        <f>IFERROR(VLOOKUP($D140&amp;$C140,設定値!$B$55:$N$85,9,FALSE)&amp;"","")</f>
        <v/>
      </c>
      <c r="X140" s="19"/>
      <c r="Y140" s="19" t="str">
        <f>IFERROR(VLOOKUP($D140&amp;$C140,設定値!$B$55:$N$85,10,FALSE)&amp;"","")</f>
        <v/>
      </c>
      <c r="Z140" s="19"/>
      <c r="AA140" s="19" t="str">
        <f>IFERROR(VLOOKUP($D140&amp;$C140,設定値!$B$55:$N$85,11,FALSE)&amp;"","")</f>
        <v/>
      </c>
      <c r="AB140" s="19"/>
      <c r="AC140" s="19" t="str">
        <f>IFERROR(VLOOKUP($D140&amp;$C140,設定値!$B$55:$N$85,12,FALSE)&amp;"","")</f>
        <v/>
      </c>
      <c r="AD140" s="19"/>
      <c r="AE140" s="19" t="str">
        <f>IFERROR(VLOOKUP($D140&amp;$C140,設定値!$B$55:$N$85,13,FALSE)&amp;"","")</f>
        <v/>
      </c>
      <c r="AF140" s="19"/>
    </row>
    <row r="141" spans="1:32" ht="15">
      <c r="A141" s="27" t="s">
        <v>95</v>
      </c>
      <c r="B141" s="7" t="s">
        <v>216</v>
      </c>
      <c r="C141" s="27" t="s">
        <v>211</v>
      </c>
      <c r="D141" s="7" t="s">
        <v>217</v>
      </c>
      <c r="E141" s="7" t="str">
        <f t="shared" si="2"/>
        <v>D10</v>
      </c>
      <c r="F141" s="20" t="s">
        <v>44</v>
      </c>
      <c r="G141" s="19" t="str">
        <f>IFERROR(VLOOKUP(D141&amp;C141,設定値!$B$55:$L$85,3,FALSE),"")</f>
        <v>引受緩和型３大疾病保険料払込免除特約</v>
      </c>
      <c r="H141" s="8" t="s">
        <v>118</v>
      </c>
      <c r="I141" s="8" t="s">
        <v>100</v>
      </c>
      <c r="J141" s="8" t="s">
        <v>171</v>
      </c>
      <c r="K141" s="26"/>
      <c r="L141" s="19"/>
      <c r="M141" s="19" t="str">
        <f>IFERROR(VLOOKUP($D141&amp;$C141,設定値!$B$55:$N$85,4,FALSE)&amp;"","")</f>
        <v>additionType</v>
      </c>
      <c r="N141" s="19" t="s">
        <v>18</v>
      </c>
      <c r="O141" s="19" t="str">
        <f>IFERROR(VLOOKUP($D141&amp;$C141,設定値!$B$55:$N$85,5,FALSE)&amp;"","")</f>
        <v>insurancePeriodClass</v>
      </c>
      <c r="P141" s="19" t="s">
        <v>240</v>
      </c>
      <c r="Q141" s="19" t="str">
        <f>IFERROR(VLOOKUP($D141&amp;$C141,設定値!$B$55:$N$85,6,FALSE)&amp;"","")</f>
        <v>insurancePeriod</v>
      </c>
      <c r="R141" s="19" t="s">
        <v>174</v>
      </c>
      <c r="S141" s="19" t="str">
        <f>IFERROR(VLOOKUP($D141&amp;$C141,設定値!$B$55:$N$85,7,FALSE)&amp;"","")</f>
        <v>paymentPeriodClass</v>
      </c>
      <c r="T141" s="19" t="s">
        <v>240</v>
      </c>
      <c r="U141" s="19" t="str">
        <f>IFERROR(VLOOKUP($D141&amp;$C141,設定値!$B$55:$N$85,8,FALSE)&amp;"","")</f>
        <v>paymentPeriod</v>
      </c>
      <c r="V141" s="19" t="s">
        <v>174</v>
      </c>
      <c r="W141" s="19" t="str">
        <f>IFERROR(VLOOKUP($D141&amp;$C141,設定値!$B$55:$N$85,9,FALSE)&amp;"","")</f>
        <v>freeOfPremiumRiderCls</v>
      </c>
      <c r="X141" s="19" t="s">
        <v>246</v>
      </c>
      <c r="Y141" s="19" t="str">
        <f>IFERROR(VLOOKUP($D141&amp;$C141,設定値!$B$55:$N$85,10,FALSE)&amp;"","")</f>
        <v/>
      </c>
      <c r="Z141" s="19"/>
      <c r="AA141" s="19" t="str">
        <f>IFERROR(VLOOKUP($D141&amp;$C141,設定値!$B$55:$N$85,11,FALSE)&amp;"","")</f>
        <v/>
      </c>
      <c r="AB141" s="19"/>
      <c r="AC141" s="19" t="str">
        <f>IFERROR(VLOOKUP($D141&amp;$C141,設定値!$B$55:$N$85,12,FALSE)&amp;"","")</f>
        <v/>
      </c>
      <c r="AD141" s="19"/>
      <c r="AE141" s="19" t="str">
        <f>IFERROR(VLOOKUP($D141&amp;$C141,設定値!$B$55:$N$85,13,FALSE)&amp;"","")</f>
        <v/>
      </c>
      <c r="AF141" s="19"/>
    </row>
    <row r="142" spans="1:32" ht="15">
      <c r="A142" s="27" t="s">
        <v>118</v>
      </c>
      <c r="B142" s="7" t="s">
        <v>216</v>
      </c>
      <c r="C142" s="27" t="s">
        <v>18</v>
      </c>
      <c r="D142" s="7" t="s">
        <v>217</v>
      </c>
      <c r="E142" s="7" t="str">
        <f t="shared" si="2"/>
        <v>310</v>
      </c>
      <c r="F142" s="20" t="s">
        <v>44</v>
      </c>
      <c r="G142" s="19" t="str">
        <f>IFERROR(VLOOKUP(D142&amp;C142,設定値!$B$55:$L$85,3,FALSE),"")</f>
        <v>引受緩和型医療終身保険（無解約払戻金型）</v>
      </c>
      <c r="H142" s="8" t="s">
        <v>118</v>
      </c>
      <c r="I142" s="8" t="s">
        <v>100</v>
      </c>
      <c r="J142" s="8" t="s">
        <v>171</v>
      </c>
      <c r="K142" s="26"/>
      <c r="L142" s="19">
        <v>0</v>
      </c>
      <c r="M142" s="19" t="str">
        <f>IFERROR(VLOOKUP($D142&amp;$C142,設定値!$B$55:$N$85,4,FALSE)&amp;"","")</f>
        <v>benefit</v>
      </c>
      <c r="N142" s="19">
        <v>3000</v>
      </c>
      <c r="O142" s="19" t="str">
        <f>IFERROR(VLOOKUP($D142&amp;$C142,設定値!$B$55:$N$85,5,FALSE)&amp;"","")</f>
        <v>insurancePeriodClass</v>
      </c>
      <c r="P142" s="19" t="s">
        <v>240</v>
      </c>
      <c r="Q142" s="19" t="str">
        <f>IFERROR(VLOOKUP($D142&amp;$C142,設定値!$B$55:$N$85,6,FALSE)&amp;"","")</f>
        <v>insurancePeriod</v>
      </c>
      <c r="R142" s="19" t="s">
        <v>174</v>
      </c>
      <c r="S142" s="19" t="str">
        <f>IFERROR(VLOOKUP($D142&amp;$C142,設定値!$B$55:$N$85,7,FALSE)&amp;"","")</f>
        <v>paymentPeriodClass</v>
      </c>
      <c r="T142" s="19" t="s">
        <v>240</v>
      </c>
      <c r="U142" s="19" t="str">
        <f>IFERROR(VLOOKUP($D142&amp;$C142,設定値!$B$55:$N$85,8,FALSE)&amp;"","")</f>
        <v>paymentPeriod</v>
      </c>
      <c r="V142" s="19" t="s">
        <v>174</v>
      </c>
      <c r="W142" s="19" t="str">
        <f>IFERROR(VLOOKUP($D142&amp;$C142,設定値!$B$55:$N$85,9,FALSE)&amp;"","")</f>
        <v>hosCovPayLimitClass</v>
      </c>
      <c r="X142" s="19" t="s">
        <v>175</v>
      </c>
      <c r="Y142" s="19" t="str">
        <f>IFERROR(VLOOKUP($D142&amp;$C142,設定値!$B$55:$N$85,10,FALSE)&amp;"","")</f>
        <v>benefitPayConvCls</v>
      </c>
      <c r="Z142" s="19" t="s">
        <v>18</v>
      </c>
      <c r="AA142" s="19" t="str">
        <f>IFERROR(VLOOKUP($D142&amp;$C142,設定値!$B$55:$N$85,11,FALSE)&amp;"","")</f>
        <v>disHsptUnlmtDaysSpPrv</v>
      </c>
      <c r="AB142" s="19" t="s">
        <v>18</v>
      </c>
      <c r="AC142" s="19" t="str">
        <f>IFERROR(VLOOKUP($D142&amp;$C142,設定値!$B$55:$N$85,12,FALSE)&amp;"","")</f>
        <v>freeOfPRiderFlg</v>
      </c>
      <c r="AD142" s="19" t="s">
        <v>18</v>
      </c>
      <c r="AE142" s="19" t="str">
        <f>IFERROR(VLOOKUP($D142&amp;$C142,設定値!$B$55:$N$85,13,FALSE)&amp;"","")</f>
        <v>freeOfPremiumRiderCls</v>
      </c>
      <c r="AF142" s="19" t="s">
        <v>246</v>
      </c>
    </row>
    <row r="143" spans="1:32" ht="15">
      <c r="A143" s="27" t="s">
        <v>118</v>
      </c>
      <c r="B143" s="7" t="s">
        <v>216</v>
      </c>
      <c r="C143" s="27" t="s">
        <v>211</v>
      </c>
      <c r="D143" s="7" t="s">
        <v>218</v>
      </c>
      <c r="E143" s="7" t="str">
        <f t="shared" si="2"/>
        <v>D10</v>
      </c>
      <c r="F143" s="20" t="s">
        <v>44</v>
      </c>
      <c r="G143" s="19" t="str">
        <f>IFERROR(VLOOKUP(D143&amp;C143,設定値!$B$55:$L$85,3,FALSE),"")</f>
        <v>引受緩和型入院一時給付特約</v>
      </c>
      <c r="H143" s="8" t="s">
        <v>118</v>
      </c>
      <c r="I143" s="8" t="s">
        <v>100</v>
      </c>
      <c r="J143" s="8" t="s">
        <v>171</v>
      </c>
      <c r="K143" s="26"/>
      <c r="L143" s="19"/>
      <c r="M143" s="19" t="str">
        <f>IFERROR(VLOOKUP($D143&amp;$C143,設定値!$B$55:$N$85,4,FALSE)&amp;"","")</f>
        <v>benefit</v>
      </c>
      <c r="N143" s="19" t="s">
        <v>173</v>
      </c>
      <c r="O143" s="19" t="str">
        <f>IFERROR(VLOOKUP($D143&amp;$C143,設定値!$B$55:$N$85,5,FALSE)&amp;"","")</f>
        <v>insurancePeriodClass</v>
      </c>
      <c r="P143" s="19" t="s">
        <v>240</v>
      </c>
      <c r="Q143" s="19" t="str">
        <f>IFERROR(VLOOKUP($D143&amp;$C143,設定値!$B$55:$N$85,6,FALSE)&amp;"","")</f>
        <v>insurancePeriod</v>
      </c>
      <c r="R143" s="19" t="s">
        <v>174</v>
      </c>
      <c r="S143" s="19" t="str">
        <f>IFERROR(VLOOKUP($D143&amp;$C143,設定値!$B$55:$N$85,7,FALSE)&amp;"","")</f>
        <v>paymentPeriodClass</v>
      </c>
      <c r="T143" s="19" t="s">
        <v>240</v>
      </c>
      <c r="U143" s="19" t="str">
        <f>IFERROR(VLOOKUP($D143&amp;$C143,設定値!$B$55:$N$85,8,FALSE)&amp;"","")</f>
        <v>paymentPeriod</v>
      </c>
      <c r="V143" s="19" t="s">
        <v>174</v>
      </c>
      <c r="W143" s="19" t="str">
        <f>IFERROR(VLOOKUP($D143&amp;$C143,設定値!$B$55:$N$85,9,FALSE)&amp;"","")</f>
        <v/>
      </c>
      <c r="X143" s="19"/>
      <c r="Y143" s="19" t="str">
        <f>IFERROR(VLOOKUP($D143&amp;$C143,設定値!$B$55:$N$85,10,FALSE)&amp;"","")</f>
        <v/>
      </c>
      <c r="Z143" s="19"/>
      <c r="AA143" s="19" t="str">
        <f>IFERROR(VLOOKUP($D143&amp;$C143,設定値!$B$55:$N$85,11,FALSE)&amp;"","")</f>
        <v/>
      </c>
      <c r="AB143" s="19"/>
      <c r="AC143" s="19" t="str">
        <f>IFERROR(VLOOKUP($D143&amp;$C143,設定値!$B$55:$N$85,12,FALSE)&amp;"","")</f>
        <v/>
      </c>
      <c r="AD143" s="19"/>
      <c r="AE143" s="19" t="str">
        <f>IFERROR(VLOOKUP($D143&amp;$C143,設定値!$B$55:$N$85,13,FALSE)&amp;"","")</f>
        <v/>
      </c>
      <c r="AF143" s="19"/>
    </row>
    <row r="144" spans="1:32" ht="15">
      <c r="A144" s="27" t="s">
        <v>118</v>
      </c>
      <c r="B144" s="7" t="s">
        <v>216</v>
      </c>
      <c r="C144" s="27" t="s">
        <v>221</v>
      </c>
      <c r="D144" s="7" t="s">
        <v>219</v>
      </c>
      <c r="E144" s="7" t="str">
        <f t="shared" si="2"/>
        <v>D10</v>
      </c>
      <c r="F144" s="20" t="s">
        <v>44</v>
      </c>
      <c r="G144" s="19" t="str">
        <f>IFERROR(VLOOKUP(D144&amp;C144,設定値!$B$55:$L$85,3,FALSE),"")</f>
        <v>引受緩和型女性疾病入院特約</v>
      </c>
      <c r="H144" s="8" t="s">
        <v>118</v>
      </c>
      <c r="I144" s="8" t="s">
        <v>100</v>
      </c>
      <c r="J144" s="8" t="s">
        <v>171</v>
      </c>
      <c r="K144" s="26"/>
      <c r="L144" s="19"/>
      <c r="M144" s="19" t="str">
        <f>IFERROR(VLOOKUP($D144&amp;$C144,設定値!$B$55:$N$85,4,FALSE)&amp;"","")</f>
        <v>benefit</v>
      </c>
      <c r="N144" s="19">
        <v>3000</v>
      </c>
      <c r="O144" s="19" t="str">
        <f>IFERROR(VLOOKUP($D144&amp;$C144,設定値!$B$55:$N$85,5,FALSE)&amp;"","")</f>
        <v>insurancePeriodClass</v>
      </c>
      <c r="P144" s="19" t="s">
        <v>240</v>
      </c>
      <c r="Q144" s="19" t="str">
        <f>IFERROR(VLOOKUP($D144&amp;$C144,設定値!$B$55:$N$85,6,FALSE)&amp;"","")</f>
        <v>insurancePeriod</v>
      </c>
      <c r="R144" s="19" t="s">
        <v>174</v>
      </c>
      <c r="S144" s="19" t="str">
        <f>IFERROR(VLOOKUP($D144&amp;$C144,設定値!$B$55:$N$85,7,FALSE)&amp;"","")</f>
        <v>paymentPeriodClass</v>
      </c>
      <c r="T144" s="19" t="s">
        <v>240</v>
      </c>
      <c r="U144" s="19" t="str">
        <f>IFERROR(VLOOKUP($D144&amp;$C144,設定値!$B$55:$N$85,8,FALSE)&amp;"","")</f>
        <v>paymentPeriod</v>
      </c>
      <c r="V144" s="19" t="s">
        <v>174</v>
      </c>
      <c r="W144" s="19" t="str">
        <f>IFERROR(VLOOKUP($D144&amp;$C144,設定値!$B$55:$N$85,9,FALSE)&amp;"","")</f>
        <v>hosCovPayLimitClass</v>
      </c>
      <c r="X144" s="19" t="s">
        <v>175</v>
      </c>
      <c r="Y144" s="19" t="str">
        <f>IFERROR(VLOOKUP($D144&amp;$C144,設定値!$B$55:$N$85,10,FALSE)&amp;"","")</f>
        <v>disHsptUnlmtDaysSpPrv</v>
      </c>
      <c r="Z144" s="19" t="s">
        <v>18</v>
      </c>
      <c r="AA144" s="19" t="str">
        <f>IFERROR(VLOOKUP($D144&amp;$C144,設定値!$B$55:$N$85,11,FALSE)&amp;"","")</f>
        <v/>
      </c>
      <c r="AB144" s="19"/>
      <c r="AC144" s="19" t="str">
        <f>IFERROR(VLOOKUP($D144&amp;$C144,設定値!$B$55:$N$85,12,FALSE)&amp;"","")</f>
        <v/>
      </c>
      <c r="AD144" s="19"/>
      <c r="AE144" s="19" t="str">
        <f>IFERROR(VLOOKUP($D144&amp;$C144,設定値!$B$55:$N$85,13,FALSE)&amp;"","")</f>
        <v/>
      </c>
      <c r="AF144" s="19"/>
    </row>
    <row r="145" spans="1:32" ht="15">
      <c r="A145" s="27" t="s">
        <v>118</v>
      </c>
      <c r="B145" s="7" t="s">
        <v>216</v>
      </c>
      <c r="C145" s="27" t="s">
        <v>221</v>
      </c>
      <c r="D145" s="7" t="s">
        <v>251</v>
      </c>
      <c r="E145" s="7" t="str">
        <f t="shared" si="2"/>
        <v>D10</v>
      </c>
      <c r="F145" s="20" t="s">
        <v>44</v>
      </c>
      <c r="G145" s="19" t="str">
        <f>IFERROR(VLOOKUP(D145&amp;C145,設定値!$B$55:$L$85,3,FALSE),"")</f>
        <v>引受緩和型退院後通院特約</v>
      </c>
      <c r="H145" s="8" t="s">
        <v>118</v>
      </c>
      <c r="I145" s="8" t="s">
        <v>100</v>
      </c>
      <c r="J145" s="8" t="s">
        <v>171</v>
      </c>
      <c r="K145" s="26"/>
      <c r="L145" s="19"/>
      <c r="M145" s="19" t="str">
        <f>IFERROR(VLOOKUP($D145&amp;$C145,設定値!$B$55:$N$85,4,FALSE)&amp;"","")</f>
        <v>benefit</v>
      </c>
      <c r="N145" s="19">
        <v>2000</v>
      </c>
      <c r="O145" s="19" t="str">
        <f>IFERROR(VLOOKUP($D145&amp;$C145,設定値!$B$55:$N$85,5,FALSE)&amp;"","")</f>
        <v>insurancePeriodClass</v>
      </c>
      <c r="P145" s="19" t="s">
        <v>240</v>
      </c>
      <c r="Q145" s="19" t="str">
        <f>IFERROR(VLOOKUP($D145&amp;$C145,設定値!$B$55:$N$85,6,FALSE)&amp;"","")</f>
        <v>insurancePeriod</v>
      </c>
      <c r="R145" s="19" t="s">
        <v>174</v>
      </c>
      <c r="S145" s="19" t="str">
        <f>IFERROR(VLOOKUP($D145&amp;$C145,設定値!$B$55:$N$85,7,FALSE)&amp;"","")</f>
        <v>paymentPeriodClass</v>
      </c>
      <c r="T145" s="19" t="s">
        <v>240</v>
      </c>
      <c r="U145" s="19" t="str">
        <f>IFERROR(VLOOKUP($D145&amp;$C145,設定値!$B$55:$N$85,8,FALSE)&amp;"","")</f>
        <v>paymentPeriod</v>
      </c>
      <c r="V145" s="19" t="s">
        <v>174</v>
      </c>
      <c r="W145" s="19" t="str">
        <f>IFERROR(VLOOKUP($D145&amp;$C145,設定値!$B$55:$N$85,9,FALSE)&amp;"","")</f>
        <v/>
      </c>
      <c r="X145" s="19"/>
      <c r="Y145" s="19" t="str">
        <f>IFERROR(VLOOKUP($D145&amp;$C145,設定値!$B$55:$N$85,10,FALSE)&amp;"","")</f>
        <v/>
      </c>
      <c r="Z145" s="19"/>
      <c r="AA145" s="19" t="str">
        <f>IFERROR(VLOOKUP($D145&amp;$C145,設定値!$B$55:$N$85,11,FALSE)&amp;"","")</f>
        <v/>
      </c>
      <c r="AB145" s="19"/>
      <c r="AC145" s="19" t="str">
        <f>IFERROR(VLOOKUP($D145&amp;$C145,設定値!$B$55:$N$85,12,FALSE)&amp;"","")</f>
        <v/>
      </c>
      <c r="AD145" s="19"/>
      <c r="AE145" s="19" t="str">
        <f>IFERROR(VLOOKUP($D145&amp;$C145,設定値!$B$55:$N$85,13,FALSE)&amp;"","")</f>
        <v/>
      </c>
      <c r="AF145" s="19"/>
    </row>
    <row r="146" spans="1:32" ht="15">
      <c r="A146" s="27" t="s">
        <v>118</v>
      </c>
      <c r="B146" s="7" t="s">
        <v>216</v>
      </c>
      <c r="C146" s="27" t="s">
        <v>211</v>
      </c>
      <c r="D146" s="7" t="s">
        <v>220</v>
      </c>
      <c r="E146" s="7" t="str">
        <f t="shared" si="2"/>
        <v>D10</v>
      </c>
      <c r="F146" s="20" t="s">
        <v>44</v>
      </c>
      <c r="G146" s="19" t="str">
        <f>IFERROR(VLOOKUP(D146&amp;C146,設定値!$B$55:$L$85,3,FALSE),"")</f>
        <v>引受緩和型先進医療特約</v>
      </c>
      <c r="H146" s="8" t="s">
        <v>118</v>
      </c>
      <c r="I146" s="8" t="s">
        <v>100</v>
      </c>
      <c r="J146" s="8" t="s">
        <v>171</v>
      </c>
      <c r="K146" s="26"/>
      <c r="L146" s="19"/>
      <c r="M146" s="19" t="str">
        <f>IFERROR(VLOOKUP($D146&amp;$C146,設定値!$B$55:$N$85,4,FALSE)&amp;"","")</f>
        <v>additionType</v>
      </c>
      <c r="N146" s="19">
        <v>1</v>
      </c>
      <c r="O146" s="19" t="str">
        <f>IFERROR(VLOOKUP($D146&amp;$C146,設定値!$B$55:$N$85,5,FALSE)&amp;"","")</f>
        <v>insurancePeriodClass</v>
      </c>
      <c r="P146" s="19" t="s">
        <v>240</v>
      </c>
      <c r="Q146" s="19" t="str">
        <f>IFERROR(VLOOKUP($D146&amp;$C146,設定値!$B$55:$N$85,6,FALSE)&amp;"","")</f>
        <v>insurancePeriod</v>
      </c>
      <c r="R146" s="19" t="s">
        <v>174</v>
      </c>
      <c r="S146" s="19" t="str">
        <f>IFERROR(VLOOKUP($D146&amp;$C146,設定値!$B$55:$N$85,7,FALSE)&amp;"","")</f>
        <v>paymentPeriodClass</v>
      </c>
      <c r="T146" s="19" t="s">
        <v>240</v>
      </c>
      <c r="U146" s="19" t="str">
        <f>IFERROR(VLOOKUP($D146&amp;$C146,設定値!$B$55:$N$85,8,FALSE)&amp;"","")</f>
        <v>paymentPeriod</v>
      </c>
      <c r="V146" s="19" t="s">
        <v>174</v>
      </c>
      <c r="W146" s="19" t="str">
        <f>IFERROR(VLOOKUP($D146&amp;$C146,設定値!$B$55:$N$85,9,FALSE)&amp;"","")</f>
        <v/>
      </c>
      <c r="X146" s="19"/>
      <c r="Y146" s="19" t="str">
        <f>IFERROR(VLOOKUP($D146&amp;$C146,設定値!$B$55:$N$85,10,FALSE)&amp;"","")</f>
        <v/>
      </c>
      <c r="Z146" s="19"/>
      <c r="AA146" s="19" t="str">
        <f>IFERROR(VLOOKUP($D146&amp;$C146,設定値!$B$55:$N$85,11,FALSE)&amp;"","")</f>
        <v/>
      </c>
      <c r="AB146" s="19"/>
      <c r="AC146" s="19" t="str">
        <f>IFERROR(VLOOKUP($D146&amp;$C146,設定値!$B$55:$N$85,12,FALSE)&amp;"","")</f>
        <v/>
      </c>
      <c r="AD146" s="19"/>
      <c r="AE146" s="19" t="str">
        <f>IFERROR(VLOOKUP($D146&amp;$C146,設定値!$B$55:$N$85,13,FALSE)&amp;"","")</f>
        <v/>
      </c>
      <c r="AF146" s="19"/>
    </row>
    <row r="147" spans="1:32" ht="15">
      <c r="A147" s="27" t="s">
        <v>118</v>
      </c>
      <c r="B147" s="7" t="s">
        <v>216</v>
      </c>
      <c r="C147" s="27" t="s">
        <v>211</v>
      </c>
      <c r="D147" s="7" t="s">
        <v>222</v>
      </c>
      <c r="E147" s="7" t="str">
        <f t="shared" si="2"/>
        <v>D10</v>
      </c>
      <c r="F147" s="20" t="s">
        <v>44</v>
      </c>
      <c r="G147" s="19" t="str">
        <f>IFERROR(VLOOKUP(D147&amp;C147,設定値!$B$55:$L$85,3,FALSE),"")</f>
        <v>引受緩和型特定疾病一時給付特約</v>
      </c>
      <c r="H147" s="8" t="s">
        <v>118</v>
      </c>
      <c r="I147" s="8" t="s">
        <v>100</v>
      </c>
      <c r="J147" s="8" t="s">
        <v>171</v>
      </c>
      <c r="K147" s="26"/>
      <c r="L147" s="19"/>
      <c r="M147" s="19" t="str">
        <f>IFERROR(VLOOKUP($D147&amp;$C147,設定値!$B$55:$N$85,4,FALSE)&amp;"","")</f>
        <v>benefit</v>
      </c>
      <c r="N147" s="19">
        <v>100000</v>
      </c>
      <c r="O147" s="19" t="str">
        <f>IFERROR(VLOOKUP($D147&amp;$C147,設定値!$B$55:$N$85,5,FALSE)&amp;"","")</f>
        <v>insurancePeriodClass</v>
      </c>
      <c r="P147" s="19" t="s">
        <v>240</v>
      </c>
      <c r="Q147" s="19" t="str">
        <f>IFERROR(VLOOKUP($D147&amp;$C147,設定値!$B$55:$N$85,6,FALSE)&amp;"","")</f>
        <v>insurancePeriod</v>
      </c>
      <c r="R147" s="19" t="s">
        <v>174</v>
      </c>
      <c r="S147" s="19" t="str">
        <f>IFERROR(VLOOKUP($D147&amp;$C147,設定値!$B$55:$N$85,7,FALSE)&amp;"","")</f>
        <v>paymentPeriodClass</v>
      </c>
      <c r="T147" s="19" t="s">
        <v>240</v>
      </c>
      <c r="U147" s="19" t="str">
        <f>IFERROR(VLOOKUP($D147&amp;$C147,設定値!$B$55:$N$85,8,FALSE)&amp;"","")</f>
        <v>paymentPeriod</v>
      </c>
      <c r="V147" s="19" t="s">
        <v>174</v>
      </c>
      <c r="W147" s="19" t="str">
        <f>IFERROR(VLOOKUP($D147&amp;$C147,設定値!$B$55:$N$85,9,FALSE)&amp;"","")</f>
        <v>diseaseCoverageType</v>
      </c>
      <c r="X147" s="19" t="s">
        <v>176</v>
      </c>
      <c r="Y147" s="19" t="str">
        <f>IFERROR(VLOOKUP($D147&amp;$C147,設定値!$B$55:$N$85,10,FALSE)&amp;"","")</f>
        <v>benefitFirstPayConvCls</v>
      </c>
      <c r="Z147" s="19" t="s">
        <v>18</v>
      </c>
      <c r="AA147" s="19" t="str">
        <f>IFERROR(VLOOKUP($D147&amp;$C147,設定値!$B$55:$N$85,11,FALSE)&amp;"","")</f>
        <v/>
      </c>
      <c r="AB147" s="19"/>
      <c r="AC147" s="19" t="str">
        <f>IFERROR(VLOOKUP($D147&amp;$C147,設定値!$B$55:$N$85,12,FALSE)&amp;"","")</f>
        <v/>
      </c>
      <c r="AD147" s="19"/>
      <c r="AE147" s="19" t="str">
        <f>IFERROR(VLOOKUP($D147&amp;$C147,設定値!$B$55:$N$85,13,FALSE)&amp;"","")</f>
        <v/>
      </c>
      <c r="AF147" s="19"/>
    </row>
    <row r="148" spans="1:32" ht="15">
      <c r="A148" s="27" t="s">
        <v>118</v>
      </c>
      <c r="B148" s="7" t="s">
        <v>216</v>
      </c>
      <c r="C148" s="27" t="s">
        <v>211</v>
      </c>
      <c r="D148" s="7" t="s">
        <v>223</v>
      </c>
      <c r="E148" s="7" t="str">
        <f t="shared" si="2"/>
        <v>D10</v>
      </c>
      <c r="F148" s="20" t="s">
        <v>44</v>
      </c>
      <c r="G148" s="19" t="str">
        <f>IFERROR(VLOOKUP(D148&amp;C148,設定値!$B$55:$L$85,3,FALSE),"")</f>
        <v>引受緩和型抗がん剤・ホルモン剤治療特約</v>
      </c>
      <c r="H148" s="8" t="s">
        <v>118</v>
      </c>
      <c r="I148" s="8" t="s">
        <v>100</v>
      </c>
      <c r="J148" s="8" t="s">
        <v>171</v>
      </c>
      <c r="K148" s="26"/>
      <c r="L148" s="19"/>
      <c r="M148" s="19" t="str">
        <f>IFERROR(VLOOKUP($D148&amp;$C148,設定値!$B$55:$N$85,4,FALSE)&amp;"","")</f>
        <v>benefit</v>
      </c>
      <c r="N148" s="19">
        <v>10000</v>
      </c>
      <c r="O148" s="19" t="str">
        <f>IFERROR(VLOOKUP($D148&amp;$C148,設定値!$B$55:$N$85,5,FALSE)&amp;"","")</f>
        <v>insurancePeriodClass</v>
      </c>
      <c r="P148" s="19" t="s">
        <v>240</v>
      </c>
      <c r="Q148" s="19" t="str">
        <f>IFERROR(VLOOKUP($D148&amp;$C148,設定値!$B$55:$N$85,6,FALSE)&amp;"","")</f>
        <v>insurancePeriod</v>
      </c>
      <c r="R148" s="19" t="s">
        <v>174</v>
      </c>
      <c r="S148" s="19" t="str">
        <f>IFERROR(VLOOKUP($D148&amp;$C148,設定値!$B$55:$N$85,7,FALSE)&amp;"","")</f>
        <v>paymentPeriodClass</v>
      </c>
      <c r="T148" s="19" t="s">
        <v>240</v>
      </c>
      <c r="U148" s="19" t="str">
        <f>IFERROR(VLOOKUP($D148&amp;$C148,設定値!$B$55:$N$85,8,FALSE)&amp;"","")</f>
        <v>paymentPeriod</v>
      </c>
      <c r="V148" s="19" t="s">
        <v>174</v>
      </c>
      <c r="W148" s="19" t="str">
        <f>IFERROR(VLOOKUP($D148&amp;$C148,設定値!$B$55:$N$85,9,FALSE)&amp;"","")</f>
        <v/>
      </c>
      <c r="X148" s="19"/>
      <c r="Y148" s="19" t="str">
        <f>IFERROR(VLOOKUP($D148&amp;$C148,設定値!$B$55:$N$85,10,FALSE)&amp;"","")</f>
        <v/>
      </c>
      <c r="Z148" s="19"/>
      <c r="AA148" s="19" t="str">
        <f>IFERROR(VLOOKUP($D148&amp;$C148,設定値!$B$55:$N$85,11,FALSE)&amp;"","")</f>
        <v/>
      </c>
      <c r="AB148" s="19"/>
      <c r="AC148" s="19" t="str">
        <f>IFERROR(VLOOKUP($D148&amp;$C148,設定値!$B$55:$N$85,12,FALSE)&amp;"","")</f>
        <v/>
      </c>
      <c r="AD148" s="19"/>
      <c r="AE148" s="19" t="str">
        <f>IFERROR(VLOOKUP($D148&amp;$C148,設定値!$B$55:$N$85,13,FALSE)&amp;"","")</f>
        <v/>
      </c>
      <c r="AF148" s="19"/>
    </row>
    <row r="149" spans="1:32" ht="15">
      <c r="A149" s="27" t="s">
        <v>118</v>
      </c>
      <c r="B149" s="7" t="s">
        <v>216</v>
      </c>
      <c r="C149" s="27" t="s">
        <v>211</v>
      </c>
      <c r="D149" s="7" t="s">
        <v>217</v>
      </c>
      <c r="E149" s="7" t="str">
        <f t="shared" si="2"/>
        <v>D10</v>
      </c>
      <c r="F149" s="20" t="s">
        <v>44</v>
      </c>
      <c r="G149" s="19" t="str">
        <f>IFERROR(VLOOKUP(D149&amp;C149,設定値!$B$55:$L$85,3,FALSE),"")</f>
        <v>引受緩和型３大疾病保険料払込免除特約</v>
      </c>
      <c r="H149" s="8" t="s">
        <v>118</v>
      </c>
      <c r="I149" s="8" t="s">
        <v>100</v>
      </c>
      <c r="J149" s="8" t="s">
        <v>171</v>
      </c>
      <c r="K149" s="26"/>
      <c r="L149" s="19"/>
      <c r="M149" s="19" t="str">
        <f>IFERROR(VLOOKUP($D149&amp;$C149,設定値!$B$55:$N$85,4,FALSE)&amp;"","")</f>
        <v>additionType</v>
      </c>
      <c r="N149" s="19" t="s">
        <v>18</v>
      </c>
      <c r="O149" s="19" t="str">
        <f>IFERROR(VLOOKUP($D149&amp;$C149,設定値!$B$55:$N$85,5,FALSE)&amp;"","")</f>
        <v>insurancePeriodClass</v>
      </c>
      <c r="P149" s="19" t="s">
        <v>240</v>
      </c>
      <c r="Q149" s="19" t="str">
        <f>IFERROR(VLOOKUP($D149&amp;$C149,設定値!$B$55:$N$85,6,FALSE)&amp;"","")</f>
        <v>insurancePeriod</v>
      </c>
      <c r="R149" s="19" t="s">
        <v>174</v>
      </c>
      <c r="S149" s="19" t="str">
        <f>IFERROR(VLOOKUP($D149&amp;$C149,設定値!$B$55:$N$85,7,FALSE)&amp;"","")</f>
        <v>paymentPeriodClass</v>
      </c>
      <c r="T149" s="19" t="s">
        <v>240</v>
      </c>
      <c r="U149" s="19" t="str">
        <f>IFERROR(VLOOKUP($D149&amp;$C149,設定値!$B$55:$N$85,8,FALSE)&amp;"","")</f>
        <v>paymentPeriod</v>
      </c>
      <c r="V149" s="19" t="s">
        <v>174</v>
      </c>
      <c r="W149" s="19" t="str">
        <f>IFERROR(VLOOKUP($D149&amp;$C149,設定値!$B$55:$N$85,9,FALSE)&amp;"","")</f>
        <v>freeOfPremiumRiderCls</v>
      </c>
      <c r="X149" s="19" t="s">
        <v>246</v>
      </c>
      <c r="Y149" s="19" t="str">
        <f>IFERROR(VLOOKUP($D149&amp;$C149,設定値!$B$55:$N$85,10,FALSE)&amp;"","")</f>
        <v/>
      </c>
      <c r="Z149" s="19"/>
      <c r="AA149" s="19" t="str">
        <f>IFERROR(VLOOKUP($D149&amp;$C149,設定値!$B$55:$N$85,11,FALSE)&amp;"","")</f>
        <v/>
      </c>
      <c r="AB149" s="19"/>
      <c r="AC149" s="19" t="str">
        <f>IFERROR(VLOOKUP($D149&amp;$C149,設定値!$B$55:$N$85,12,FALSE)&amp;"","")</f>
        <v/>
      </c>
      <c r="AD149" s="19"/>
      <c r="AE149" s="19" t="str">
        <f>IFERROR(VLOOKUP($D149&amp;$C149,設定値!$B$55:$N$85,13,FALSE)&amp;"","")</f>
        <v/>
      </c>
      <c r="AF149" s="19"/>
    </row>
    <row r="150" spans="1:32" ht="15">
      <c r="A150" s="27" t="s">
        <v>213</v>
      </c>
      <c r="B150" s="7" t="s">
        <v>216</v>
      </c>
      <c r="C150" s="27" t="s">
        <v>18</v>
      </c>
      <c r="D150" s="7" t="s">
        <v>217</v>
      </c>
      <c r="E150" s="7" t="str">
        <f t="shared" si="2"/>
        <v>310</v>
      </c>
      <c r="F150" s="20" t="s">
        <v>44</v>
      </c>
      <c r="G150" s="19" t="str">
        <f>IFERROR(VLOOKUP(D150&amp;C150,設定値!$B$55:$L$85,3,FALSE),"")</f>
        <v>引受緩和型医療終身保険（無解約払戻金型）</v>
      </c>
      <c r="H150" s="8" t="s">
        <v>118</v>
      </c>
      <c r="I150" s="8" t="s">
        <v>100</v>
      </c>
      <c r="J150" s="8" t="s">
        <v>171</v>
      </c>
      <c r="K150" s="26"/>
      <c r="L150" s="19">
        <v>0</v>
      </c>
      <c r="M150" s="19" t="str">
        <f>IFERROR(VLOOKUP($D150&amp;$C150,設定値!$B$55:$N$85,4,FALSE)&amp;"","")</f>
        <v>benefit</v>
      </c>
      <c r="N150" s="19">
        <v>3000</v>
      </c>
      <c r="O150" s="19" t="str">
        <f>IFERROR(VLOOKUP($D150&amp;$C150,設定値!$B$55:$N$85,5,FALSE)&amp;"","")</f>
        <v>insurancePeriodClass</v>
      </c>
      <c r="P150" s="19" t="s">
        <v>240</v>
      </c>
      <c r="Q150" s="19" t="str">
        <f>IFERROR(VLOOKUP($D150&amp;$C150,設定値!$B$55:$N$85,6,FALSE)&amp;"","")</f>
        <v>insurancePeriod</v>
      </c>
      <c r="R150" s="19" t="s">
        <v>174</v>
      </c>
      <c r="S150" s="19" t="str">
        <f>IFERROR(VLOOKUP($D150&amp;$C150,設定値!$B$55:$N$85,7,FALSE)&amp;"","")</f>
        <v>paymentPeriodClass</v>
      </c>
      <c r="T150" s="19" t="s">
        <v>240</v>
      </c>
      <c r="U150" s="19" t="str">
        <f>IFERROR(VLOOKUP($D150&amp;$C150,設定値!$B$55:$N$85,8,FALSE)&amp;"","")</f>
        <v>paymentPeriod</v>
      </c>
      <c r="V150" s="19" t="s">
        <v>174</v>
      </c>
      <c r="W150" s="19" t="str">
        <f>IFERROR(VLOOKUP($D150&amp;$C150,設定値!$B$55:$N$85,9,FALSE)&amp;"","")</f>
        <v>hosCovPayLimitClass</v>
      </c>
      <c r="X150" s="19" t="s">
        <v>175</v>
      </c>
      <c r="Y150" s="19" t="str">
        <f>IFERROR(VLOOKUP($D150&amp;$C150,設定値!$B$55:$N$85,10,FALSE)&amp;"","")</f>
        <v>benefitPayConvCls</v>
      </c>
      <c r="Z150" s="19" t="s">
        <v>18</v>
      </c>
      <c r="AA150" s="19" t="str">
        <f>IFERROR(VLOOKUP($D150&amp;$C150,設定値!$B$55:$N$85,11,FALSE)&amp;"","")</f>
        <v>disHsptUnlmtDaysSpPrv</v>
      </c>
      <c r="AB150" s="19" t="s">
        <v>18</v>
      </c>
      <c r="AC150" s="19" t="str">
        <f>IFERROR(VLOOKUP($D150&amp;$C150,設定値!$B$55:$N$85,12,FALSE)&amp;"","")</f>
        <v>freeOfPRiderFlg</v>
      </c>
      <c r="AD150" s="19" t="s">
        <v>18</v>
      </c>
      <c r="AE150" s="19" t="str">
        <f>IFERROR(VLOOKUP($D150&amp;$C150,設定値!$B$55:$N$85,13,FALSE)&amp;"","")</f>
        <v>freeOfPremiumRiderCls</v>
      </c>
      <c r="AF150" s="19" t="s">
        <v>246</v>
      </c>
    </row>
    <row r="151" spans="1:32" ht="15">
      <c r="A151" s="27" t="s">
        <v>213</v>
      </c>
      <c r="B151" s="7" t="s">
        <v>216</v>
      </c>
      <c r="C151" s="27" t="s">
        <v>211</v>
      </c>
      <c r="D151" s="7" t="s">
        <v>218</v>
      </c>
      <c r="E151" s="7" t="str">
        <f t="shared" si="2"/>
        <v>D10</v>
      </c>
      <c r="F151" s="20" t="s">
        <v>44</v>
      </c>
      <c r="G151" s="19" t="str">
        <f>IFERROR(VLOOKUP(D151&amp;C151,設定値!$B$55:$L$85,3,FALSE),"")</f>
        <v>引受緩和型入院一時給付特約</v>
      </c>
      <c r="H151" s="8" t="s">
        <v>118</v>
      </c>
      <c r="I151" s="8" t="s">
        <v>100</v>
      </c>
      <c r="J151" s="8" t="s">
        <v>171</v>
      </c>
      <c r="K151" s="26"/>
      <c r="L151" s="19"/>
      <c r="M151" s="19" t="str">
        <f>IFERROR(VLOOKUP($D151&amp;$C151,設定値!$B$55:$N$85,4,FALSE)&amp;"","")</f>
        <v>benefit</v>
      </c>
      <c r="N151" s="19" t="s">
        <v>173</v>
      </c>
      <c r="O151" s="19" t="str">
        <f>IFERROR(VLOOKUP($D151&amp;$C151,設定値!$B$55:$N$85,5,FALSE)&amp;"","")</f>
        <v>insurancePeriodClass</v>
      </c>
      <c r="P151" s="19" t="s">
        <v>240</v>
      </c>
      <c r="Q151" s="19" t="str">
        <f>IFERROR(VLOOKUP($D151&amp;$C151,設定値!$B$55:$N$85,6,FALSE)&amp;"","")</f>
        <v>insurancePeriod</v>
      </c>
      <c r="R151" s="19" t="s">
        <v>174</v>
      </c>
      <c r="S151" s="19" t="str">
        <f>IFERROR(VLOOKUP($D151&amp;$C151,設定値!$B$55:$N$85,7,FALSE)&amp;"","")</f>
        <v>paymentPeriodClass</v>
      </c>
      <c r="T151" s="19" t="s">
        <v>240</v>
      </c>
      <c r="U151" s="19" t="str">
        <f>IFERROR(VLOOKUP($D151&amp;$C151,設定値!$B$55:$N$85,8,FALSE)&amp;"","")</f>
        <v>paymentPeriod</v>
      </c>
      <c r="V151" s="19" t="s">
        <v>174</v>
      </c>
      <c r="W151" s="19" t="str">
        <f>IFERROR(VLOOKUP($D151&amp;$C151,設定値!$B$55:$N$85,9,FALSE)&amp;"","")</f>
        <v/>
      </c>
      <c r="X151" s="19"/>
      <c r="Y151" s="19" t="str">
        <f>IFERROR(VLOOKUP($D151&amp;$C151,設定値!$B$55:$N$85,10,FALSE)&amp;"","")</f>
        <v/>
      </c>
      <c r="Z151" s="19"/>
      <c r="AA151" s="19" t="str">
        <f>IFERROR(VLOOKUP($D151&amp;$C151,設定値!$B$55:$N$85,11,FALSE)&amp;"","")</f>
        <v/>
      </c>
      <c r="AB151" s="19"/>
      <c r="AC151" s="19" t="str">
        <f>IFERROR(VLOOKUP($D151&amp;$C151,設定値!$B$55:$N$85,12,FALSE)&amp;"","")</f>
        <v/>
      </c>
      <c r="AD151" s="19"/>
      <c r="AE151" s="19" t="str">
        <f>IFERROR(VLOOKUP($D151&amp;$C151,設定値!$B$55:$N$85,13,FALSE)&amp;"","")</f>
        <v/>
      </c>
      <c r="AF151" s="19"/>
    </row>
    <row r="152" spans="1:32" ht="15">
      <c r="A152" s="27" t="s">
        <v>213</v>
      </c>
      <c r="B152" s="7" t="s">
        <v>216</v>
      </c>
      <c r="C152" s="27" t="s">
        <v>221</v>
      </c>
      <c r="D152" s="7" t="s">
        <v>219</v>
      </c>
      <c r="E152" s="7" t="str">
        <f t="shared" si="2"/>
        <v>D10</v>
      </c>
      <c r="F152" s="20" t="s">
        <v>44</v>
      </c>
      <c r="G152" s="19" t="str">
        <f>IFERROR(VLOOKUP(D152&amp;C152,設定値!$B$55:$L$85,3,FALSE),"")</f>
        <v>引受緩和型女性疾病入院特約</v>
      </c>
      <c r="H152" s="8" t="s">
        <v>118</v>
      </c>
      <c r="I152" s="8" t="s">
        <v>100</v>
      </c>
      <c r="J152" s="8" t="s">
        <v>171</v>
      </c>
      <c r="K152" s="26"/>
      <c r="L152" s="19"/>
      <c r="M152" s="19" t="str">
        <f>IFERROR(VLOOKUP($D152&amp;$C152,設定値!$B$55:$N$85,4,FALSE)&amp;"","")</f>
        <v>benefit</v>
      </c>
      <c r="N152" s="19">
        <v>3000</v>
      </c>
      <c r="O152" s="19" t="str">
        <f>IFERROR(VLOOKUP($D152&amp;$C152,設定値!$B$55:$N$85,5,FALSE)&amp;"","")</f>
        <v>insurancePeriodClass</v>
      </c>
      <c r="P152" s="19" t="s">
        <v>240</v>
      </c>
      <c r="Q152" s="19" t="str">
        <f>IFERROR(VLOOKUP($D152&amp;$C152,設定値!$B$55:$N$85,6,FALSE)&amp;"","")</f>
        <v>insurancePeriod</v>
      </c>
      <c r="R152" s="19" t="s">
        <v>174</v>
      </c>
      <c r="S152" s="19" t="str">
        <f>IFERROR(VLOOKUP($D152&amp;$C152,設定値!$B$55:$N$85,7,FALSE)&amp;"","")</f>
        <v>paymentPeriodClass</v>
      </c>
      <c r="T152" s="19" t="s">
        <v>240</v>
      </c>
      <c r="U152" s="19" t="str">
        <f>IFERROR(VLOOKUP($D152&amp;$C152,設定値!$B$55:$N$85,8,FALSE)&amp;"","")</f>
        <v>paymentPeriod</v>
      </c>
      <c r="V152" s="19" t="s">
        <v>174</v>
      </c>
      <c r="W152" s="19" t="str">
        <f>IFERROR(VLOOKUP($D152&amp;$C152,設定値!$B$55:$N$85,9,FALSE)&amp;"","")</f>
        <v>hosCovPayLimitClass</v>
      </c>
      <c r="X152" s="19" t="s">
        <v>175</v>
      </c>
      <c r="Y152" s="19" t="str">
        <f>IFERROR(VLOOKUP($D152&amp;$C152,設定値!$B$55:$N$85,10,FALSE)&amp;"","")</f>
        <v>disHsptUnlmtDaysSpPrv</v>
      </c>
      <c r="Z152" s="19" t="s">
        <v>18</v>
      </c>
      <c r="AA152" s="19" t="str">
        <f>IFERROR(VLOOKUP($D152&amp;$C152,設定値!$B$55:$N$85,11,FALSE)&amp;"","")</f>
        <v/>
      </c>
      <c r="AB152" s="19"/>
      <c r="AC152" s="19" t="str">
        <f>IFERROR(VLOOKUP($D152&amp;$C152,設定値!$B$55:$N$85,12,FALSE)&amp;"","")</f>
        <v/>
      </c>
      <c r="AD152" s="19"/>
      <c r="AE152" s="19" t="str">
        <f>IFERROR(VLOOKUP($D152&amp;$C152,設定値!$B$55:$N$85,13,FALSE)&amp;"","")</f>
        <v/>
      </c>
      <c r="AF152" s="19"/>
    </row>
    <row r="153" spans="1:32" ht="15">
      <c r="A153" s="27" t="s">
        <v>213</v>
      </c>
      <c r="B153" s="7" t="s">
        <v>216</v>
      </c>
      <c r="C153" s="27" t="s">
        <v>221</v>
      </c>
      <c r="D153" s="7" t="s">
        <v>251</v>
      </c>
      <c r="E153" s="7" t="str">
        <f t="shared" si="2"/>
        <v>D10</v>
      </c>
      <c r="F153" s="20" t="s">
        <v>44</v>
      </c>
      <c r="G153" s="19" t="str">
        <f>IFERROR(VLOOKUP(D153&amp;C153,設定値!$B$55:$L$85,3,FALSE),"")</f>
        <v>引受緩和型退院後通院特約</v>
      </c>
      <c r="H153" s="8" t="s">
        <v>118</v>
      </c>
      <c r="I153" s="8" t="s">
        <v>100</v>
      </c>
      <c r="J153" s="8" t="s">
        <v>171</v>
      </c>
      <c r="K153" s="26"/>
      <c r="L153" s="19"/>
      <c r="M153" s="19" t="str">
        <f>IFERROR(VLOOKUP($D153&amp;$C153,設定値!$B$55:$N$85,4,FALSE)&amp;"","")</f>
        <v>benefit</v>
      </c>
      <c r="N153" s="19">
        <v>2000</v>
      </c>
      <c r="O153" s="19" t="str">
        <f>IFERROR(VLOOKUP($D153&amp;$C153,設定値!$B$55:$N$85,5,FALSE)&amp;"","")</f>
        <v>insurancePeriodClass</v>
      </c>
      <c r="P153" s="19" t="s">
        <v>240</v>
      </c>
      <c r="Q153" s="19" t="str">
        <f>IFERROR(VLOOKUP($D153&amp;$C153,設定値!$B$55:$N$85,6,FALSE)&amp;"","")</f>
        <v>insurancePeriod</v>
      </c>
      <c r="R153" s="19" t="s">
        <v>174</v>
      </c>
      <c r="S153" s="19" t="str">
        <f>IFERROR(VLOOKUP($D153&amp;$C153,設定値!$B$55:$N$85,7,FALSE)&amp;"","")</f>
        <v>paymentPeriodClass</v>
      </c>
      <c r="T153" s="19" t="s">
        <v>240</v>
      </c>
      <c r="U153" s="19" t="str">
        <f>IFERROR(VLOOKUP($D153&amp;$C153,設定値!$B$55:$N$85,8,FALSE)&amp;"","")</f>
        <v>paymentPeriod</v>
      </c>
      <c r="V153" s="19" t="s">
        <v>174</v>
      </c>
      <c r="W153" s="19" t="str">
        <f>IFERROR(VLOOKUP($D153&amp;$C153,設定値!$B$55:$N$85,9,FALSE)&amp;"","")</f>
        <v/>
      </c>
      <c r="X153" s="19"/>
      <c r="Y153" s="19" t="str">
        <f>IFERROR(VLOOKUP($D153&amp;$C153,設定値!$B$55:$N$85,10,FALSE)&amp;"","")</f>
        <v/>
      </c>
      <c r="Z153" s="19"/>
      <c r="AA153" s="19" t="str">
        <f>IFERROR(VLOOKUP($D153&amp;$C153,設定値!$B$55:$N$85,11,FALSE)&amp;"","")</f>
        <v/>
      </c>
      <c r="AB153" s="19"/>
      <c r="AC153" s="19" t="str">
        <f>IFERROR(VLOOKUP($D153&amp;$C153,設定値!$B$55:$N$85,12,FALSE)&amp;"","")</f>
        <v/>
      </c>
      <c r="AD153" s="19"/>
      <c r="AE153" s="19" t="str">
        <f>IFERROR(VLOOKUP($D153&amp;$C153,設定値!$B$55:$N$85,13,FALSE)&amp;"","")</f>
        <v/>
      </c>
      <c r="AF153" s="19"/>
    </row>
    <row r="154" spans="1:32" ht="15">
      <c r="A154" s="27" t="s">
        <v>213</v>
      </c>
      <c r="B154" s="7" t="s">
        <v>216</v>
      </c>
      <c r="C154" s="27" t="s">
        <v>211</v>
      </c>
      <c r="D154" s="7" t="s">
        <v>220</v>
      </c>
      <c r="E154" s="7" t="str">
        <f t="shared" si="2"/>
        <v>D10</v>
      </c>
      <c r="F154" s="20" t="s">
        <v>44</v>
      </c>
      <c r="G154" s="19" t="str">
        <f>IFERROR(VLOOKUP(D154&amp;C154,設定値!$B$55:$L$85,3,FALSE),"")</f>
        <v>引受緩和型先進医療特約</v>
      </c>
      <c r="H154" s="8" t="s">
        <v>118</v>
      </c>
      <c r="I154" s="8" t="s">
        <v>100</v>
      </c>
      <c r="J154" s="8" t="s">
        <v>171</v>
      </c>
      <c r="K154" s="26"/>
      <c r="L154" s="19"/>
      <c r="M154" s="19" t="str">
        <f>IFERROR(VLOOKUP($D154&amp;$C154,設定値!$B$55:$N$85,4,FALSE)&amp;"","")</f>
        <v>additionType</v>
      </c>
      <c r="N154" s="19">
        <v>1</v>
      </c>
      <c r="O154" s="19" t="str">
        <f>IFERROR(VLOOKUP($D154&amp;$C154,設定値!$B$55:$N$85,5,FALSE)&amp;"","")</f>
        <v>insurancePeriodClass</v>
      </c>
      <c r="P154" s="19" t="s">
        <v>240</v>
      </c>
      <c r="Q154" s="19" t="str">
        <f>IFERROR(VLOOKUP($D154&amp;$C154,設定値!$B$55:$N$85,6,FALSE)&amp;"","")</f>
        <v>insurancePeriod</v>
      </c>
      <c r="R154" s="19" t="s">
        <v>174</v>
      </c>
      <c r="S154" s="19" t="str">
        <f>IFERROR(VLOOKUP($D154&amp;$C154,設定値!$B$55:$N$85,7,FALSE)&amp;"","")</f>
        <v>paymentPeriodClass</v>
      </c>
      <c r="T154" s="19" t="s">
        <v>240</v>
      </c>
      <c r="U154" s="19" t="str">
        <f>IFERROR(VLOOKUP($D154&amp;$C154,設定値!$B$55:$N$85,8,FALSE)&amp;"","")</f>
        <v>paymentPeriod</v>
      </c>
      <c r="V154" s="19" t="s">
        <v>174</v>
      </c>
      <c r="W154" s="19" t="str">
        <f>IFERROR(VLOOKUP($D154&amp;$C154,設定値!$B$55:$N$85,9,FALSE)&amp;"","")</f>
        <v/>
      </c>
      <c r="X154" s="19"/>
      <c r="Y154" s="19" t="str">
        <f>IFERROR(VLOOKUP($D154&amp;$C154,設定値!$B$55:$N$85,10,FALSE)&amp;"","")</f>
        <v/>
      </c>
      <c r="Z154" s="19"/>
      <c r="AA154" s="19" t="str">
        <f>IFERROR(VLOOKUP($D154&amp;$C154,設定値!$B$55:$N$85,11,FALSE)&amp;"","")</f>
        <v/>
      </c>
      <c r="AB154" s="19"/>
      <c r="AC154" s="19" t="str">
        <f>IFERROR(VLOOKUP($D154&amp;$C154,設定値!$B$55:$N$85,12,FALSE)&amp;"","")</f>
        <v/>
      </c>
      <c r="AD154" s="19"/>
      <c r="AE154" s="19" t="str">
        <f>IFERROR(VLOOKUP($D154&amp;$C154,設定値!$B$55:$N$85,13,FALSE)&amp;"","")</f>
        <v/>
      </c>
      <c r="AF154" s="19"/>
    </row>
    <row r="155" spans="1:32" ht="15">
      <c r="A155" s="27" t="s">
        <v>213</v>
      </c>
      <c r="B155" s="7" t="s">
        <v>216</v>
      </c>
      <c r="C155" s="27" t="s">
        <v>211</v>
      </c>
      <c r="D155" s="7" t="s">
        <v>222</v>
      </c>
      <c r="E155" s="7" t="str">
        <f t="shared" si="2"/>
        <v>D10</v>
      </c>
      <c r="F155" s="20" t="s">
        <v>44</v>
      </c>
      <c r="G155" s="19" t="str">
        <f>IFERROR(VLOOKUP(D155&amp;C155,設定値!$B$55:$L$85,3,FALSE),"")</f>
        <v>引受緩和型特定疾病一時給付特約</v>
      </c>
      <c r="H155" s="8" t="s">
        <v>118</v>
      </c>
      <c r="I155" s="8" t="s">
        <v>100</v>
      </c>
      <c r="J155" s="8" t="s">
        <v>171</v>
      </c>
      <c r="K155" s="26"/>
      <c r="L155" s="19"/>
      <c r="M155" s="19" t="str">
        <f>IFERROR(VLOOKUP($D155&amp;$C155,設定値!$B$55:$N$85,4,FALSE)&amp;"","")</f>
        <v>benefit</v>
      </c>
      <c r="N155" s="19">
        <v>100000</v>
      </c>
      <c r="O155" s="19" t="str">
        <f>IFERROR(VLOOKUP($D155&amp;$C155,設定値!$B$55:$N$85,5,FALSE)&amp;"","")</f>
        <v>insurancePeriodClass</v>
      </c>
      <c r="P155" s="19" t="s">
        <v>240</v>
      </c>
      <c r="Q155" s="19" t="str">
        <f>IFERROR(VLOOKUP($D155&amp;$C155,設定値!$B$55:$N$85,6,FALSE)&amp;"","")</f>
        <v>insurancePeriod</v>
      </c>
      <c r="R155" s="19" t="s">
        <v>174</v>
      </c>
      <c r="S155" s="19" t="str">
        <f>IFERROR(VLOOKUP($D155&amp;$C155,設定値!$B$55:$N$85,7,FALSE)&amp;"","")</f>
        <v>paymentPeriodClass</v>
      </c>
      <c r="T155" s="19" t="s">
        <v>240</v>
      </c>
      <c r="U155" s="19" t="str">
        <f>IFERROR(VLOOKUP($D155&amp;$C155,設定値!$B$55:$N$85,8,FALSE)&amp;"","")</f>
        <v>paymentPeriod</v>
      </c>
      <c r="V155" s="19" t="s">
        <v>174</v>
      </c>
      <c r="W155" s="19" t="str">
        <f>IFERROR(VLOOKUP($D155&amp;$C155,設定値!$B$55:$N$85,9,FALSE)&amp;"","")</f>
        <v>diseaseCoverageType</v>
      </c>
      <c r="X155" s="19" t="s">
        <v>176</v>
      </c>
      <c r="Y155" s="19" t="str">
        <f>IFERROR(VLOOKUP($D155&amp;$C155,設定値!$B$55:$N$85,10,FALSE)&amp;"","")</f>
        <v>benefitFirstPayConvCls</v>
      </c>
      <c r="Z155" s="19" t="s">
        <v>18</v>
      </c>
      <c r="AA155" s="19" t="str">
        <f>IFERROR(VLOOKUP($D155&amp;$C155,設定値!$B$55:$N$85,11,FALSE)&amp;"","")</f>
        <v/>
      </c>
      <c r="AB155" s="19"/>
      <c r="AC155" s="19" t="str">
        <f>IFERROR(VLOOKUP($D155&amp;$C155,設定値!$B$55:$N$85,12,FALSE)&amp;"","")</f>
        <v/>
      </c>
      <c r="AD155" s="19"/>
      <c r="AE155" s="19" t="str">
        <f>IFERROR(VLOOKUP($D155&amp;$C155,設定値!$B$55:$N$85,13,FALSE)&amp;"","")</f>
        <v/>
      </c>
      <c r="AF155" s="19"/>
    </row>
    <row r="156" spans="1:32" ht="15">
      <c r="A156" s="27" t="s">
        <v>213</v>
      </c>
      <c r="B156" s="7" t="s">
        <v>216</v>
      </c>
      <c r="C156" s="27" t="s">
        <v>211</v>
      </c>
      <c r="D156" s="7" t="s">
        <v>223</v>
      </c>
      <c r="E156" s="7" t="str">
        <f t="shared" si="2"/>
        <v>D10</v>
      </c>
      <c r="F156" s="20" t="s">
        <v>44</v>
      </c>
      <c r="G156" s="19" t="str">
        <f>IFERROR(VLOOKUP(D156&amp;C156,設定値!$B$55:$L$85,3,FALSE),"")</f>
        <v>引受緩和型抗がん剤・ホルモン剤治療特約</v>
      </c>
      <c r="H156" s="8" t="s">
        <v>118</v>
      </c>
      <c r="I156" s="8" t="s">
        <v>100</v>
      </c>
      <c r="J156" s="8" t="s">
        <v>171</v>
      </c>
      <c r="K156" s="26"/>
      <c r="L156" s="19"/>
      <c r="M156" s="19" t="str">
        <f>IFERROR(VLOOKUP($D156&amp;$C156,設定値!$B$55:$N$85,4,FALSE)&amp;"","")</f>
        <v>benefit</v>
      </c>
      <c r="N156" s="19">
        <v>10000</v>
      </c>
      <c r="O156" s="19" t="str">
        <f>IFERROR(VLOOKUP($D156&amp;$C156,設定値!$B$55:$N$85,5,FALSE)&amp;"","")</f>
        <v>insurancePeriodClass</v>
      </c>
      <c r="P156" s="19" t="s">
        <v>240</v>
      </c>
      <c r="Q156" s="19" t="str">
        <f>IFERROR(VLOOKUP($D156&amp;$C156,設定値!$B$55:$N$85,6,FALSE)&amp;"","")</f>
        <v>insurancePeriod</v>
      </c>
      <c r="R156" s="19" t="s">
        <v>174</v>
      </c>
      <c r="S156" s="19" t="str">
        <f>IFERROR(VLOOKUP($D156&amp;$C156,設定値!$B$55:$N$85,7,FALSE)&amp;"","")</f>
        <v>paymentPeriodClass</v>
      </c>
      <c r="T156" s="19" t="s">
        <v>240</v>
      </c>
      <c r="U156" s="19" t="str">
        <f>IFERROR(VLOOKUP($D156&amp;$C156,設定値!$B$55:$N$85,8,FALSE)&amp;"","")</f>
        <v>paymentPeriod</v>
      </c>
      <c r="V156" s="19" t="s">
        <v>174</v>
      </c>
      <c r="W156" s="19" t="str">
        <f>IFERROR(VLOOKUP($D156&amp;$C156,設定値!$B$55:$N$85,9,FALSE)&amp;"","")</f>
        <v/>
      </c>
      <c r="X156" s="19"/>
      <c r="Y156" s="19" t="str">
        <f>IFERROR(VLOOKUP($D156&amp;$C156,設定値!$B$55:$N$85,10,FALSE)&amp;"","")</f>
        <v/>
      </c>
      <c r="Z156" s="19"/>
      <c r="AA156" s="19" t="str">
        <f>IFERROR(VLOOKUP($D156&amp;$C156,設定値!$B$55:$N$85,11,FALSE)&amp;"","")</f>
        <v/>
      </c>
      <c r="AB156" s="19"/>
      <c r="AC156" s="19" t="str">
        <f>IFERROR(VLOOKUP($D156&amp;$C156,設定値!$B$55:$N$85,12,FALSE)&amp;"","")</f>
        <v/>
      </c>
      <c r="AD156" s="19"/>
      <c r="AE156" s="19" t="str">
        <f>IFERROR(VLOOKUP($D156&amp;$C156,設定値!$B$55:$N$85,13,FALSE)&amp;"","")</f>
        <v/>
      </c>
      <c r="AF156" s="19"/>
    </row>
    <row r="157" spans="1:32" ht="15">
      <c r="A157" s="27" t="s">
        <v>213</v>
      </c>
      <c r="B157" s="7" t="s">
        <v>216</v>
      </c>
      <c r="C157" s="27" t="s">
        <v>211</v>
      </c>
      <c r="D157" s="7" t="s">
        <v>217</v>
      </c>
      <c r="E157" s="7" t="str">
        <f t="shared" si="2"/>
        <v>D10</v>
      </c>
      <c r="F157" s="20" t="s">
        <v>44</v>
      </c>
      <c r="G157" s="19" t="str">
        <f>IFERROR(VLOOKUP(D157&amp;C157,設定値!$B$55:$L$85,3,FALSE),"")</f>
        <v>引受緩和型３大疾病保険料払込免除特約</v>
      </c>
      <c r="H157" s="8" t="s">
        <v>118</v>
      </c>
      <c r="I157" s="8" t="s">
        <v>100</v>
      </c>
      <c r="J157" s="8" t="s">
        <v>171</v>
      </c>
      <c r="K157" s="26"/>
      <c r="L157" s="19"/>
      <c r="M157" s="19" t="str">
        <f>IFERROR(VLOOKUP($D157&amp;$C157,設定値!$B$55:$N$85,4,FALSE)&amp;"","")</f>
        <v>additionType</v>
      </c>
      <c r="N157" s="19" t="s">
        <v>18</v>
      </c>
      <c r="O157" s="19" t="str">
        <f>IFERROR(VLOOKUP($D157&amp;$C157,設定値!$B$55:$N$85,5,FALSE)&amp;"","")</f>
        <v>insurancePeriodClass</v>
      </c>
      <c r="P157" s="19" t="s">
        <v>240</v>
      </c>
      <c r="Q157" s="19" t="str">
        <f>IFERROR(VLOOKUP($D157&amp;$C157,設定値!$B$55:$N$85,6,FALSE)&amp;"","")</f>
        <v>insurancePeriod</v>
      </c>
      <c r="R157" s="19" t="s">
        <v>174</v>
      </c>
      <c r="S157" s="19" t="str">
        <f>IFERROR(VLOOKUP($D157&amp;$C157,設定値!$B$55:$N$85,7,FALSE)&amp;"","")</f>
        <v>paymentPeriodClass</v>
      </c>
      <c r="T157" s="19" t="s">
        <v>240</v>
      </c>
      <c r="U157" s="19" t="str">
        <f>IFERROR(VLOOKUP($D157&amp;$C157,設定値!$B$55:$N$85,8,FALSE)&amp;"","")</f>
        <v>paymentPeriod</v>
      </c>
      <c r="V157" s="19" t="s">
        <v>174</v>
      </c>
      <c r="W157" s="19" t="str">
        <f>IFERROR(VLOOKUP($D157&amp;$C157,設定値!$B$55:$N$85,9,FALSE)&amp;"","")</f>
        <v>freeOfPremiumRiderCls</v>
      </c>
      <c r="X157" s="19" t="s">
        <v>246</v>
      </c>
      <c r="Y157" s="19" t="str">
        <f>IFERROR(VLOOKUP($D157&amp;$C157,設定値!$B$55:$N$85,10,FALSE)&amp;"","")</f>
        <v/>
      </c>
      <c r="Z157" s="19"/>
      <c r="AA157" s="19" t="str">
        <f>IFERROR(VLOOKUP($D157&amp;$C157,設定値!$B$55:$N$85,11,FALSE)&amp;"","")</f>
        <v/>
      </c>
      <c r="AB157" s="19"/>
      <c r="AC157" s="19" t="str">
        <f>IFERROR(VLOOKUP($D157&amp;$C157,設定値!$B$55:$N$85,12,FALSE)&amp;"","")</f>
        <v/>
      </c>
      <c r="AD157" s="19"/>
      <c r="AE157" s="19" t="str">
        <f>IFERROR(VLOOKUP($D157&amp;$C157,設定値!$B$55:$N$85,13,FALSE)&amp;"","")</f>
        <v/>
      </c>
      <c r="AF157" s="19"/>
    </row>
    <row r="158" spans="1:32" ht="15">
      <c r="A158" s="27" t="s">
        <v>18</v>
      </c>
      <c r="B158" s="7" t="s">
        <v>169</v>
      </c>
      <c r="C158" s="27" t="s">
        <v>18</v>
      </c>
      <c r="D158" s="7" t="s">
        <v>224</v>
      </c>
      <c r="E158" s="7" t="str">
        <f t="shared" si="2"/>
        <v>310</v>
      </c>
      <c r="F158" s="20" t="s">
        <v>44</v>
      </c>
      <c r="G158" s="19" t="str">
        <f>IFERROR(VLOOKUP(D158&amp;C158,設定値!$B$55:$L$85,3,FALSE),"")</f>
        <v>引受緩和型３大疾病一時給付保険（無解約払戻金型）</v>
      </c>
      <c r="H158" s="8" t="s">
        <v>118</v>
      </c>
      <c r="I158" s="8" t="s">
        <v>100</v>
      </c>
      <c r="J158" s="8" t="s">
        <v>171</v>
      </c>
      <c r="K158" s="26">
        <v>0</v>
      </c>
      <c r="L158" s="19">
        <v>1</v>
      </c>
      <c r="M158" s="19" t="str">
        <f>IFERROR(VLOOKUP($D158&amp;$C158,設定値!$B$55:$N$85,4,FALSE)&amp;"","")</f>
        <v>benefit</v>
      </c>
      <c r="N158" s="19">
        <v>300000</v>
      </c>
      <c r="O158" s="19" t="str">
        <f>IFERROR(VLOOKUP($D158&amp;$C158,設定値!$B$55:$N$85,5,FALSE)&amp;"","")</f>
        <v>insurancePeriodClass</v>
      </c>
      <c r="P158" s="19" t="s">
        <v>240</v>
      </c>
      <c r="Q158" s="19" t="str">
        <f>IFERROR(VLOOKUP($D158&amp;$C158,設定値!$B$55:$N$85,6,FALSE)&amp;"","")</f>
        <v>insurancePeriod</v>
      </c>
      <c r="R158" s="19" t="s">
        <v>174</v>
      </c>
      <c r="S158" s="19" t="str">
        <f>IFERROR(VLOOKUP($D158&amp;$C158,設定値!$B$55:$N$85,7,FALSE)&amp;"","")</f>
        <v>paymentPeriodClass</v>
      </c>
      <c r="T158" s="19" t="s">
        <v>240</v>
      </c>
      <c r="U158" s="19" t="str">
        <f>IFERROR(VLOOKUP($D158&amp;$C158,設定値!$B$55:$N$85,8,FALSE)&amp;"","")</f>
        <v>paymentPeriod</v>
      </c>
      <c r="V158" s="19" t="s">
        <v>174</v>
      </c>
      <c r="W158" s="19" t="str">
        <f>IFERROR(VLOOKUP($D158&amp;$C158,設定値!$B$55:$N$85,9,FALSE)&amp;"","")</f>
        <v>benefitFirstPayConvCls</v>
      </c>
      <c r="X158" s="19" t="s">
        <v>18</v>
      </c>
      <c r="Y158" s="19" t="str">
        <f>IFERROR(VLOOKUP($D158&amp;$C158,設定値!$B$55:$N$85,10,FALSE)&amp;"","")</f>
        <v>freeOfPRiderFlg</v>
      </c>
      <c r="Z158" s="19" t="s">
        <v>18</v>
      </c>
      <c r="AA158" s="19" t="str">
        <f>IFERROR(VLOOKUP($D158&amp;$C158,設定値!$B$55:$N$85,11,FALSE)&amp;"","")</f>
        <v>freeOfPremiumRiderCls</v>
      </c>
      <c r="AB158" s="19" t="s">
        <v>246</v>
      </c>
      <c r="AC158" s="19" t="str">
        <f>IFERROR(VLOOKUP($D158&amp;$C158,設定値!$B$55:$N$85,12,FALSE)&amp;"","")</f>
        <v/>
      </c>
      <c r="AD158" s="19"/>
      <c r="AE158" s="19" t="str">
        <f>IFERROR(VLOOKUP($D158&amp;$C158,設定値!$B$55:$N$85,13,FALSE)&amp;"","")</f>
        <v/>
      </c>
      <c r="AF158" s="19"/>
    </row>
    <row r="159" spans="1:32" ht="15">
      <c r="A159" s="27" t="s">
        <v>18</v>
      </c>
      <c r="B159" s="7" t="s">
        <v>169</v>
      </c>
      <c r="C159" s="27" t="s">
        <v>211</v>
      </c>
      <c r="D159" s="7" t="s">
        <v>225</v>
      </c>
      <c r="E159" s="7" t="str">
        <f t="shared" si="2"/>
        <v>D10</v>
      </c>
      <c r="F159" s="20" t="s">
        <v>44</v>
      </c>
      <c r="G159" s="19" t="str">
        <f>IFERROR(VLOOKUP(D159&amp;C159,設定値!$B$55:$L$85,3,FALSE),"")</f>
        <v>引受緩和型がん一時給付特約</v>
      </c>
      <c r="H159" s="8" t="s">
        <v>118</v>
      </c>
      <c r="I159" s="8" t="s">
        <v>100</v>
      </c>
      <c r="J159" s="8" t="s">
        <v>171</v>
      </c>
      <c r="K159" s="26"/>
      <c r="L159" s="19"/>
      <c r="M159" s="19" t="str">
        <f>IFERROR(VLOOKUP($D159&amp;$C159,設定値!$B$55:$N$85,4,FALSE)&amp;"","")</f>
        <v>benefit</v>
      </c>
      <c r="N159" s="19">
        <v>100000</v>
      </c>
      <c r="O159" s="19" t="str">
        <f>IFERROR(VLOOKUP($D159&amp;$C159,設定値!$B$55:$N$85,5,FALSE)&amp;"","")</f>
        <v>insurancePeriodClass</v>
      </c>
      <c r="P159" s="19" t="s">
        <v>240</v>
      </c>
      <c r="Q159" s="19" t="str">
        <f>IFERROR(VLOOKUP($D159&amp;$C159,設定値!$B$55:$N$85,6,FALSE)&amp;"","")</f>
        <v>insurancePeriod</v>
      </c>
      <c r="R159" s="19" t="s">
        <v>174</v>
      </c>
      <c r="S159" s="19" t="str">
        <f>IFERROR(VLOOKUP($D159&amp;$C159,設定値!$B$55:$N$85,7,FALSE)&amp;"","")</f>
        <v>paymentPeriodClass</v>
      </c>
      <c r="T159" s="19" t="s">
        <v>240</v>
      </c>
      <c r="U159" s="19" t="str">
        <f>IFERROR(VLOOKUP($D159&amp;$C159,設定値!$B$55:$N$85,8,FALSE)&amp;"","")</f>
        <v>paymentPeriod</v>
      </c>
      <c r="V159" s="19" t="s">
        <v>174</v>
      </c>
      <c r="W159" s="19" t="str">
        <f>IFERROR(VLOOKUP($D159&amp;$C159,設定値!$B$55:$N$85,9,FALSE)&amp;"","")</f>
        <v/>
      </c>
      <c r="X159" s="19"/>
      <c r="Y159" s="19" t="str">
        <f>IFERROR(VLOOKUP($D159&amp;$C159,設定値!$B$55:$N$85,10,FALSE)&amp;"","")</f>
        <v/>
      </c>
      <c r="Z159" s="19"/>
      <c r="AA159" s="19" t="str">
        <f>IFERROR(VLOOKUP($D159&amp;$C159,設定値!$B$55:$N$85,11,FALSE)&amp;"","")</f>
        <v/>
      </c>
      <c r="AB159" s="19"/>
      <c r="AC159" s="19" t="str">
        <f>IFERROR(VLOOKUP($D159&amp;$C159,設定値!$B$55:$N$85,12,FALSE)&amp;"","")</f>
        <v/>
      </c>
      <c r="AD159" s="19"/>
      <c r="AE159" s="19" t="str">
        <f>IFERROR(VLOOKUP($D159&amp;$C159,設定値!$B$55:$N$85,13,FALSE)&amp;"","")</f>
        <v/>
      </c>
      <c r="AF159" s="19"/>
    </row>
    <row r="160" spans="1:32" ht="15">
      <c r="A160" s="27" t="s">
        <v>18</v>
      </c>
      <c r="B160" s="7" t="s">
        <v>169</v>
      </c>
      <c r="C160" s="27" t="s">
        <v>211</v>
      </c>
      <c r="D160" s="7" t="s">
        <v>220</v>
      </c>
      <c r="E160" s="7" t="str">
        <f t="shared" si="2"/>
        <v>D10</v>
      </c>
      <c r="F160" s="20" t="s">
        <v>44</v>
      </c>
      <c r="G160" s="19" t="str">
        <f>IFERROR(VLOOKUP(D160&amp;C160,設定値!$B$55:$L$85,3,FALSE),"")</f>
        <v>引受緩和型先進医療特約</v>
      </c>
      <c r="H160" s="8" t="s">
        <v>118</v>
      </c>
      <c r="I160" s="8" t="s">
        <v>100</v>
      </c>
      <c r="J160" s="8" t="s">
        <v>171</v>
      </c>
      <c r="K160" s="26"/>
      <c r="L160" s="19"/>
      <c r="M160" s="19" t="str">
        <f>IFERROR(VLOOKUP($D160&amp;$C160,設定値!$B$55:$N$85,4,FALSE)&amp;"","")</f>
        <v>additionType</v>
      </c>
      <c r="N160" s="19" t="s">
        <v>18</v>
      </c>
      <c r="O160" s="19" t="str">
        <f>IFERROR(VLOOKUP($D160&amp;$C160,設定値!$B$55:$N$85,5,FALSE)&amp;"","")</f>
        <v>insurancePeriodClass</v>
      </c>
      <c r="P160" s="19" t="s">
        <v>240</v>
      </c>
      <c r="Q160" s="19" t="str">
        <f>IFERROR(VLOOKUP($D160&amp;$C160,設定値!$B$55:$N$85,6,FALSE)&amp;"","")</f>
        <v>insurancePeriod</v>
      </c>
      <c r="R160" s="19" t="s">
        <v>174</v>
      </c>
      <c r="S160" s="19" t="str">
        <f>IFERROR(VLOOKUP($D160&amp;$C160,設定値!$B$55:$N$85,7,FALSE)&amp;"","")</f>
        <v>paymentPeriodClass</v>
      </c>
      <c r="T160" s="19" t="s">
        <v>240</v>
      </c>
      <c r="U160" s="19" t="str">
        <f>IFERROR(VLOOKUP($D160&amp;$C160,設定値!$B$55:$N$85,8,FALSE)&amp;"","")</f>
        <v>paymentPeriod</v>
      </c>
      <c r="V160" s="19" t="s">
        <v>174</v>
      </c>
      <c r="W160" s="19" t="str">
        <f>IFERROR(VLOOKUP($D160&amp;$C160,設定値!$B$55:$N$85,9,FALSE)&amp;"","")</f>
        <v/>
      </c>
      <c r="X160" s="19"/>
      <c r="Y160" s="19" t="str">
        <f>IFERROR(VLOOKUP($D160&amp;$C160,設定値!$B$55:$N$85,10,FALSE)&amp;"","")</f>
        <v/>
      </c>
      <c r="Z160" s="19"/>
      <c r="AA160" s="19" t="str">
        <f>IFERROR(VLOOKUP($D160&amp;$C160,設定値!$B$55:$N$85,11,FALSE)&amp;"","")</f>
        <v/>
      </c>
      <c r="AB160" s="19"/>
      <c r="AC160" s="19" t="str">
        <f>IFERROR(VLOOKUP($D160&amp;$C160,設定値!$B$55:$N$85,12,FALSE)&amp;"","")</f>
        <v/>
      </c>
      <c r="AD160" s="19"/>
      <c r="AE160" s="19" t="str">
        <f>IFERROR(VLOOKUP($D160&amp;$C160,設定値!$B$55:$N$85,13,FALSE)&amp;"","")</f>
        <v/>
      </c>
      <c r="AF160" s="19"/>
    </row>
    <row r="161" spans="1:32" ht="15">
      <c r="A161" s="27" t="s">
        <v>18</v>
      </c>
      <c r="B161" s="7" t="s">
        <v>169</v>
      </c>
      <c r="C161" s="27" t="s">
        <v>211</v>
      </c>
      <c r="D161" s="7" t="s">
        <v>223</v>
      </c>
      <c r="E161" s="7" t="str">
        <f t="shared" si="2"/>
        <v>D10</v>
      </c>
      <c r="F161" s="20" t="s">
        <v>44</v>
      </c>
      <c r="G161" s="19" t="str">
        <f>IFERROR(VLOOKUP(D161&amp;C161,設定値!$B$55:$L$85,3,FALSE),"")</f>
        <v>引受緩和型抗がん剤・ホルモン剤治療特約</v>
      </c>
      <c r="H161" s="8" t="s">
        <v>118</v>
      </c>
      <c r="I161" s="8" t="s">
        <v>100</v>
      </c>
      <c r="J161" s="8" t="s">
        <v>171</v>
      </c>
      <c r="K161" s="26"/>
      <c r="L161" s="19"/>
      <c r="M161" s="19" t="str">
        <f>IFERROR(VLOOKUP($D161&amp;$C161,設定値!$B$55:$N$85,4,FALSE)&amp;"","")</f>
        <v>benefit</v>
      </c>
      <c r="N161" s="19">
        <v>10000</v>
      </c>
      <c r="O161" s="19" t="str">
        <f>IFERROR(VLOOKUP($D161&amp;$C161,設定値!$B$55:$N$85,5,FALSE)&amp;"","")</f>
        <v>insurancePeriodClass</v>
      </c>
      <c r="P161" s="19" t="s">
        <v>240</v>
      </c>
      <c r="Q161" s="19" t="str">
        <f>IFERROR(VLOOKUP($D161&amp;$C161,設定値!$B$55:$N$85,6,FALSE)&amp;"","")</f>
        <v>insurancePeriod</v>
      </c>
      <c r="R161" s="19" t="s">
        <v>174</v>
      </c>
      <c r="S161" s="19" t="str">
        <f>IFERROR(VLOOKUP($D161&amp;$C161,設定値!$B$55:$N$85,7,FALSE)&amp;"","")</f>
        <v>paymentPeriodClass</v>
      </c>
      <c r="T161" s="19" t="s">
        <v>240</v>
      </c>
      <c r="U161" s="19" t="str">
        <f>IFERROR(VLOOKUP($D161&amp;$C161,設定値!$B$55:$N$85,8,FALSE)&amp;"","")</f>
        <v>paymentPeriod</v>
      </c>
      <c r="V161" s="19" t="s">
        <v>174</v>
      </c>
      <c r="W161" s="19" t="str">
        <f>IFERROR(VLOOKUP($D161&amp;$C161,設定値!$B$55:$N$85,9,FALSE)&amp;"","")</f>
        <v/>
      </c>
      <c r="X161" s="19"/>
      <c r="Y161" s="19" t="str">
        <f>IFERROR(VLOOKUP($D161&amp;$C161,設定値!$B$55:$N$85,10,FALSE)&amp;"","")</f>
        <v/>
      </c>
      <c r="Z161" s="19"/>
      <c r="AA161" s="19" t="str">
        <f>IFERROR(VLOOKUP($D161&amp;$C161,設定値!$B$55:$N$85,11,FALSE)&amp;"","")</f>
        <v/>
      </c>
      <c r="AB161" s="19"/>
      <c r="AC161" s="19" t="str">
        <f>IFERROR(VLOOKUP($D161&amp;$C161,設定値!$B$55:$N$85,12,FALSE)&amp;"","")</f>
        <v/>
      </c>
      <c r="AD161" s="19"/>
      <c r="AE161" s="19" t="str">
        <f>IFERROR(VLOOKUP($D161&amp;$C161,設定値!$B$55:$N$85,13,FALSE)&amp;"","")</f>
        <v/>
      </c>
      <c r="AF161" s="19"/>
    </row>
    <row r="162" spans="1:32" ht="15">
      <c r="A162" s="27" t="s">
        <v>95</v>
      </c>
      <c r="B162" s="7" t="s">
        <v>169</v>
      </c>
      <c r="C162" s="27" t="s">
        <v>221</v>
      </c>
      <c r="D162" s="7" t="s">
        <v>224</v>
      </c>
      <c r="E162" s="7" t="str">
        <f t="shared" si="2"/>
        <v>D10</v>
      </c>
      <c r="F162" s="20" t="s">
        <v>44</v>
      </c>
      <c r="G162" s="19" t="str">
        <f>IFERROR(VLOOKUP(D162&amp;C162,設定値!$B$55:$L$85,3,FALSE),"")</f>
        <v>引受緩和型３大疾病保険料払込免除特約</v>
      </c>
      <c r="H162" s="8" t="s">
        <v>118</v>
      </c>
      <c r="I162" s="8" t="s">
        <v>100</v>
      </c>
      <c r="J162" s="8" t="s">
        <v>171</v>
      </c>
      <c r="K162" s="26"/>
      <c r="L162" s="19"/>
      <c r="M162" s="19" t="str">
        <f>IFERROR(VLOOKUP($D162&amp;$C162,設定値!$B$55:$N$85,4,FALSE)&amp;"","")</f>
        <v>additionType</v>
      </c>
      <c r="N162" s="19" t="s">
        <v>18</v>
      </c>
      <c r="O162" s="19" t="str">
        <f>IFERROR(VLOOKUP($D162&amp;$C162,設定値!$B$55:$N$85,5,FALSE)&amp;"","")</f>
        <v>insurancePeriodClass</v>
      </c>
      <c r="P162" s="19" t="s">
        <v>240</v>
      </c>
      <c r="Q162" s="19" t="str">
        <f>IFERROR(VLOOKUP($D162&amp;$C162,設定値!$B$55:$N$85,6,FALSE)&amp;"","")</f>
        <v>insurancePeriod</v>
      </c>
      <c r="R162" s="19" t="s">
        <v>174</v>
      </c>
      <c r="S162" s="19" t="str">
        <f>IFERROR(VLOOKUP($D162&amp;$C162,設定値!$B$55:$N$85,7,FALSE)&amp;"","")</f>
        <v>paymentPeriodClass</v>
      </c>
      <c r="T162" s="19" t="s">
        <v>240</v>
      </c>
      <c r="U162" s="19" t="str">
        <f>IFERROR(VLOOKUP($D162&amp;$C162,設定値!$B$55:$N$85,8,FALSE)&amp;"","")</f>
        <v>paymentPeriod</v>
      </c>
      <c r="V162" s="19" t="s">
        <v>174</v>
      </c>
      <c r="W162" s="19" t="str">
        <f>IFERROR(VLOOKUP($D162&amp;$C162,設定値!$B$55:$N$85,9,FALSE)&amp;"","")</f>
        <v>freeOfPremiumRiderCls</v>
      </c>
      <c r="X162" s="19" t="s">
        <v>246</v>
      </c>
      <c r="Y162" s="19" t="str">
        <f>IFERROR(VLOOKUP($D162&amp;$C162,設定値!$B$55:$N$85,10,FALSE)&amp;"","")</f>
        <v/>
      </c>
      <c r="Z162" s="19"/>
      <c r="AA162" s="19" t="str">
        <f>IFERROR(VLOOKUP($D162&amp;$C162,設定値!$B$55:$N$85,11,FALSE)&amp;"","")</f>
        <v/>
      </c>
      <c r="AB162" s="19"/>
      <c r="AC162" s="19" t="str">
        <f>IFERROR(VLOOKUP($D162&amp;$C162,設定値!$B$55:$N$85,12,FALSE)&amp;"","")</f>
        <v/>
      </c>
      <c r="AD162" s="19"/>
      <c r="AE162" s="19" t="str">
        <f>IFERROR(VLOOKUP($D162&amp;$C162,設定値!$B$55:$N$85,13,FALSE)&amp;"","")</f>
        <v/>
      </c>
      <c r="AF162" s="19"/>
    </row>
    <row r="163" spans="1:32" ht="15">
      <c r="A163" s="27" t="s">
        <v>118</v>
      </c>
      <c r="B163" s="7" t="s">
        <v>169</v>
      </c>
      <c r="C163" s="27" t="s">
        <v>18</v>
      </c>
      <c r="D163" s="7" t="s">
        <v>224</v>
      </c>
      <c r="E163" s="7" t="str">
        <f t="shared" si="2"/>
        <v>310</v>
      </c>
      <c r="F163" s="20" t="s">
        <v>44</v>
      </c>
      <c r="G163" s="19" t="str">
        <f>IFERROR(VLOOKUP(D163&amp;C163,設定値!$B$55:$L$85,3,FALSE),"")</f>
        <v>引受緩和型３大疾病一時給付保険（無解約払戻金型）</v>
      </c>
      <c r="H163" s="8" t="s">
        <v>118</v>
      </c>
      <c r="I163" s="8" t="s">
        <v>100</v>
      </c>
      <c r="J163" s="8" t="s">
        <v>171</v>
      </c>
      <c r="K163" s="26"/>
      <c r="L163" s="19">
        <v>0</v>
      </c>
      <c r="M163" s="19" t="str">
        <f>IFERROR(VLOOKUP($D163&amp;$C163,設定値!$B$55:$N$85,4,FALSE)&amp;"","")</f>
        <v>benefit</v>
      </c>
      <c r="N163" s="19">
        <v>300000</v>
      </c>
      <c r="O163" s="19" t="str">
        <f>IFERROR(VLOOKUP($D163&amp;$C163,設定値!$B$55:$N$85,5,FALSE)&amp;"","")</f>
        <v>insurancePeriodClass</v>
      </c>
      <c r="P163" s="19" t="s">
        <v>240</v>
      </c>
      <c r="Q163" s="19" t="str">
        <f>IFERROR(VLOOKUP($D163&amp;$C163,設定値!$B$55:$N$85,6,FALSE)&amp;"","")</f>
        <v>insurancePeriod</v>
      </c>
      <c r="R163" s="19" t="s">
        <v>174</v>
      </c>
      <c r="S163" s="19" t="str">
        <f>IFERROR(VLOOKUP($D163&amp;$C163,設定値!$B$55:$N$85,7,FALSE)&amp;"","")</f>
        <v>paymentPeriodClass</v>
      </c>
      <c r="T163" s="19" t="s">
        <v>240</v>
      </c>
      <c r="U163" s="19" t="str">
        <f>IFERROR(VLOOKUP($D163&amp;$C163,設定値!$B$55:$N$85,8,FALSE)&amp;"","")</f>
        <v>paymentPeriod</v>
      </c>
      <c r="V163" s="19" t="s">
        <v>174</v>
      </c>
      <c r="W163" s="19" t="str">
        <f>IFERROR(VLOOKUP($D163&amp;$C163,設定値!$B$55:$N$85,9,FALSE)&amp;"","")</f>
        <v>benefitFirstPayConvCls</v>
      </c>
      <c r="X163" s="19" t="s">
        <v>18</v>
      </c>
      <c r="Y163" s="19" t="str">
        <f>IFERROR(VLOOKUP($D163&amp;$C163,設定値!$B$55:$N$85,10,FALSE)&amp;"","")</f>
        <v>freeOfPRiderFlg</v>
      </c>
      <c r="Z163" s="19" t="s">
        <v>18</v>
      </c>
      <c r="AA163" s="19" t="str">
        <f>IFERROR(VLOOKUP($D163&amp;$C163,設定値!$B$55:$N$85,11,FALSE)&amp;"","")</f>
        <v>freeOfPremiumRiderCls</v>
      </c>
      <c r="AB163" s="19" t="s">
        <v>246</v>
      </c>
      <c r="AC163" s="19" t="str">
        <f>IFERROR(VLOOKUP($D163&amp;$C163,設定値!$B$55:$N$85,12,FALSE)&amp;"","")</f>
        <v/>
      </c>
      <c r="AD163" s="19"/>
      <c r="AE163" s="19" t="str">
        <f>IFERROR(VLOOKUP($D163&amp;$C163,設定値!$B$55:$N$85,13,FALSE)&amp;"","")</f>
        <v/>
      </c>
      <c r="AF163" s="19"/>
    </row>
    <row r="164" spans="1:32" ht="15">
      <c r="A164" s="27" t="s">
        <v>118</v>
      </c>
      <c r="B164" s="7" t="s">
        <v>169</v>
      </c>
      <c r="C164" s="27" t="s">
        <v>211</v>
      </c>
      <c r="D164" s="7" t="s">
        <v>225</v>
      </c>
      <c r="E164" s="7" t="str">
        <f t="shared" si="2"/>
        <v>D10</v>
      </c>
      <c r="F164" s="20" t="s">
        <v>44</v>
      </c>
      <c r="G164" s="19" t="str">
        <f>IFERROR(VLOOKUP(D164&amp;C164,設定値!$B$55:$L$85,3,FALSE),"")</f>
        <v>引受緩和型がん一時給付特約</v>
      </c>
      <c r="H164" s="8" t="s">
        <v>118</v>
      </c>
      <c r="I164" s="8" t="s">
        <v>100</v>
      </c>
      <c r="J164" s="8" t="s">
        <v>171</v>
      </c>
      <c r="K164" s="26"/>
      <c r="L164" s="19"/>
      <c r="M164" s="19" t="str">
        <f>IFERROR(VLOOKUP($D164&amp;$C164,設定値!$B$55:$N$85,4,FALSE)&amp;"","")</f>
        <v>benefit</v>
      </c>
      <c r="N164" s="19">
        <v>100000</v>
      </c>
      <c r="O164" s="19" t="str">
        <f>IFERROR(VLOOKUP($D164&amp;$C164,設定値!$B$55:$N$85,5,FALSE)&amp;"","")</f>
        <v>insurancePeriodClass</v>
      </c>
      <c r="P164" s="19" t="s">
        <v>240</v>
      </c>
      <c r="Q164" s="19" t="str">
        <f>IFERROR(VLOOKUP($D164&amp;$C164,設定値!$B$55:$N$85,6,FALSE)&amp;"","")</f>
        <v>insurancePeriod</v>
      </c>
      <c r="R164" s="19" t="s">
        <v>174</v>
      </c>
      <c r="S164" s="19" t="str">
        <f>IFERROR(VLOOKUP($D164&amp;$C164,設定値!$B$55:$N$85,7,FALSE)&amp;"","")</f>
        <v>paymentPeriodClass</v>
      </c>
      <c r="T164" s="19" t="s">
        <v>240</v>
      </c>
      <c r="U164" s="19" t="str">
        <f>IFERROR(VLOOKUP($D164&amp;$C164,設定値!$B$55:$N$85,8,FALSE)&amp;"","")</f>
        <v>paymentPeriod</v>
      </c>
      <c r="V164" s="19" t="s">
        <v>174</v>
      </c>
      <c r="W164" s="19" t="str">
        <f>IFERROR(VLOOKUP($D164&amp;$C164,設定値!$B$55:$N$85,9,FALSE)&amp;"","")</f>
        <v/>
      </c>
      <c r="X164" s="19"/>
      <c r="Y164" s="19" t="str">
        <f>IFERROR(VLOOKUP($D164&amp;$C164,設定値!$B$55:$N$85,10,FALSE)&amp;"","")</f>
        <v/>
      </c>
      <c r="Z164" s="19"/>
      <c r="AA164" s="19" t="str">
        <f>IFERROR(VLOOKUP($D164&amp;$C164,設定値!$B$55:$N$85,11,FALSE)&amp;"","")</f>
        <v/>
      </c>
      <c r="AB164" s="19"/>
      <c r="AC164" s="19" t="str">
        <f>IFERROR(VLOOKUP($D164&amp;$C164,設定値!$B$55:$N$85,12,FALSE)&amp;"","")</f>
        <v/>
      </c>
      <c r="AD164" s="19"/>
      <c r="AE164" s="19" t="str">
        <f>IFERROR(VLOOKUP($D164&amp;$C164,設定値!$B$55:$N$85,13,FALSE)&amp;"","")</f>
        <v/>
      </c>
      <c r="AF164" s="19"/>
    </row>
    <row r="165" spans="1:32" ht="15">
      <c r="A165" s="27" t="s">
        <v>118</v>
      </c>
      <c r="B165" s="7" t="s">
        <v>169</v>
      </c>
      <c r="C165" s="27" t="s">
        <v>211</v>
      </c>
      <c r="D165" s="7" t="s">
        <v>220</v>
      </c>
      <c r="E165" s="7" t="str">
        <f t="shared" si="2"/>
        <v>D10</v>
      </c>
      <c r="F165" s="20" t="s">
        <v>44</v>
      </c>
      <c r="G165" s="19" t="str">
        <f>IFERROR(VLOOKUP(D165&amp;C165,設定値!$B$55:$L$85,3,FALSE),"")</f>
        <v>引受緩和型先進医療特約</v>
      </c>
      <c r="H165" s="8" t="s">
        <v>118</v>
      </c>
      <c r="I165" s="8" t="s">
        <v>100</v>
      </c>
      <c r="J165" s="8" t="s">
        <v>171</v>
      </c>
      <c r="K165" s="26"/>
      <c r="L165" s="19"/>
      <c r="M165" s="19" t="str">
        <f>IFERROR(VLOOKUP($D165&amp;$C165,設定値!$B$55:$N$85,4,FALSE)&amp;"","")</f>
        <v>additionType</v>
      </c>
      <c r="N165" s="19" t="s">
        <v>18</v>
      </c>
      <c r="O165" s="19" t="str">
        <f>IFERROR(VLOOKUP($D165&amp;$C165,設定値!$B$55:$N$85,5,FALSE)&amp;"","")</f>
        <v>insurancePeriodClass</v>
      </c>
      <c r="P165" s="19" t="s">
        <v>240</v>
      </c>
      <c r="Q165" s="19" t="str">
        <f>IFERROR(VLOOKUP($D165&amp;$C165,設定値!$B$55:$N$85,6,FALSE)&amp;"","")</f>
        <v>insurancePeriod</v>
      </c>
      <c r="R165" s="19" t="s">
        <v>174</v>
      </c>
      <c r="S165" s="19" t="str">
        <f>IFERROR(VLOOKUP($D165&amp;$C165,設定値!$B$55:$N$85,7,FALSE)&amp;"","")</f>
        <v>paymentPeriodClass</v>
      </c>
      <c r="T165" s="19" t="s">
        <v>240</v>
      </c>
      <c r="U165" s="19" t="str">
        <f>IFERROR(VLOOKUP($D165&amp;$C165,設定値!$B$55:$N$85,8,FALSE)&amp;"","")</f>
        <v>paymentPeriod</v>
      </c>
      <c r="V165" s="19" t="s">
        <v>174</v>
      </c>
      <c r="W165" s="19" t="str">
        <f>IFERROR(VLOOKUP($D165&amp;$C165,設定値!$B$55:$N$85,9,FALSE)&amp;"","")</f>
        <v/>
      </c>
      <c r="X165" s="19"/>
      <c r="Y165" s="19" t="str">
        <f>IFERROR(VLOOKUP($D165&amp;$C165,設定値!$B$55:$N$85,10,FALSE)&amp;"","")</f>
        <v/>
      </c>
      <c r="Z165" s="19"/>
      <c r="AA165" s="19" t="str">
        <f>IFERROR(VLOOKUP($D165&amp;$C165,設定値!$B$55:$N$85,11,FALSE)&amp;"","")</f>
        <v/>
      </c>
      <c r="AB165" s="19"/>
      <c r="AC165" s="19" t="str">
        <f>IFERROR(VLOOKUP($D165&amp;$C165,設定値!$B$55:$N$85,12,FALSE)&amp;"","")</f>
        <v/>
      </c>
      <c r="AD165" s="19"/>
      <c r="AE165" s="19" t="str">
        <f>IFERROR(VLOOKUP($D165&amp;$C165,設定値!$B$55:$N$85,13,FALSE)&amp;"","")</f>
        <v/>
      </c>
      <c r="AF165" s="19"/>
    </row>
    <row r="166" spans="1:32" ht="15">
      <c r="A166" s="27" t="s">
        <v>118</v>
      </c>
      <c r="B166" s="7" t="s">
        <v>169</v>
      </c>
      <c r="C166" s="27" t="s">
        <v>211</v>
      </c>
      <c r="D166" s="7" t="s">
        <v>223</v>
      </c>
      <c r="E166" s="7" t="str">
        <f t="shared" si="2"/>
        <v>D10</v>
      </c>
      <c r="F166" s="20" t="s">
        <v>44</v>
      </c>
      <c r="G166" s="19" t="str">
        <f>IFERROR(VLOOKUP(D166&amp;C166,設定値!$B$55:$L$85,3,FALSE),"")</f>
        <v>引受緩和型抗がん剤・ホルモン剤治療特約</v>
      </c>
      <c r="H166" s="8" t="s">
        <v>118</v>
      </c>
      <c r="I166" s="8" t="s">
        <v>100</v>
      </c>
      <c r="J166" s="8" t="s">
        <v>171</v>
      </c>
      <c r="K166" s="26"/>
      <c r="L166" s="19"/>
      <c r="M166" s="19" t="str">
        <f>IFERROR(VLOOKUP($D166&amp;$C166,設定値!$B$55:$N$85,4,FALSE)&amp;"","")</f>
        <v>benefit</v>
      </c>
      <c r="N166" s="19">
        <v>10000</v>
      </c>
      <c r="O166" s="19" t="str">
        <f>IFERROR(VLOOKUP($D166&amp;$C166,設定値!$B$55:$N$85,5,FALSE)&amp;"","")</f>
        <v>insurancePeriodClass</v>
      </c>
      <c r="P166" s="19" t="s">
        <v>240</v>
      </c>
      <c r="Q166" s="19" t="str">
        <f>IFERROR(VLOOKUP($D166&amp;$C166,設定値!$B$55:$N$85,6,FALSE)&amp;"","")</f>
        <v>insurancePeriod</v>
      </c>
      <c r="R166" s="19" t="s">
        <v>174</v>
      </c>
      <c r="S166" s="19" t="str">
        <f>IFERROR(VLOOKUP($D166&amp;$C166,設定値!$B$55:$N$85,7,FALSE)&amp;"","")</f>
        <v>paymentPeriodClass</v>
      </c>
      <c r="T166" s="19" t="s">
        <v>240</v>
      </c>
      <c r="U166" s="19" t="str">
        <f>IFERROR(VLOOKUP($D166&amp;$C166,設定値!$B$55:$N$85,8,FALSE)&amp;"","")</f>
        <v>paymentPeriod</v>
      </c>
      <c r="V166" s="19" t="s">
        <v>174</v>
      </c>
      <c r="W166" s="19" t="str">
        <f>IFERROR(VLOOKUP($D166&amp;$C166,設定値!$B$55:$N$85,9,FALSE)&amp;"","")</f>
        <v/>
      </c>
      <c r="X166" s="19"/>
      <c r="Y166" s="19" t="str">
        <f>IFERROR(VLOOKUP($D166&amp;$C166,設定値!$B$55:$N$85,10,FALSE)&amp;"","")</f>
        <v/>
      </c>
      <c r="Z166" s="19"/>
      <c r="AA166" s="19" t="str">
        <f>IFERROR(VLOOKUP($D166&amp;$C166,設定値!$B$55:$N$85,11,FALSE)&amp;"","")</f>
        <v/>
      </c>
      <c r="AB166" s="19"/>
      <c r="AC166" s="19" t="str">
        <f>IFERROR(VLOOKUP($D166&amp;$C166,設定値!$B$55:$N$85,12,FALSE)&amp;"","")</f>
        <v/>
      </c>
      <c r="AD166" s="19"/>
      <c r="AE166" s="19" t="str">
        <f>IFERROR(VLOOKUP($D166&amp;$C166,設定値!$B$55:$N$85,13,FALSE)&amp;"","")</f>
        <v/>
      </c>
      <c r="AF166" s="19"/>
    </row>
    <row r="167" spans="1:32" ht="15">
      <c r="A167" s="27" t="s">
        <v>118</v>
      </c>
      <c r="B167" s="7" t="s">
        <v>169</v>
      </c>
      <c r="C167" s="27" t="s">
        <v>221</v>
      </c>
      <c r="D167" s="7" t="s">
        <v>224</v>
      </c>
      <c r="E167" s="7" t="str">
        <f t="shared" si="2"/>
        <v>D10</v>
      </c>
      <c r="F167" s="20" t="s">
        <v>44</v>
      </c>
      <c r="G167" s="19" t="str">
        <f>IFERROR(VLOOKUP(D167&amp;C167,設定値!$B$55:$L$85,3,FALSE),"")</f>
        <v>引受緩和型３大疾病保険料払込免除特約</v>
      </c>
      <c r="H167" s="8" t="s">
        <v>118</v>
      </c>
      <c r="I167" s="8" t="s">
        <v>100</v>
      </c>
      <c r="J167" s="8" t="s">
        <v>171</v>
      </c>
      <c r="K167" s="26"/>
      <c r="L167" s="19"/>
      <c r="M167" s="19" t="str">
        <f>IFERROR(VLOOKUP($D167&amp;$C167,設定値!$B$55:$N$85,4,FALSE)&amp;"","")</f>
        <v>additionType</v>
      </c>
      <c r="N167" s="19" t="s">
        <v>18</v>
      </c>
      <c r="O167" s="19" t="str">
        <f>IFERROR(VLOOKUP($D167&amp;$C167,設定値!$B$55:$N$85,5,FALSE)&amp;"","")</f>
        <v>insurancePeriodClass</v>
      </c>
      <c r="P167" s="19" t="s">
        <v>240</v>
      </c>
      <c r="Q167" s="19" t="str">
        <f>IFERROR(VLOOKUP($D167&amp;$C167,設定値!$B$55:$N$85,6,FALSE)&amp;"","")</f>
        <v>insurancePeriod</v>
      </c>
      <c r="R167" s="19" t="s">
        <v>174</v>
      </c>
      <c r="S167" s="19" t="str">
        <f>IFERROR(VLOOKUP($D167&amp;$C167,設定値!$B$55:$N$85,7,FALSE)&amp;"","")</f>
        <v>paymentPeriodClass</v>
      </c>
      <c r="T167" s="19" t="s">
        <v>240</v>
      </c>
      <c r="U167" s="19" t="str">
        <f>IFERROR(VLOOKUP($D167&amp;$C167,設定値!$B$55:$N$85,8,FALSE)&amp;"","")</f>
        <v>paymentPeriod</v>
      </c>
      <c r="V167" s="19" t="s">
        <v>174</v>
      </c>
      <c r="W167" s="19" t="str">
        <f>IFERROR(VLOOKUP($D167&amp;$C167,設定値!$B$55:$N$85,9,FALSE)&amp;"","")</f>
        <v>freeOfPremiumRiderCls</v>
      </c>
      <c r="X167" s="19" t="s">
        <v>246</v>
      </c>
      <c r="Y167" s="19" t="str">
        <f>IFERROR(VLOOKUP($D167&amp;$C167,設定値!$B$55:$N$85,10,FALSE)&amp;"","")</f>
        <v/>
      </c>
      <c r="Z167" s="19"/>
      <c r="AA167" s="19" t="str">
        <f>IFERROR(VLOOKUP($D167&amp;$C167,設定値!$B$55:$N$85,11,FALSE)&amp;"","")</f>
        <v/>
      </c>
      <c r="AB167" s="19"/>
      <c r="AC167" s="19" t="str">
        <f>IFERROR(VLOOKUP($D167&amp;$C167,設定値!$B$55:$N$85,12,FALSE)&amp;"","")</f>
        <v/>
      </c>
      <c r="AD167" s="19"/>
      <c r="AE167" s="19" t="str">
        <f>IFERROR(VLOOKUP($D167&amp;$C167,設定値!$B$55:$N$85,13,FALSE)&amp;"","")</f>
        <v/>
      </c>
      <c r="AF167" s="19"/>
    </row>
    <row r="168" spans="1:32" ht="15">
      <c r="A168" s="27" t="s">
        <v>213</v>
      </c>
      <c r="B168" s="7" t="s">
        <v>169</v>
      </c>
      <c r="C168" s="27" t="s">
        <v>18</v>
      </c>
      <c r="D168" s="7" t="s">
        <v>224</v>
      </c>
      <c r="E168" s="7" t="str">
        <f t="shared" si="2"/>
        <v>310</v>
      </c>
      <c r="F168" s="20" t="s">
        <v>44</v>
      </c>
      <c r="G168" s="19" t="str">
        <f>IFERROR(VLOOKUP(D168&amp;C168,設定値!$B$55:$L$85,3,FALSE),"")</f>
        <v>引受緩和型３大疾病一時給付保険（無解約払戻金型）</v>
      </c>
      <c r="H168" s="8" t="s">
        <v>118</v>
      </c>
      <c r="I168" s="8" t="s">
        <v>100</v>
      </c>
      <c r="J168" s="8" t="s">
        <v>171</v>
      </c>
      <c r="K168" s="26"/>
      <c r="L168" s="19">
        <v>0</v>
      </c>
      <c r="M168" s="19" t="str">
        <f>IFERROR(VLOOKUP($D168&amp;$C168,設定値!$B$55:$N$85,4,FALSE)&amp;"","")</f>
        <v>benefit</v>
      </c>
      <c r="N168" s="19">
        <v>300000</v>
      </c>
      <c r="O168" s="19" t="str">
        <f>IFERROR(VLOOKUP($D168&amp;$C168,設定値!$B$55:$N$85,5,FALSE)&amp;"","")</f>
        <v>insurancePeriodClass</v>
      </c>
      <c r="P168" s="19" t="s">
        <v>240</v>
      </c>
      <c r="Q168" s="19" t="str">
        <f>IFERROR(VLOOKUP($D168&amp;$C168,設定値!$B$55:$N$85,6,FALSE)&amp;"","")</f>
        <v>insurancePeriod</v>
      </c>
      <c r="R168" s="19" t="s">
        <v>174</v>
      </c>
      <c r="S168" s="19" t="str">
        <f>IFERROR(VLOOKUP($D168&amp;$C168,設定値!$B$55:$N$85,7,FALSE)&amp;"","")</f>
        <v>paymentPeriodClass</v>
      </c>
      <c r="T168" s="19" t="s">
        <v>240</v>
      </c>
      <c r="U168" s="19" t="str">
        <f>IFERROR(VLOOKUP($D168&amp;$C168,設定値!$B$55:$N$85,8,FALSE)&amp;"","")</f>
        <v>paymentPeriod</v>
      </c>
      <c r="V168" s="19" t="s">
        <v>174</v>
      </c>
      <c r="W168" s="19" t="str">
        <f>IFERROR(VLOOKUP($D168&amp;$C168,設定値!$B$55:$N$85,9,FALSE)&amp;"","")</f>
        <v>benefitFirstPayConvCls</v>
      </c>
      <c r="X168" s="19" t="s">
        <v>18</v>
      </c>
      <c r="Y168" s="19" t="str">
        <f>IFERROR(VLOOKUP($D168&amp;$C168,設定値!$B$55:$N$85,10,FALSE)&amp;"","")</f>
        <v>freeOfPRiderFlg</v>
      </c>
      <c r="Z168" s="19" t="s">
        <v>18</v>
      </c>
      <c r="AA168" s="19" t="str">
        <f>IFERROR(VLOOKUP($D168&amp;$C168,設定値!$B$55:$N$85,11,FALSE)&amp;"","")</f>
        <v>freeOfPremiumRiderCls</v>
      </c>
      <c r="AB168" s="19" t="s">
        <v>246</v>
      </c>
      <c r="AC168" s="19" t="str">
        <f>IFERROR(VLOOKUP($D168&amp;$C168,設定値!$B$55:$N$85,12,FALSE)&amp;"","")</f>
        <v/>
      </c>
      <c r="AD168" s="19"/>
      <c r="AE168" s="19" t="str">
        <f>IFERROR(VLOOKUP($D168&amp;$C168,設定値!$B$55:$N$85,13,FALSE)&amp;"","")</f>
        <v/>
      </c>
      <c r="AF168" s="19"/>
    </row>
    <row r="169" spans="1:32" ht="15">
      <c r="A169" s="27" t="s">
        <v>213</v>
      </c>
      <c r="B169" s="7" t="s">
        <v>169</v>
      </c>
      <c r="C169" s="27" t="s">
        <v>211</v>
      </c>
      <c r="D169" s="7" t="s">
        <v>225</v>
      </c>
      <c r="E169" s="7" t="str">
        <f t="shared" si="2"/>
        <v>D10</v>
      </c>
      <c r="F169" s="20" t="s">
        <v>44</v>
      </c>
      <c r="G169" s="19" t="str">
        <f>IFERROR(VLOOKUP(D169&amp;C169,設定値!$B$55:$L$85,3,FALSE),"")</f>
        <v>引受緩和型がん一時給付特約</v>
      </c>
      <c r="H169" s="8" t="s">
        <v>118</v>
      </c>
      <c r="I169" s="8" t="s">
        <v>100</v>
      </c>
      <c r="J169" s="8" t="s">
        <v>171</v>
      </c>
      <c r="K169" s="26"/>
      <c r="L169" s="19"/>
      <c r="M169" s="19" t="str">
        <f>IFERROR(VLOOKUP($D169&amp;$C169,設定値!$B$55:$N$85,4,FALSE)&amp;"","")</f>
        <v>benefit</v>
      </c>
      <c r="N169" s="19">
        <v>100000</v>
      </c>
      <c r="O169" s="19" t="str">
        <f>IFERROR(VLOOKUP($D169&amp;$C169,設定値!$B$55:$N$85,5,FALSE)&amp;"","")</f>
        <v>insurancePeriodClass</v>
      </c>
      <c r="P169" s="19" t="s">
        <v>240</v>
      </c>
      <c r="Q169" s="19" t="str">
        <f>IFERROR(VLOOKUP($D169&amp;$C169,設定値!$B$55:$N$85,6,FALSE)&amp;"","")</f>
        <v>insurancePeriod</v>
      </c>
      <c r="R169" s="19" t="s">
        <v>174</v>
      </c>
      <c r="S169" s="19" t="str">
        <f>IFERROR(VLOOKUP($D169&amp;$C169,設定値!$B$55:$N$85,7,FALSE)&amp;"","")</f>
        <v>paymentPeriodClass</v>
      </c>
      <c r="T169" s="19" t="s">
        <v>240</v>
      </c>
      <c r="U169" s="19" t="str">
        <f>IFERROR(VLOOKUP($D169&amp;$C169,設定値!$B$55:$N$85,8,FALSE)&amp;"","")</f>
        <v>paymentPeriod</v>
      </c>
      <c r="V169" s="19" t="s">
        <v>174</v>
      </c>
      <c r="W169" s="19" t="str">
        <f>IFERROR(VLOOKUP($D169&amp;$C169,設定値!$B$55:$N$85,9,FALSE)&amp;"","")</f>
        <v/>
      </c>
      <c r="X169" s="19"/>
      <c r="Y169" s="19" t="str">
        <f>IFERROR(VLOOKUP($D169&amp;$C169,設定値!$B$55:$N$85,10,FALSE)&amp;"","")</f>
        <v/>
      </c>
      <c r="Z169" s="19"/>
      <c r="AA169" s="19" t="str">
        <f>IFERROR(VLOOKUP($D169&amp;$C169,設定値!$B$55:$N$85,11,FALSE)&amp;"","")</f>
        <v/>
      </c>
      <c r="AB169" s="19"/>
      <c r="AC169" s="19" t="str">
        <f>IFERROR(VLOOKUP($D169&amp;$C169,設定値!$B$55:$N$85,12,FALSE)&amp;"","")</f>
        <v/>
      </c>
      <c r="AD169" s="19"/>
      <c r="AE169" s="19" t="str">
        <f>IFERROR(VLOOKUP($D169&amp;$C169,設定値!$B$55:$N$85,13,FALSE)&amp;"","")</f>
        <v/>
      </c>
      <c r="AF169" s="19"/>
    </row>
    <row r="170" spans="1:32" ht="15">
      <c r="A170" s="27" t="s">
        <v>213</v>
      </c>
      <c r="B170" s="7" t="s">
        <v>169</v>
      </c>
      <c r="C170" s="27" t="s">
        <v>211</v>
      </c>
      <c r="D170" s="7" t="s">
        <v>220</v>
      </c>
      <c r="E170" s="7" t="str">
        <f t="shared" si="2"/>
        <v>D10</v>
      </c>
      <c r="F170" s="20" t="s">
        <v>44</v>
      </c>
      <c r="G170" s="19" t="str">
        <f>IFERROR(VLOOKUP(D170&amp;C170,設定値!$B$55:$L$85,3,FALSE),"")</f>
        <v>引受緩和型先進医療特約</v>
      </c>
      <c r="H170" s="8" t="s">
        <v>118</v>
      </c>
      <c r="I170" s="8" t="s">
        <v>100</v>
      </c>
      <c r="J170" s="8" t="s">
        <v>171</v>
      </c>
      <c r="K170" s="26"/>
      <c r="L170" s="19"/>
      <c r="M170" s="19" t="str">
        <f>IFERROR(VLOOKUP($D170&amp;$C170,設定値!$B$55:$N$85,4,FALSE)&amp;"","")</f>
        <v>additionType</v>
      </c>
      <c r="N170" s="19" t="s">
        <v>18</v>
      </c>
      <c r="O170" s="19" t="str">
        <f>IFERROR(VLOOKUP($D170&amp;$C170,設定値!$B$55:$N$85,5,FALSE)&amp;"","")</f>
        <v>insurancePeriodClass</v>
      </c>
      <c r="P170" s="19" t="s">
        <v>240</v>
      </c>
      <c r="Q170" s="19" t="str">
        <f>IFERROR(VLOOKUP($D170&amp;$C170,設定値!$B$55:$N$85,6,FALSE)&amp;"","")</f>
        <v>insurancePeriod</v>
      </c>
      <c r="R170" s="19" t="s">
        <v>174</v>
      </c>
      <c r="S170" s="19" t="str">
        <f>IFERROR(VLOOKUP($D170&amp;$C170,設定値!$B$55:$N$85,7,FALSE)&amp;"","")</f>
        <v>paymentPeriodClass</v>
      </c>
      <c r="T170" s="19" t="s">
        <v>240</v>
      </c>
      <c r="U170" s="19" t="str">
        <f>IFERROR(VLOOKUP($D170&amp;$C170,設定値!$B$55:$N$85,8,FALSE)&amp;"","")</f>
        <v>paymentPeriod</v>
      </c>
      <c r="V170" s="19" t="s">
        <v>174</v>
      </c>
      <c r="W170" s="19" t="str">
        <f>IFERROR(VLOOKUP($D170&amp;$C170,設定値!$B$55:$N$85,9,FALSE)&amp;"","")</f>
        <v/>
      </c>
      <c r="X170" s="19"/>
      <c r="Y170" s="19" t="str">
        <f>IFERROR(VLOOKUP($D170&amp;$C170,設定値!$B$55:$N$85,10,FALSE)&amp;"","")</f>
        <v/>
      </c>
      <c r="Z170" s="19"/>
      <c r="AA170" s="19" t="str">
        <f>IFERROR(VLOOKUP($D170&amp;$C170,設定値!$B$55:$N$85,11,FALSE)&amp;"","")</f>
        <v/>
      </c>
      <c r="AB170" s="19"/>
      <c r="AC170" s="19" t="str">
        <f>IFERROR(VLOOKUP($D170&amp;$C170,設定値!$B$55:$N$85,12,FALSE)&amp;"","")</f>
        <v/>
      </c>
      <c r="AD170" s="19"/>
      <c r="AE170" s="19" t="str">
        <f>IFERROR(VLOOKUP($D170&amp;$C170,設定値!$B$55:$N$85,13,FALSE)&amp;"","")</f>
        <v/>
      </c>
      <c r="AF170" s="19"/>
    </row>
    <row r="171" spans="1:32" ht="15">
      <c r="A171" s="27" t="s">
        <v>213</v>
      </c>
      <c r="B171" s="7" t="s">
        <v>169</v>
      </c>
      <c r="C171" s="27" t="s">
        <v>211</v>
      </c>
      <c r="D171" s="7" t="s">
        <v>223</v>
      </c>
      <c r="E171" s="7" t="str">
        <f t="shared" si="2"/>
        <v>D10</v>
      </c>
      <c r="F171" s="20" t="s">
        <v>44</v>
      </c>
      <c r="G171" s="19" t="str">
        <f>IFERROR(VLOOKUP(D171&amp;C171,設定値!$B$55:$L$85,3,FALSE),"")</f>
        <v>引受緩和型抗がん剤・ホルモン剤治療特約</v>
      </c>
      <c r="H171" s="8" t="s">
        <v>118</v>
      </c>
      <c r="I171" s="8" t="s">
        <v>100</v>
      </c>
      <c r="J171" s="8" t="s">
        <v>171</v>
      </c>
      <c r="K171" s="26"/>
      <c r="L171" s="19"/>
      <c r="M171" s="19" t="str">
        <f>IFERROR(VLOOKUP($D171&amp;$C171,設定値!$B$55:$N$85,4,FALSE)&amp;"","")</f>
        <v>benefit</v>
      </c>
      <c r="N171" s="19">
        <v>10000</v>
      </c>
      <c r="O171" s="19" t="str">
        <f>IFERROR(VLOOKUP($D171&amp;$C171,設定値!$B$55:$N$85,5,FALSE)&amp;"","")</f>
        <v>insurancePeriodClass</v>
      </c>
      <c r="P171" s="19" t="s">
        <v>240</v>
      </c>
      <c r="Q171" s="19" t="str">
        <f>IFERROR(VLOOKUP($D171&amp;$C171,設定値!$B$55:$N$85,6,FALSE)&amp;"","")</f>
        <v>insurancePeriod</v>
      </c>
      <c r="R171" s="19" t="s">
        <v>174</v>
      </c>
      <c r="S171" s="19" t="str">
        <f>IFERROR(VLOOKUP($D171&amp;$C171,設定値!$B$55:$N$85,7,FALSE)&amp;"","")</f>
        <v>paymentPeriodClass</v>
      </c>
      <c r="T171" s="19" t="s">
        <v>240</v>
      </c>
      <c r="U171" s="19" t="str">
        <f>IFERROR(VLOOKUP($D171&amp;$C171,設定値!$B$55:$N$85,8,FALSE)&amp;"","")</f>
        <v>paymentPeriod</v>
      </c>
      <c r="V171" s="19" t="s">
        <v>174</v>
      </c>
      <c r="W171" s="19" t="str">
        <f>IFERROR(VLOOKUP($D171&amp;$C171,設定値!$B$55:$N$85,9,FALSE)&amp;"","")</f>
        <v/>
      </c>
      <c r="X171" s="19"/>
      <c r="Y171" s="19" t="str">
        <f>IFERROR(VLOOKUP($D171&amp;$C171,設定値!$B$55:$N$85,10,FALSE)&amp;"","")</f>
        <v/>
      </c>
      <c r="Z171" s="19"/>
      <c r="AA171" s="19" t="str">
        <f>IFERROR(VLOOKUP($D171&amp;$C171,設定値!$B$55:$N$85,11,FALSE)&amp;"","")</f>
        <v/>
      </c>
      <c r="AB171" s="19"/>
      <c r="AC171" s="19" t="str">
        <f>IFERROR(VLOOKUP($D171&amp;$C171,設定値!$B$55:$N$85,12,FALSE)&amp;"","")</f>
        <v/>
      </c>
      <c r="AD171" s="19"/>
      <c r="AE171" s="19" t="str">
        <f>IFERROR(VLOOKUP($D171&amp;$C171,設定値!$B$55:$N$85,13,FALSE)&amp;"","")</f>
        <v/>
      </c>
      <c r="AF171" s="19"/>
    </row>
    <row r="172" spans="1:32" ht="15">
      <c r="A172" s="27" t="s">
        <v>213</v>
      </c>
      <c r="B172" s="7" t="s">
        <v>169</v>
      </c>
      <c r="C172" s="27" t="s">
        <v>221</v>
      </c>
      <c r="D172" s="7" t="s">
        <v>224</v>
      </c>
      <c r="E172" s="7" t="str">
        <f t="shared" si="2"/>
        <v>D10</v>
      </c>
      <c r="F172" s="20" t="s">
        <v>44</v>
      </c>
      <c r="G172" s="19" t="str">
        <f>IFERROR(VLOOKUP(D172&amp;C172,設定値!$B$55:$L$85,3,FALSE),"")</f>
        <v>引受緩和型３大疾病保険料払込免除特約</v>
      </c>
      <c r="H172" s="8" t="s">
        <v>118</v>
      </c>
      <c r="I172" s="8" t="s">
        <v>100</v>
      </c>
      <c r="J172" s="8" t="s">
        <v>171</v>
      </c>
      <c r="K172" s="26"/>
      <c r="L172" s="19"/>
      <c r="M172" s="19" t="str">
        <f>IFERROR(VLOOKUP($D172&amp;$C172,設定値!$B$55:$N$85,4,FALSE)&amp;"","")</f>
        <v>additionType</v>
      </c>
      <c r="N172" s="19" t="s">
        <v>18</v>
      </c>
      <c r="O172" s="19" t="str">
        <f>IFERROR(VLOOKUP($D172&amp;$C172,設定値!$B$55:$N$85,5,FALSE)&amp;"","")</f>
        <v>insurancePeriodClass</v>
      </c>
      <c r="P172" s="19" t="s">
        <v>240</v>
      </c>
      <c r="Q172" s="19" t="str">
        <f>IFERROR(VLOOKUP($D172&amp;$C172,設定値!$B$55:$N$85,6,FALSE)&amp;"","")</f>
        <v>insurancePeriod</v>
      </c>
      <c r="R172" s="19" t="s">
        <v>174</v>
      </c>
      <c r="S172" s="19" t="str">
        <f>IFERROR(VLOOKUP($D172&amp;$C172,設定値!$B$55:$N$85,7,FALSE)&amp;"","")</f>
        <v>paymentPeriodClass</v>
      </c>
      <c r="T172" s="19" t="s">
        <v>240</v>
      </c>
      <c r="U172" s="19" t="str">
        <f>IFERROR(VLOOKUP($D172&amp;$C172,設定値!$B$55:$N$85,8,FALSE)&amp;"","")</f>
        <v>paymentPeriod</v>
      </c>
      <c r="V172" s="19" t="s">
        <v>174</v>
      </c>
      <c r="W172" s="19" t="str">
        <f>IFERROR(VLOOKUP($D172&amp;$C172,設定値!$B$55:$N$85,9,FALSE)&amp;"","")</f>
        <v>freeOfPremiumRiderCls</v>
      </c>
      <c r="X172" s="19" t="s">
        <v>246</v>
      </c>
      <c r="Y172" s="19" t="str">
        <f>IFERROR(VLOOKUP($D172&amp;$C172,設定値!$B$55:$N$85,10,FALSE)&amp;"","")</f>
        <v/>
      </c>
      <c r="Z172" s="19"/>
      <c r="AA172" s="19" t="str">
        <f>IFERROR(VLOOKUP($D172&amp;$C172,設定値!$B$55:$N$85,11,FALSE)&amp;"","")</f>
        <v/>
      </c>
      <c r="AB172" s="19"/>
      <c r="AC172" s="19" t="str">
        <f>IFERROR(VLOOKUP($D172&amp;$C172,設定値!$B$55:$N$85,12,FALSE)&amp;"","")</f>
        <v/>
      </c>
      <c r="AD172" s="19"/>
      <c r="AE172" s="19" t="str">
        <f>IFERROR(VLOOKUP($D172&amp;$C172,設定値!$B$55:$N$85,13,FALSE)&amp;"","")</f>
        <v/>
      </c>
      <c r="AF172" s="19"/>
    </row>
    <row r="173" spans="1:32" ht="15">
      <c r="A173" s="27" t="s">
        <v>18</v>
      </c>
      <c r="B173" s="7" t="s">
        <v>123</v>
      </c>
      <c r="C173" s="27" t="s">
        <v>18</v>
      </c>
      <c r="D173" s="7" t="s">
        <v>226</v>
      </c>
      <c r="E173" s="7" t="str">
        <f t="shared" si="2"/>
        <v>030</v>
      </c>
      <c r="F173" s="20" t="s">
        <v>44</v>
      </c>
      <c r="G173" s="19" t="str">
        <f>IFERROR(VLOOKUP(D173&amp;C173,設定値!$B$55:$L$85,3,FALSE),"")</f>
        <v>定期保険（無解約払戻金型）</v>
      </c>
      <c r="H173" s="8" t="s">
        <v>118</v>
      </c>
      <c r="I173" s="8" t="s">
        <v>100</v>
      </c>
      <c r="J173" s="8" t="s">
        <v>171</v>
      </c>
      <c r="K173" s="26">
        <v>0</v>
      </c>
      <c r="L173" s="19">
        <v>1</v>
      </c>
      <c r="M173" s="19" t="str">
        <f>IFERROR(VLOOKUP($D173&amp;$C173,設定値!$B$55:$N$85,4,FALSE)&amp;"","")</f>
        <v>benefit</v>
      </c>
      <c r="N173" s="19">
        <v>2000000</v>
      </c>
      <c r="O173" s="19" t="str">
        <f>IFERROR(VLOOKUP($D173&amp;$C173,設定値!$B$55:$N$85,5,FALSE)&amp;"","")</f>
        <v>insurancePeriodClass</v>
      </c>
      <c r="P173" s="19" t="s">
        <v>176</v>
      </c>
      <c r="Q173" s="19" t="str">
        <f>IFERROR(VLOOKUP($D173&amp;$C173,設定値!$B$55:$N$85,6,FALSE)&amp;"","")</f>
        <v>insurancePeriod</v>
      </c>
      <c r="R173" s="19" t="s">
        <v>274</v>
      </c>
      <c r="S173" s="19" t="str">
        <f>IFERROR(VLOOKUP($D173&amp;$C173,設定値!$B$55:$N$85,7,FALSE)&amp;"","")</f>
        <v>paymentPeriodClass</v>
      </c>
      <c r="T173" s="19" t="s">
        <v>176</v>
      </c>
      <c r="U173" s="19" t="str">
        <f>IFERROR(VLOOKUP($D173&amp;$C173,設定値!$B$55:$N$85,8,FALSE)&amp;"","")</f>
        <v>paymentPeriod</v>
      </c>
      <c r="V173" s="19" t="s">
        <v>274</v>
      </c>
      <c r="W173" s="19" t="str">
        <f>IFERROR(VLOOKUP($D173&amp;$C173,設定値!$B$55:$N$85,9,FALSE)&amp;"","")</f>
        <v>freeOfPRiderFlg</v>
      </c>
      <c r="X173" s="19" t="s">
        <v>18</v>
      </c>
      <c r="Y173" s="19" t="str">
        <f>IFERROR(VLOOKUP($D173&amp;$C173,設定値!$B$55:$N$85,10,FALSE)&amp;"","")</f>
        <v>freeOfPremiumRiderCls</v>
      </c>
      <c r="Z173" s="19" t="s">
        <v>245</v>
      </c>
      <c r="AA173" s="19" t="str">
        <f>IFERROR(VLOOKUP($D173&amp;$C173,設定値!$B$55:$N$85,11,FALSE)&amp;"","")</f>
        <v/>
      </c>
      <c r="AB173" s="19"/>
      <c r="AC173" s="19" t="str">
        <f>IFERROR(VLOOKUP($D173&amp;$C173,設定値!$B$55:$N$85,12,FALSE)&amp;"","")</f>
        <v/>
      </c>
      <c r="AD173" s="19"/>
      <c r="AE173" s="19" t="str">
        <f>IFERROR(VLOOKUP($D173&amp;$C173,設定値!$B$55:$N$85,13,FALSE)&amp;"","")</f>
        <v/>
      </c>
      <c r="AF173" s="19"/>
    </row>
    <row r="174" spans="1:32" ht="15">
      <c r="A174" s="27" t="s">
        <v>18</v>
      </c>
      <c r="B174" s="7" t="s">
        <v>123</v>
      </c>
      <c r="C174" s="27" t="s">
        <v>211</v>
      </c>
      <c r="D174" s="7" t="s">
        <v>226</v>
      </c>
      <c r="E174" s="7" t="str">
        <f t="shared" si="2"/>
        <v>030</v>
      </c>
      <c r="F174" s="20" t="s">
        <v>44</v>
      </c>
      <c r="G174" s="19" t="str">
        <f>IFERROR(VLOOKUP(D174&amp;C174,設定値!$B$55:$L$85,3,FALSE),"")</f>
        <v>３大疾病保険料払込免除特約</v>
      </c>
      <c r="H174" s="8" t="s">
        <v>118</v>
      </c>
      <c r="I174" s="8" t="s">
        <v>100</v>
      </c>
      <c r="J174" s="8" t="s">
        <v>171</v>
      </c>
      <c r="K174" s="26"/>
      <c r="L174" s="19"/>
      <c r="M174" s="19" t="str">
        <f>IFERROR(VLOOKUP($D174&amp;$C174,設定値!$B$55:$N$85,4,FALSE)&amp;"","")</f>
        <v>additionType</v>
      </c>
      <c r="N174" s="19" t="s">
        <v>18</v>
      </c>
      <c r="O174" s="19" t="str">
        <f>IFERROR(VLOOKUP($D174&amp;$C174,設定値!$B$55:$N$85,5,FALSE)&amp;"","")</f>
        <v>insurancePeriodClass</v>
      </c>
      <c r="P174" s="19" t="s">
        <v>240</v>
      </c>
      <c r="Q174" s="19" t="str">
        <f>IFERROR(VLOOKUP($D174&amp;$C174,設定値!$B$55:$N$85,6,FALSE)&amp;"","")</f>
        <v>insurancePeriod</v>
      </c>
      <c r="R174" s="19" t="s">
        <v>174</v>
      </c>
      <c r="S174" s="19" t="str">
        <f>IFERROR(VLOOKUP($D174&amp;$C174,設定値!$B$55:$N$85,7,FALSE)&amp;"","")</f>
        <v>paymentPeriodClass</v>
      </c>
      <c r="T174" s="19" t="s">
        <v>240</v>
      </c>
      <c r="U174" s="19" t="str">
        <f>IFERROR(VLOOKUP($D174&amp;$C174,設定値!$B$55:$N$85,8,FALSE)&amp;"","")</f>
        <v>paymentPeriod</v>
      </c>
      <c r="V174" s="19" t="s">
        <v>174</v>
      </c>
      <c r="W174" s="19" t="str">
        <f>IFERROR(VLOOKUP($D174&amp;$C174,設定値!$B$55:$N$85,9,FALSE)&amp;"","")</f>
        <v>freeOfPremiumRiderCls</v>
      </c>
      <c r="X174" s="19" t="s">
        <v>245</v>
      </c>
      <c r="Y174" s="19" t="str">
        <f>IFERROR(VLOOKUP($D174&amp;$C174,設定値!$B$55:$N$85,10,FALSE)&amp;"","")</f>
        <v/>
      </c>
      <c r="Z174" s="19"/>
      <c r="AA174" s="19" t="str">
        <f>IFERROR(VLOOKUP($D174&amp;$C174,設定値!$B$55:$N$85,11,FALSE)&amp;"","")</f>
        <v/>
      </c>
      <c r="AB174" s="19"/>
      <c r="AC174" s="19" t="str">
        <f>IFERROR(VLOOKUP($D174&amp;$C174,設定値!$B$55:$N$85,12,FALSE)&amp;"","")</f>
        <v/>
      </c>
      <c r="AD174" s="19"/>
      <c r="AE174" s="19" t="str">
        <f>IFERROR(VLOOKUP($D174&amp;$C174,設定値!$B$55:$N$85,13,FALSE)&amp;"","")</f>
        <v/>
      </c>
      <c r="AF174" s="19"/>
    </row>
    <row r="175" spans="1:32" ht="15">
      <c r="A175" s="27" t="s">
        <v>118</v>
      </c>
      <c r="B175" s="7" t="s">
        <v>123</v>
      </c>
      <c r="C175" s="27" t="s">
        <v>18</v>
      </c>
      <c r="D175" s="7" t="s">
        <v>226</v>
      </c>
      <c r="E175" s="7" t="str">
        <f t="shared" si="2"/>
        <v>030</v>
      </c>
      <c r="F175" s="20" t="s">
        <v>44</v>
      </c>
      <c r="G175" s="19" t="str">
        <f>IFERROR(VLOOKUP(D175&amp;C175,設定値!$B$55:$L$85,3,FALSE),"")</f>
        <v>定期保険（無解約払戻金型）</v>
      </c>
      <c r="H175" s="8" t="s">
        <v>118</v>
      </c>
      <c r="I175" s="8" t="s">
        <v>100</v>
      </c>
      <c r="J175" s="8" t="s">
        <v>171</v>
      </c>
      <c r="K175" s="26"/>
      <c r="L175" s="19">
        <v>0</v>
      </c>
      <c r="M175" s="19" t="str">
        <f>IFERROR(VLOOKUP($D175&amp;$C175,設定値!$B$55:$N$85,4,FALSE)&amp;"","")</f>
        <v>benefit</v>
      </c>
      <c r="N175" s="19">
        <v>2000000</v>
      </c>
      <c r="O175" s="19" t="str">
        <f>IFERROR(VLOOKUP($D175&amp;$C175,設定値!$B$55:$N$85,5,FALSE)&amp;"","")</f>
        <v>insurancePeriodClass</v>
      </c>
      <c r="P175" s="19" t="s">
        <v>176</v>
      </c>
      <c r="Q175" s="19" t="str">
        <f>IFERROR(VLOOKUP($D175&amp;$C175,設定値!$B$55:$N$85,6,FALSE)&amp;"","")</f>
        <v>insurancePeriod</v>
      </c>
      <c r="R175" s="19" t="s">
        <v>274</v>
      </c>
      <c r="S175" s="19" t="str">
        <f>IFERROR(VLOOKUP($D175&amp;$C175,設定値!$B$55:$N$85,7,FALSE)&amp;"","")</f>
        <v>paymentPeriodClass</v>
      </c>
      <c r="T175" s="19" t="s">
        <v>176</v>
      </c>
      <c r="U175" s="19" t="str">
        <f>IFERROR(VLOOKUP($D175&amp;$C175,設定値!$B$55:$N$85,8,FALSE)&amp;"","")</f>
        <v>paymentPeriod</v>
      </c>
      <c r="V175" s="19" t="s">
        <v>274</v>
      </c>
      <c r="W175" s="19" t="str">
        <f>IFERROR(VLOOKUP($D175&amp;$C175,設定値!$B$55:$N$85,9,FALSE)&amp;"","")</f>
        <v>freeOfPRiderFlg</v>
      </c>
      <c r="X175" s="19" t="s">
        <v>18</v>
      </c>
      <c r="Y175" s="19" t="str">
        <f>IFERROR(VLOOKUP($D175&amp;$C175,設定値!$B$55:$N$85,10,FALSE)&amp;"","")</f>
        <v>freeOfPremiumRiderCls</v>
      </c>
      <c r="Z175" s="19" t="s">
        <v>245</v>
      </c>
      <c r="AA175" s="19" t="str">
        <f>IFERROR(VLOOKUP($D175&amp;$C175,設定値!$B$55:$N$85,11,FALSE)&amp;"","")</f>
        <v/>
      </c>
      <c r="AB175" s="19"/>
      <c r="AC175" s="19" t="str">
        <f>IFERROR(VLOOKUP($D175&amp;$C175,設定値!$B$55:$N$85,12,FALSE)&amp;"","")</f>
        <v/>
      </c>
      <c r="AD175" s="19"/>
      <c r="AE175" s="19" t="str">
        <f>IFERROR(VLOOKUP($D175&amp;$C175,設定値!$B$55:$N$85,13,FALSE)&amp;"","")</f>
        <v/>
      </c>
      <c r="AF175" s="19"/>
    </row>
    <row r="176" spans="1:32" ht="15">
      <c r="A176" s="27" t="s">
        <v>118</v>
      </c>
      <c r="B176" s="7" t="s">
        <v>123</v>
      </c>
      <c r="C176" s="27" t="s">
        <v>211</v>
      </c>
      <c r="D176" s="7" t="s">
        <v>226</v>
      </c>
      <c r="E176" s="7" t="str">
        <f t="shared" si="2"/>
        <v>030</v>
      </c>
      <c r="F176" s="20" t="s">
        <v>44</v>
      </c>
      <c r="G176" s="19" t="str">
        <f>IFERROR(VLOOKUP(D176&amp;C176,設定値!$B$55:$L$85,3,FALSE),"")</f>
        <v>３大疾病保険料払込免除特約</v>
      </c>
      <c r="H176" s="8" t="s">
        <v>118</v>
      </c>
      <c r="I176" s="8" t="s">
        <v>100</v>
      </c>
      <c r="J176" s="8" t="s">
        <v>171</v>
      </c>
      <c r="K176" s="26"/>
      <c r="L176" s="19"/>
      <c r="M176" s="19" t="str">
        <f>IFERROR(VLOOKUP($D176&amp;$C176,設定値!$B$55:$N$85,4,FALSE)&amp;"","")</f>
        <v>additionType</v>
      </c>
      <c r="N176" s="19" t="s">
        <v>18</v>
      </c>
      <c r="O176" s="19" t="str">
        <f>IFERROR(VLOOKUP($D176&amp;$C176,設定値!$B$55:$N$85,5,FALSE)&amp;"","")</f>
        <v>insurancePeriodClass</v>
      </c>
      <c r="P176" s="19" t="s">
        <v>240</v>
      </c>
      <c r="Q176" s="19" t="str">
        <f>IFERROR(VLOOKUP($D176&amp;$C176,設定値!$B$55:$N$85,6,FALSE)&amp;"","")</f>
        <v>insurancePeriod</v>
      </c>
      <c r="R176" s="19" t="s">
        <v>174</v>
      </c>
      <c r="S176" s="19" t="str">
        <f>IFERROR(VLOOKUP($D176&amp;$C176,設定値!$B$55:$N$85,7,FALSE)&amp;"","")</f>
        <v>paymentPeriodClass</v>
      </c>
      <c r="T176" s="19" t="s">
        <v>240</v>
      </c>
      <c r="U176" s="19" t="str">
        <f>IFERROR(VLOOKUP($D176&amp;$C176,設定値!$B$55:$N$85,8,FALSE)&amp;"","")</f>
        <v>paymentPeriod</v>
      </c>
      <c r="V176" s="19" t="s">
        <v>174</v>
      </c>
      <c r="W176" s="19" t="str">
        <f>IFERROR(VLOOKUP($D176&amp;$C176,設定値!$B$55:$N$85,9,FALSE)&amp;"","")</f>
        <v>freeOfPremiumRiderCls</v>
      </c>
      <c r="X176" s="19" t="s">
        <v>245</v>
      </c>
      <c r="Y176" s="19" t="str">
        <f>IFERROR(VLOOKUP($D176&amp;$C176,設定値!$B$55:$N$85,10,FALSE)&amp;"","")</f>
        <v/>
      </c>
      <c r="Z176" s="19"/>
      <c r="AA176" s="19" t="str">
        <f>IFERROR(VLOOKUP($D176&amp;$C176,設定値!$B$55:$N$85,11,FALSE)&amp;"","")</f>
        <v/>
      </c>
      <c r="AB176" s="19"/>
      <c r="AC176" s="19" t="str">
        <f>IFERROR(VLOOKUP($D176&amp;$C176,設定値!$B$55:$N$85,12,FALSE)&amp;"","")</f>
        <v/>
      </c>
      <c r="AD176" s="19"/>
      <c r="AE176" s="19" t="str">
        <f>IFERROR(VLOOKUP($D176&amp;$C176,設定値!$B$55:$N$85,13,FALSE)&amp;"","")</f>
        <v/>
      </c>
      <c r="AF176" s="19"/>
    </row>
    <row r="177" spans="1:32" ht="15">
      <c r="A177" s="27" t="s">
        <v>213</v>
      </c>
      <c r="B177" s="7" t="s">
        <v>123</v>
      </c>
      <c r="C177" s="27" t="s">
        <v>18</v>
      </c>
      <c r="D177" s="7" t="s">
        <v>226</v>
      </c>
      <c r="E177" s="7" t="str">
        <f t="shared" si="2"/>
        <v>030</v>
      </c>
      <c r="F177" s="20" t="s">
        <v>44</v>
      </c>
      <c r="G177" s="19" t="str">
        <f>IFERROR(VLOOKUP(D177&amp;C177,設定値!$B$55:$L$85,3,FALSE),"")</f>
        <v>定期保険（無解約払戻金型）</v>
      </c>
      <c r="H177" s="8" t="s">
        <v>118</v>
      </c>
      <c r="I177" s="8" t="s">
        <v>100</v>
      </c>
      <c r="J177" s="8" t="s">
        <v>171</v>
      </c>
      <c r="K177" s="26"/>
      <c r="L177" s="19">
        <v>0</v>
      </c>
      <c r="M177" s="19" t="str">
        <f>IFERROR(VLOOKUP($D177&amp;$C177,設定値!$B$55:$N$85,4,FALSE)&amp;"","")</f>
        <v>benefit</v>
      </c>
      <c r="N177" s="19">
        <v>2000000</v>
      </c>
      <c r="O177" s="19" t="str">
        <f>IFERROR(VLOOKUP($D177&amp;$C177,設定値!$B$55:$N$85,5,FALSE)&amp;"","")</f>
        <v>insurancePeriodClass</v>
      </c>
      <c r="P177" s="19" t="s">
        <v>176</v>
      </c>
      <c r="Q177" s="19" t="str">
        <f>IFERROR(VLOOKUP($D177&amp;$C177,設定値!$B$55:$N$85,6,FALSE)&amp;"","")</f>
        <v>insurancePeriod</v>
      </c>
      <c r="R177" s="19" t="s">
        <v>274</v>
      </c>
      <c r="S177" s="19" t="str">
        <f>IFERROR(VLOOKUP($D177&amp;$C177,設定値!$B$55:$N$85,7,FALSE)&amp;"","")</f>
        <v>paymentPeriodClass</v>
      </c>
      <c r="T177" s="19" t="s">
        <v>176</v>
      </c>
      <c r="U177" s="19" t="str">
        <f>IFERROR(VLOOKUP($D177&amp;$C177,設定値!$B$55:$N$85,8,FALSE)&amp;"","")</f>
        <v>paymentPeriod</v>
      </c>
      <c r="V177" s="19" t="s">
        <v>274</v>
      </c>
      <c r="W177" s="19" t="str">
        <f>IFERROR(VLOOKUP($D177&amp;$C177,設定値!$B$55:$N$85,9,FALSE)&amp;"","")</f>
        <v>freeOfPRiderFlg</v>
      </c>
      <c r="X177" s="19" t="s">
        <v>18</v>
      </c>
      <c r="Y177" s="19" t="str">
        <f>IFERROR(VLOOKUP($D177&amp;$C177,設定値!$B$55:$N$85,10,FALSE)&amp;"","")</f>
        <v>freeOfPremiumRiderCls</v>
      </c>
      <c r="Z177" s="19" t="s">
        <v>245</v>
      </c>
      <c r="AA177" s="19" t="str">
        <f>IFERROR(VLOOKUP($D177&amp;$C177,設定値!$B$55:$N$85,11,FALSE)&amp;"","")</f>
        <v/>
      </c>
      <c r="AB177" s="19"/>
      <c r="AC177" s="19" t="str">
        <f>IFERROR(VLOOKUP($D177&amp;$C177,設定値!$B$55:$N$85,12,FALSE)&amp;"","")</f>
        <v/>
      </c>
      <c r="AD177" s="19"/>
      <c r="AE177" s="19" t="str">
        <f>IFERROR(VLOOKUP($D177&amp;$C177,設定値!$B$55:$N$85,13,FALSE)&amp;"","")</f>
        <v/>
      </c>
      <c r="AF177" s="19"/>
    </row>
    <row r="178" spans="1:32" ht="15">
      <c r="A178" s="27" t="s">
        <v>213</v>
      </c>
      <c r="B178" s="7" t="s">
        <v>123</v>
      </c>
      <c r="C178" s="27" t="s">
        <v>211</v>
      </c>
      <c r="D178" s="7" t="s">
        <v>226</v>
      </c>
      <c r="E178" s="7" t="str">
        <f t="shared" si="2"/>
        <v>030</v>
      </c>
      <c r="F178" s="20" t="s">
        <v>44</v>
      </c>
      <c r="G178" s="19" t="str">
        <f>IFERROR(VLOOKUP(D178&amp;C178,設定値!$B$55:$L$85,3,FALSE),"")</f>
        <v>３大疾病保険料払込免除特約</v>
      </c>
      <c r="H178" s="8" t="s">
        <v>118</v>
      </c>
      <c r="I178" s="8" t="s">
        <v>100</v>
      </c>
      <c r="J178" s="8" t="s">
        <v>171</v>
      </c>
      <c r="K178" s="26"/>
      <c r="L178" s="19"/>
      <c r="M178" s="19" t="str">
        <f>IFERROR(VLOOKUP($D178&amp;$C178,設定値!$B$55:$N$85,4,FALSE)&amp;"","")</f>
        <v>additionType</v>
      </c>
      <c r="N178" s="19" t="s">
        <v>18</v>
      </c>
      <c r="O178" s="19" t="str">
        <f>IFERROR(VLOOKUP($D178&amp;$C178,設定値!$B$55:$N$85,5,FALSE)&amp;"","")</f>
        <v>insurancePeriodClass</v>
      </c>
      <c r="P178" s="19" t="s">
        <v>240</v>
      </c>
      <c r="Q178" s="19" t="str">
        <f>IFERROR(VLOOKUP($D178&amp;$C178,設定値!$B$55:$N$85,6,FALSE)&amp;"","")</f>
        <v>insurancePeriod</v>
      </c>
      <c r="R178" s="19" t="s">
        <v>174</v>
      </c>
      <c r="S178" s="19" t="str">
        <f>IFERROR(VLOOKUP($D178&amp;$C178,設定値!$B$55:$N$85,7,FALSE)&amp;"","")</f>
        <v>paymentPeriodClass</v>
      </c>
      <c r="T178" s="19" t="s">
        <v>240</v>
      </c>
      <c r="U178" s="19" t="str">
        <f>IFERROR(VLOOKUP($D178&amp;$C178,設定値!$B$55:$N$85,8,FALSE)&amp;"","")</f>
        <v>paymentPeriod</v>
      </c>
      <c r="V178" s="19" t="s">
        <v>174</v>
      </c>
      <c r="W178" s="19" t="str">
        <f>IFERROR(VLOOKUP($D178&amp;$C178,設定値!$B$55:$N$85,9,FALSE)&amp;"","")</f>
        <v>freeOfPremiumRiderCls</v>
      </c>
      <c r="X178" s="19" t="s">
        <v>245</v>
      </c>
      <c r="Y178" s="19" t="str">
        <f>IFERROR(VLOOKUP($D178&amp;$C178,設定値!$B$55:$N$85,10,FALSE)&amp;"","")</f>
        <v/>
      </c>
      <c r="Z178" s="19"/>
      <c r="AA178" s="19" t="str">
        <f>IFERROR(VLOOKUP($D178&amp;$C178,設定値!$B$55:$N$85,11,FALSE)&amp;"","")</f>
        <v/>
      </c>
      <c r="AB178" s="19"/>
      <c r="AC178" s="19" t="str">
        <f>IFERROR(VLOOKUP($D178&amp;$C178,設定値!$B$55:$N$85,12,FALSE)&amp;"","")</f>
        <v/>
      </c>
      <c r="AD178" s="19"/>
      <c r="AE178" s="19" t="str">
        <f>IFERROR(VLOOKUP($D178&amp;$C178,設定値!$B$55:$N$85,13,FALSE)&amp;"","")</f>
        <v/>
      </c>
      <c r="AF178" s="19"/>
    </row>
    <row r="1047345" spans="1:2">
      <c r="A1047345" s="7"/>
      <c r="B1047345" s="10"/>
    </row>
    <row r="1048363" spans="16:16" ht="15">
      <c r="P1048363" s="8"/>
    </row>
  </sheetData>
  <dataConsolidate/>
  <phoneticPr fontId="10"/>
  <conditionalFormatting sqref="K2:K10 K29:K33 K80:K81 K44:K46 K57:K62 K48:K54 K65:K69">
    <cfRule type="expression" dxfId="213" priority="424">
      <formula>OR($A2&lt;&gt;"1",$C2&lt;&gt;"1")</formula>
    </cfRule>
  </conditionalFormatting>
  <conditionalFormatting sqref="L3">
    <cfRule type="expression" dxfId="212" priority="370">
      <formula>$C3="0"</formula>
    </cfRule>
  </conditionalFormatting>
  <conditionalFormatting sqref="L2">
    <cfRule type="expression" dxfId="211" priority="368">
      <formula>$C2="0"</formula>
    </cfRule>
  </conditionalFormatting>
  <conditionalFormatting sqref="L4">
    <cfRule type="expression" dxfId="210" priority="366">
      <formula>$C4="0"</formula>
    </cfRule>
  </conditionalFormatting>
  <conditionalFormatting sqref="L5">
    <cfRule type="expression" dxfId="209" priority="365">
      <formula>$C5="0"</formula>
    </cfRule>
  </conditionalFormatting>
  <conditionalFormatting sqref="L6">
    <cfRule type="expression" dxfId="208" priority="364">
      <formula>$C6="0"</formula>
    </cfRule>
  </conditionalFormatting>
  <conditionalFormatting sqref="L7">
    <cfRule type="expression" dxfId="207" priority="363">
      <formula>$C7="0"</formula>
    </cfRule>
  </conditionalFormatting>
  <conditionalFormatting sqref="L8">
    <cfRule type="expression" dxfId="206" priority="362">
      <formula>$C8="0"</formula>
    </cfRule>
  </conditionalFormatting>
  <conditionalFormatting sqref="L9">
    <cfRule type="expression" dxfId="205" priority="360">
      <formula>$C9="0"</formula>
    </cfRule>
  </conditionalFormatting>
  <conditionalFormatting sqref="L10">
    <cfRule type="expression" dxfId="204" priority="359">
      <formula>$C10="0"</formula>
    </cfRule>
  </conditionalFormatting>
  <conditionalFormatting sqref="K11:K19">
    <cfRule type="expression" dxfId="203" priority="314">
      <formula>OR($A11&lt;&gt;"1",$C11&lt;&gt;"1")</formula>
    </cfRule>
  </conditionalFormatting>
  <conditionalFormatting sqref="L12">
    <cfRule type="expression" dxfId="202" priority="313">
      <formula>$C12="0"</formula>
    </cfRule>
  </conditionalFormatting>
  <conditionalFormatting sqref="L11">
    <cfRule type="expression" dxfId="201" priority="312">
      <formula>$C11="0"</formula>
    </cfRule>
  </conditionalFormatting>
  <conditionalFormatting sqref="L13">
    <cfRule type="expression" dxfId="200" priority="311">
      <formula>$C13="0"</formula>
    </cfRule>
  </conditionalFormatting>
  <conditionalFormatting sqref="L14">
    <cfRule type="expression" dxfId="199" priority="310">
      <formula>$C14="0"</formula>
    </cfRule>
  </conditionalFormatting>
  <conditionalFormatting sqref="L15">
    <cfRule type="expression" dxfId="198" priority="309">
      <formula>$C15="0"</formula>
    </cfRule>
  </conditionalFormatting>
  <conditionalFormatting sqref="L16">
    <cfRule type="expression" dxfId="197" priority="308">
      <formula>$C16="0"</formula>
    </cfRule>
  </conditionalFormatting>
  <conditionalFormatting sqref="L17">
    <cfRule type="expression" dxfId="196" priority="307">
      <formula>$C17="0"</formula>
    </cfRule>
  </conditionalFormatting>
  <conditionalFormatting sqref="L18">
    <cfRule type="expression" dxfId="195" priority="306">
      <formula>$C18="0"</formula>
    </cfRule>
  </conditionalFormatting>
  <conditionalFormatting sqref="L19">
    <cfRule type="expression" dxfId="194" priority="305">
      <formula>$C19="0"</formula>
    </cfRule>
  </conditionalFormatting>
  <conditionalFormatting sqref="K20:K28">
    <cfRule type="expression" dxfId="193" priority="304">
      <formula>OR($A20&lt;&gt;"1",$C20&lt;&gt;"1")</formula>
    </cfRule>
  </conditionalFormatting>
  <conditionalFormatting sqref="L21">
    <cfRule type="expression" dxfId="192" priority="303">
      <formula>$C21="0"</formula>
    </cfRule>
  </conditionalFormatting>
  <conditionalFormatting sqref="L20">
    <cfRule type="expression" dxfId="191" priority="302">
      <formula>$C20="0"</formula>
    </cfRule>
  </conditionalFormatting>
  <conditionalFormatting sqref="L22">
    <cfRule type="expression" dxfId="190" priority="301">
      <formula>$C22="0"</formula>
    </cfRule>
  </conditionalFormatting>
  <conditionalFormatting sqref="L23">
    <cfRule type="expression" dxfId="189" priority="300">
      <formula>$C23="0"</formula>
    </cfRule>
  </conditionalFormatting>
  <conditionalFormatting sqref="L24">
    <cfRule type="expression" dxfId="188" priority="299">
      <formula>$C24="0"</formula>
    </cfRule>
  </conditionalFormatting>
  <conditionalFormatting sqref="L25">
    <cfRule type="expression" dxfId="187" priority="298">
      <formula>$C25="0"</formula>
    </cfRule>
  </conditionalFormatting>
  <conditionalFormatting sqref="L26">
    <cfRule type="expression" dxfId="186" priority="297">
      <formula>$C26="0"</formula>
    </cfRule>
  </conditionalFormatting>
  <conditionalFormatting sqref="L27">
    <cfRule type="expression" dxfId="185" priority="296">
      <formula>$C27="0"</formula>
    </cfRule>
  </conditionalFormatting>
  <conditionalFormatting sqref="L28">
    <cfRule type="expression" dxfId="184" priority="295">
      <formula>$C28="0"</formula>
    </cfRule>
  </conditionalFormatting>
  <conditionalFormatting sqref="L30">
    <cfRule type="expression" dxfId="183" priority="231">
      <formula>$C30="0"</formula>
    </cfRule>
  </conditionalFormatting>
  <conditionalFormatting sqref="L29">
    <cfRule type="expression" dxfId="182" priority="230">
      <formula>$C29="0"</formula>
    </cfRule>
  </conditionalFormatting>
  <conditionalFormatting sqref="L31">
    <cfRule type="expression" dxfId="181" priority="229">
      <formula>$C31="0"</formula>
    </cfRule>
  </conditionalFormatting>
  <conditionalFormatting sqref="L32">
    <cfRule type="expression" dxfId="180" priority="228">
      <formula>$C32="0"</formula>
    </cfRule>
  </conditionalFormatting>
  <conditionalFormatting sqref="L33">
    <cfRule type="expression" dxfId="179" priority="227">
      <formula>$C33="0"</formula>
    </cfRule>
  </conditionalFormatting>
  <conditionalFormatting sqref="K34:K38">
    <cfRule type="expression" dxfId="178" priority="202">
      <formula>OR($A34&lt;&gt;"1",$C34&lt;&gt;"1")</formula>
    </cfRule>
  </conditionalFormatting>
  <conditionalFormatting sqref="L35">
    <cfRule type="expression" dxfId="177" priority="201">
      <formula>$C35="0"</formula>
    </cfRule>
  </conditionalFormatting>
  <conditionalFormatting sqref="L34">
    <cfRule type="expression" dxfId="176" priority="200">
      <formula>$C34="0"</formula>
    </cfRule>
  </conditionalFormatting>
  <conditionalFormatting sqref="L36">
    <cfRule type="expression" dxfId="175" priority="199">
      <formula>$C36="0"</formula>
    </cfRule>
  </conditionalFormatting>
  <conditionalFormatting sqref="L37">
    <cfRule type="expression" dxfId="174" priority="198">
      <formula>$C37="0"</formula>
    </cfRule>
  </conditionalFormatting>
  <conditionalFormatting sqref="L38">
    <cfRule type="expression" dxfId="173" priority="197">
      <formula>$C38="0"</formula>
    </cfRule>
  </conditionalFormatting>
  <conditionalFormatting sqref="K39:K43">
    <cfRule type="expression" dxfId="172" priority="196">
      <formula>OR($A39&lt;&gt;"1",$C39&lt;&gt;"1")</formula>
    </cfRule>
  </conditionalFormatting>
  <conditionalFormatting sqref="L40">
    <cfRule type="expression" dxfId="171" priority="195">
      <formula>$C40="0"</formula>
    </cfRule>
  </conditionalFormatting>
  <conditionalFormatting sqref="L39">
    <cfRule type="expression" dxfId="170" priority="194">
      <formula>$C39="0"</formula>
    </cfRule>
  </conditionalFormatting>
  <conditionalFormatting sqref="L41">
    <cfRule type="expression" dxfId="169" priority="193">
      <formula>$C41="0"</formula>
    </cfRule>
  </conditionalFormatting>
  <conditionalFormatting sqref="L42">
    <cfRule type="expression" dxfId="168" priority="192">
      <formula>$C42="0"</formula>
    </cfRule>
  </conditionalFormatting>
  <conditionalFormatting sqref="L43">
    <cfRule type="expression" dxfId="167" priority="191">
      <formula>$C43="0"</formula>
    </cfRule>
  </conditionalFormatting>
  <conditionalFormatting sqref="L45">
    <cfRule type="expression" dxfId="166" priority="189">
      <formula>$C45="0"</formula>
    </cfRule>
  </conditionalFormatting>
  <conditionalFormatting sqref="L44">
    <cfRule type="expression" dxfId="165" priority="188">
      <formula>$C44="0"</formula>
    </cfRule>
  </conditionalFormatting>
  <conditionalFormatting sqref="L46">
    <cfRule type="expression" dxfId="164" priority="185">
      <formula>$C46="0"</formula>
    </cfRule>
  </conditionalFormatting>
  <conditionalFormatting sqref="L49">
    <cfRule type="expression" dxfId="163" priority="183">
      <formula>$C49="0"</formula>
    </cfRule>
  </conditionalFormatting>
  <conditionalFormatting sqref="L48">
    <cfRule type="expression" dxfId="162" priority="182">
      <formula>$C48="0"</formula>
    </cfRule>
  </conditionalFormatting>
  <conditionalFormatting sqref="L50">
    <cfRule type="expression" dxfId="161" priority="181">
      <formula>$C50="0"</formula>
    </cfRule>
  </conditionalFormatting>
  <conditionalFormatting sqref="L51">
    <cfRule type="expression" dxfId="160" priority="171">
      <formula>$C51="0"</formula>
    </cfRule>
  </conditionalFormatting>
  <conditionalFormatting sqref="L52">
    <cfRule type="expression" dxfId="159" priority="169">
      <formula>$C52="0"</formula>
    </cfRule>
  </conditionalFormatting>
  <conditionalFormatting sqref="L54">
    <cfRule type="expression" dxfId="158" priority="168">
      <formula>$C54="0"</formula>
    </cfRule>
  </conditionalFormatting>
  <conditionalFormatting sqref="L53">
    <cfRule type="expression" dxfId="157" priority="167">
      <formula>$C53="0"</formula>
    </cfRule>
  </conditionalFormatting>
  <conditionalFormatting sqref="L57">
    <cfRule type="expression" dxfId="156" priority="166">
      <formula>$C57="0"</formula>
    </cfRule>
  </conditionalFormatting>
  <conditionalFormatting sqref="L58">
    <cfRule type="expression" dxfId="155" priority="164">
      <formula>$C58="0"</formula>
    </cfRule>
  </conditionalFormatting>
  <conditionalFormatting sqref="L59">
    <cfRule type="expression" dxfId="154" priority="162">
      <formula>$C59="0"</formula>
    </cfRule>
  </conditionalFormatting>
  <conditionalFormatting sqref="L61">
    <cfRule type="expression" dxfId="153" priority="161">
      <formula>$C61="0"</formula>
    </cfRule>
  </conditionalFormatting>
  <conditionalFormatting sqref="L60">
    <cfRule type="expression" dxfId="152" priority="160">
      <formula>$C60="0"</formula>
    </cfRule>
  </conditionalFormatting>
  <conditionalFormatting sqref="L62">
    <cfRule type="expression" dxfId="151" priority="159">
      <formula>$C62="0"</formula>
    </cfRule>
  </conditionalFormatting>
  <conditionalFormatting sqref="L66">
    <cfRule type="expression" dxfId="150" priority="157">
      <formula>$C66="0"</formula>
    </cfRule>
  </conditionalFormatting>
  <conditionalFormatting sqref="L65">
    <cfRule type="expression" dxfId="149" priority="156">
      <formula>$C65="0"</formula>
    </cfRule>
  </conditionalFormatting>
  <conditionalFormatting sqref="L67">
    <cfRule type="expression" dxfId="148" priority="155">
      <formula>$C67="0"</formula>
    </cfRule>
  </conditionalFormatting>
  <conditionalFormatting sqref="L68">
    <cfRule type="expression" dxfId="147" priority="154">
      <formula>$C68="0"</formula>
    </cfRule>
  </conditionalFormatting>
  <conditionalFormatting sqref="L69">
    <cfRule type="expression" dxfId="146" priority="152">
      <formula>$C69="0"</formula>
    </cfRule>
  </conditionalFormatting>
  <conditionalFormatting sqref="K70:K74">
    <cfRule type="expression" dxfId="145" priority="150">
      <formula>OR($A70&lt;&gt;"1",$C70&lt;&gt;"1")</formula>
    </cfRule>
  </conditionalFormatting>
  <conditionalFormatting sqref="L71">
    <cfRule type="expression" dxfId="144" priority="149">
      <formula>$C71="0"</formula>
    </cfRule>
  </conditionalFormatting>
  <conditionalFormatting sqref="L70">
    <cfRule type="expression" dxfId="143" priority="148">
      <formula>$C70="0"</formula>
    </cfRule>
  </conditionalFormatting>
  <conditionalFormatting sqref="L72">
    <cfRule type="expression" dxfId="142" priority="147">
      <formula>$C72="0"</formula>
    </cfRule>
  </conditionalFormatting>
  <conditionalFormatting sqref="L73">
    <cfRule type="expression" dxfId="141" priority="146">
      <formula>$C73="0"</formula>
    </cfRule>
  </conditionalFormatting>
  <conditionalFormatting sqref="L74">
    <cfRule type="expression" dxfId="140" priority="145">
      <formula>$C74="0"</formula>
    </cfRule>
  </conditionalFormatting>
  <conditionalFormatting sqref="K75:K79">
    <cfRule type="expression" dxfId="139" priority="144">
      <formula>OR($A75&lt;&gt;"1",$C75&lt;&gt;"1")</formula>
    </cfRule>
  </conditionalFormatting>
  <conditionalFormatting sqref="L76">
    <cfRule type="expression" dxfId="138" priority="143">
      <formula>$C76="0"</formula>
    </cfRule>
  </conditionalFormatting>
  <conditionalFormatting sqref="L75">
    <cfRule type="expression" dxfId="137" priority="142">
      <formula>$C75="0"</formula>
    </cfRule>
  </conditionalFormatting>
  <conditionalFormatting sqref="L77">
    <cfRule type="expression" dxfId="136" priority="141">
      <formula>$C77="0"</formula>
    </cfRule>
  </conditionalFormatting>
  <conditionalFormatting sqref="L78">
    <cfRule type="expression" dxfId="135" priority="140">
      <formula>$C78="0"</formula>
    </cfRule>
  </conditionalFormatting>
  <conditionalFormatting sqref="L79">
    <cfRule type="expression" dxfId="134" priority="139">
      <formula>$C79="0"</formula>
    </cfRule>
  </conditionalFormatting>
  <conditionalFormatting sqref="L81">
    <cfRule type="expression" dxfId="133" priority="137">
      <formula>$C81="0"</formula>
    </cfRule>
  </conditionalFormatting>
  <conditionalFormatting sqref="L80">
    <cfRule type="expression" dxfId="132" priority="136">
      <formula>$C80="0"</formula>
    </cfRule>
  </conditionalFormatting>
  <conditionalFormatting sqref="K82:K83">
    <cfRule type="expression" dxfId="131" priority="132">
      <formula>OR($A82&lt;&gt;"1",$C82&lt;&gt;"1")</formula>
    </cfRule>
  </conditionalFormatting>
  <conditionalFormatting sqref="L83">
    <cfRule type="expression" dxfId="130" priority="131">
      <formula>$C83="0"</formula>
    </cfRule>
  </conditionalFormatting>
  <conditionalFormatting sqref="L82">
    <cfRule type="expression" dxfId="129" priority="130">
      <formula>$C82="0"</formula>
    </cfRule>
  </conditionalFormatting>
  <conditionalFormatting sqref="K84:K85">
    <cfRule type="expression" dxfId="128" priority="129">
      <formula>OR($A84&lt;&gt;"1",$C84&lt;&gt;"1")</formula>
    </cfRule>
  </conditionalFormatting>
  <conditionalFormatting sqref="L85">
    <cfRule type="expression" dxfId="127" priority="128">
      <formula>$C85="0"</formula>
    </cfRule>
  </conditionalFormatting>
  <conditionalFormatting sqref="L84">
    <cfRule type="expression" dxfId="126" priority="127">
      <formula>$C84="0"</formula>
    </cfRule>
  </conditionalFormatting>
  <conditionalFormatting sqref="K56">
    <cfRule type="expression" dxfId="125" priority="126">
      <formula>OR($A56&lt;&gt;"1",$C56&lt;&gt;"1")</formula>
    </cfRule>
  </conditionalFormatting>
  <conditionalFormatting sqref="L56">
    <cfRule type="expression" dxfId="124" priority="125">
      <formula>$C56="0"</formula>
    </cfRule>
  </conditionalFormatting>
  <conditionalFormatting sqref="K47">
    <cfRule type="expression" dxfId="123" priority="124">
      <formula>OR($A47&lt;&gt;"1",$C47&lt;&gt;"1")</formula>
    </cfRule>
  </conditionalFormatting>
  <conditionalFormatting sqref="L47">
    <cfRule type="expression" dxfId="122" priority="123">
      <formula>$C47="0"</formula>
    </cfRule>
  </conditionalFormatting>
  <conditionalFormatting sqref="K55">
    <cfRule type="expression" dxfId="121" priority="122">
      <formula>OR($A55&lt;&gt;"1",$C55&lt;&gt;"1")</formula>
    </cfRule>
  </conditionalFormatting>
  <conditionalFormatting sqref="L55">
    <cfRule type="expression" dxfId="120" priority="121">
      <formula>$C55="0"</formula>
    </cfRule>
  </conditionalFormatting>
  <conditionalFormatting sqref="K64">
    <cfRule type="expression" dxfId="119" priority="120">
      <formula>OR($A64&lt;&gt;"1",$C64&lt;&gt;"1")</formula>
    </cfRule>
  </conditionalFormatting>
  <conditionalFormatting sqref="L64">
    <cfRule type="expression" dxfId="118" priority="119">
      <formula>$C64="0"</formula>
    </cfRule>
  </conditionalFormatting>
  <conditionalFormatting sqref="K63">
    <cfRule type="expression" dxfId="117" priority="118">
      <formula>OR($A63&lt;&gt;"1",$C63&lt;&gt;"1")</formula>
    </cfRule>
  </conditionalFormatting>
  <conditionalFormatting sqref="L63">
    <cfRule type="expression" dxfId="116" priority="117">
      <formula>$C63="0"</formula>
    </cfRule>
  </conditionalFormatting>
  <conditionalFormatting sqref="K86:K87 K119:K123 K173:K174 K134:K135 K149:K151 K139:K143 K158:K162 K89:K93 K95:K96 K137 K145:K146 K153:K155">
    <cfRule type="expression" dxfId="115" priority="116">
      <formula>OR($A86&lt;&gt;"1",$C86&lt;&gt;"1")</formula>
    </cfRule>
  </conditionalFormatting>
  <conditionalFormatting sqref="L87">
    <cfRule type="expression" dxfId="114" priority="115">
      <formula>$C87="0"</formula>
    </cfRule>
  </conditionalFormatting>
  <conditionalFormatting sqref="L86">
    <cfRule type="expression" dxfId="113" priority="114">
      <formula>$C86="0"</formula>
    </cfRule>
  </conditionalFormatting>
  <conditionalFormatting sqref="L89">
    <cfRule type="expression" dxfId="112" priority="113">
      <formula>$C89="0"</formula>
    </cfRule>
  </conditionalFormatting>
  <conditionalFormatting sqref="L90">
    <cfRule type="expression" dxfId="111" priority="112">
      <formula>$C90="0"</formula>
    </cfRule>
  </conditionalFormatting>
  <conditionalFormatting sqref="L91">
    <cfRule type="expression" dxfId="110" priority="111">
      <formula>$C91="0"</formula>
    </cfRule>
  </conditionalFormatting>
  <conditionalFormatting sqref="L92">
    <cfRule type="expression" dxfId="109" priority="110">
      <formula>$C92="0"</formula>
    </cfRule>
  </conditionalFormatting>
  <conditionalFormatting sqref="L93">
    <cfRule type="expression" dxfId="108" priority="109">
      <formula>$C93="0"</formula>
    </cfRule>
  </conditionalFormatting>
  <conditionalFormatting sqref="L95">
    <cfRule type="expression" dxfId="107" priority="108">
      <formula>$C95="0"</formula>
    </cfRule>
  </conditionalFormatting>
  <conditionalFormatting sqref="L96">
    <cfRule type="expression" dxfId="106" priority="107">
      <formula>$C96="0"</formula>
    </cfRule>
  </conditionalFormatting>
  <conditionalFormatting sqref="K97:K98 K100:K104 K106:K107">
    <cfRule type="expression" dxfId="105" priority="106">
      <formula>OR($A97&lt;&gt;"1",$C97&lt;&gt;"1")</formula>
    </cfRule>
  </conditionalFormatting>
  <conditionalFormatting sqref="L98">
    <cfRule type="expression" dxfId="104" priority="105">
      <formula>$C98="0"</formula>
    </cfRule>
  </conditionalFormatting>
  <conditionalFormatting sqref="L97">
    <cfRule type="expression" dxfId="103" priority="104">
      <formula>$C97="0"</formula>
    </cfRule>
  </conditionalFormatting>
  <conditionalFormatting sqref="L100">
    <cfRule type="expression" dxfId="102" priority="103">
      <formula>$C100="0"</formula>
    </cfRule>
  </conditionalFormatting>
  <conditionalFormatting sqref="L101">
    <cfRule type="expression" dxfId="101" priority="102">
      <formula>$C101="0"</formula>
    </cfRule>
  </conditionalFormatting>
  <conditionalFormatting sqref="L102">
    <cfRule type="expression" dxfId="100" priority="101">
      <formula>$C102="0"</formula>
    </cfRule>
  </conditionalFormatting>
  <conditionalFormatting sqref="L103">
    <cfRule type="expression" dxfId="99" priority="100">
      <formula>$C103="0"</formula>
    </cfRule>
  </conditionalFormatting>
  <conditionalFormatting sqref="L104">
    <cfRule type="expression" dxfId="98" priority="99">
      <formula>$C104="0"</formula>
    </cfRule>
  </conditionalFormatting>
  <conditionalFormatting sqref="L106">
    <cfRule type="expression" dxfId="97" priority="98">
      <formula>$C106="0"</formula>
    </cfRule>
  </conditionalFormatting>
  <conditionalFormatting sqref="L107">
    <cfRule type="expression" dxfId="96" priority="97">
      <formula>$C107="0"</formula>
    </cfRule>
  </conditionalFormatting>
  <conditionalFormatting sqref="K108:K109 K111:K115 K117:K118">
    <cfRule type="expression" dxfId="95" priority="96">
      <formula>OR($A108&lt;&gt;"1",$C108&lt;&gt;"1")</formula>
    </cfRule>
  </conditionalFormatting>
  <conditionalFormatting sqref="L109">
    <cfRule type="expression" dxfId="94" priority="95">
      <formula>$C109="0"</formula>
    </cfRule>
  </conditionalFormatting>
  <conditionalFormatting sqref="L108">
    <cfRule type="expression" dxfId="93" priority="94">
      <formula>$C108="0"</formula>
    </cfRule>
  </conditionalFormatting>
  <conditionalFormatting sqref="L111">
    <cfRule type="expression" dxfId="92" priority="93">
      <formula>$C111="0"</formula>
    </cfRule>
  </conditionalFormatting>
  <conditionalFormatting sqref="L112">
    <cfRule type="expression" dxfId="91" priority="92">
      <formula>$C112="0"</formula>
    </cfRule>
  </conditionalFormatting>
  <conditionalFormatting sqref="L113">
    <cfRule type="expression" dxfId="90" priority="91">
      <formula>$C113="0"</formula>
    </cfRule>
  </conditionalFormatting>
  <conditionalFormatting sqref="L114">
    <cfRule type="expression" dxfId="89" priority="90">
      <formula>$C114="0"</formula>
    </cfRule>
  </conditionalFormatting>
  <conditionalFormatting sqref="L115">
    <cfRule type="expression" dxfId="88" priority="89">
      <formula>$C115="0"</formula>
    </cfRule>
  </conditionalFormatting>
  <conditionalFormatting sqref="L117">
    <cfRule type="expression" dxfId="87" priority="88">
      <formula>$C117="0"</formula>
    </cfRule>
  </conditionalFormatting>
  <conditionalFormatting sqref="L118">
    <cfRule type="expression" dxfId="86" priority="87">
      <formula>$C118="0"</formula>
    </cfRule>
  </conditionalFormatting>
  <conditionalFormatting sqref="L120">
    <cfRule type="expression" dxfId="85" priority="86">
      <formula>$C120="0"</formula>
    </cfRule>
  </conditionalFormatting>
  <conditionalFormatting sqref="L119">
    <cfRule type="expression" dxfId="84" priority="85">
      <formula>$C119="0"</formula>
    </cfRule>
  </conditionalFormatting>
  <conditionalFormatting sqref="L121">
    <cfRule type="expression" dxfId="83" priority="84">
      <formula>$C121="0"</formula>
    </cfRule>
  </conditionalFormatting>
  <conditionalFormatting sqref="L122">
    <cfRule type="expression" dxfId="82" priority="83">
      <formula>$C122="0"</formula>
    </cfRule>
  </conditionalFormatting>
  <conditionalFormatting sqref="L123">
    <cfRule type="expression" dxfId="81" priority="82">
      <formula>$C123="0"</formula>
    </cfRule>
  </conditionalFormatting>
  <conditionalFormatting sqref="K124:K128">
    <cfRule type="expression" dxfId="80" priority="81">
      <formula>OR($A124&lt;&gt;"1",$C124&lt;&gt;"1")</formula>
    </cfRule>
  </conditionalFormatting>
  <conditionalFormatting sqref="L125">
    <cfRule type="expression" dxfId="79" priority="80">
      <formula>$C125="0"</formula>
    </cfRule>
  </conditionalFormatting>
  <conditionalFormatting sqref="L124">
    <cfRule type="expression" dxfId="78" priority="79">
      <formula>$C124="0"</formula>
    </cfRule>
  </conditionalFormatting>
  <conditionalFormatting sqref="L126">
    <cfRule type="expression" dxfId="77" priority="78">
      <formula>$C126="0"</formula>
    </cfRule>
  </conditionalFormatting>
  <conditionalFormatting sqref="L127">
    <cfRule type="expression" dxfId="76" priority="77">
      <formula>$C127="0"</formula>
    </cfRule>
  </conditionalFormatting>
  <conditionalFormatting sqref="L128">
    <cfRule type="expression" dxfId="75" priority="76">
      <formula>$C128="0"</formula>
    </cfRule>
  </conditionalFormatting>
  <conditionalFormatting sqref="K129:K133">
    <cfRule type="expression" dxfId="74" priority="75">
      <formula>OR($A129&lt;&gt;"1",$C129&lt;&gt;"1")</formula>
    </cfRule>
  </conditionalFormatting>
  <conditionalFormatting sqref="L130">
    <cfRule type="expression" dxfId="73" priority="74">
      <formula>$C130="0"</formula>
    </cfRule>
  </conditionalFormatting>
  <conditionalFormatting sqref="L129">
    <cfRule type="expression" dxfId="72" priority="73">
      <formula>$C129="0"</formula>
    </cfRule>
  </conditionalFormatting>
  <conditionalFormatting sqref="L131">
    <cfRule type="expression" dxfId="71" priority="72">
      <formula>$C131="0"</formula>
    </cfRule>
  </conditionalFormatting>
  <conditionalFormatting sqref="L132">
    <cfRule type="expression" dxfId="70" priority="71">
      <formula>$C132="0"</formula>
    </cfRule>
  </conditionalFormatting>
  <conditionalFormatting sqref="L133">
    <cfRule type="expression" dxfId="69" priority="70">
      <formula>$C133="0"</formula>
    </cfRule>
  </conditionalFormatting>
  <conditionalFormatting sqref="L135">
    <cfRule type="expression" dxfId="68" priority="69">
      <formula>$C135="0"</formula>
    </cfRule>
  </conditionalFormatting>
  <conditionalFormatting sqref="L134">
    <cfRule type="expression" dxfId="67" priority="68">
      <formula>$C134="0"</formula>
    </cfRule>
  </conditionalFormatting>
  <conditionalFormatting sqref="L137">
    <cfRule type="expression" dxfId="66" priority="67">
      <formula>$C137="0"</formula>
    </cfRule>
  </conditionalFormatting>
  <conditionalFormatting sqref="L140">
    <cfRule type="expression" dxfId="65" priority="66">
      <formula>$C140="0"</formula>
    </cfRule>
  </conditionalFormatting>
  <conditionalFormatting sqref="L139">
    <cfRule type="expression" dxfId="64" priority="65">
      <formula>$C139="0"</formula>
    </cfRule>
  </conditionalFormatting>
  <conditionalFormatting sqref="L141">
    <cfRule type="expression" dxfId="63" priority="64">
      <formula>$C141="0"</formula>
    </cfRule>
  </conditionalFormatting>
  <conditionalFormatting sqref="L142">
    <cfRule type="expression" dxfId="62" priority="63">
      <formula>$C142="0"</formula>
    </cfRule>
  </conditionalFormatting>
  <conditionalFormatting sqref="L143">
    <cfRule type="expression" dxfId="61" priority="62">
      <formula>$C143="0"</formula>
    </cfRule>
  </conditionalFormatting>
  <conditionalFormatting sqref="L146">
    <cfRule type="expression" dxfId="60" priority="61">
      <formula>$C146="0"</formula>
    </cfRule>
  </conditionalFormatting>
  <conditionalFormatting sqref="L145">
    <cfRule type="expression" dxfId="59" priority="60">
      <formula>$C145="0"</formula>
    </cfRule>
  </conditionalFormatting>
  <conditionalFormatting sqref="L149">
    <cfRule type="expression" dxfId="58" priority="59">
      <formula>$C149="0"</formula>
    </cfRule>
  </conditionalFormatting>
  <conditionalFormatting sqref="L150">
    <cfRule type="expression" dxfId="57" priority="58">
      <formula>$C150="0"</formula>
    </cfRule>
  </conditionalFormatting>
  <conditionalFormatting sqref="L151">
    <cfRule type="expression" dxfId="56" priority="57">
      <formula>$C151="0"</formula>
    </cfRule>
  </conditionalFormatting>
  <conditionalFormatting sqref="L154">
    <cfRule type="expression" dxfId="55" priority="56">
      <formula>$C154="0"</formula>
    </cfRule>
  </conditionalFormatting>
  <conditionalFormatting sqref="L153">
    <cfRule type="expression" dxfId="54" priority="55">
      <formula>$C153="0"</formula>
    </cfRule>
  </conditionalFormatting>
  <conditionalFormatting sqref="L155">
    <cfRule type="expression" dxfId="53" priority="54">
      <formula>$C155="0"</formula>
    </cfRule>
  </conditionalFormatting>
  <conditionalFormatting sqref="L159">
    <cfRule type="expression" dxfId="52" priority="53">
      <formula>$C159="0"</formula>
    </cfRule>
  </conditionalFormatting>
  <conditionalFormatting sqref="L158">
    <cfRule type="expression" dxfId="51" priority="52">
      <formula>$C158="0"</formula>
    </cfRule>
  </conditionalFormatting>
  <conditionalFormatting sqref="L160">
    <cfRule type="expression" dxfId="50" priority="51">
      <formula>$C160="0"</formula>
    </cfRule>
  </conditionalFormatting>
  <conditionalFormatting sqref="L161">
    <cfRule type="expression" dxfId="49" priority="50">
      <formula>$C161="0"</formula>
    </cfRule>
  </conditionalFormatting>
  <conditionalFormatting sqref="L162">
    <cfRule type="expression" dxfId="48" priority="49">
      <formula>$C162="0"</formula>
    </cfRule>
  </conditionalFormatting>
  <conditionalFormatting sqref="K163:K167">
    <cfRule type="expression" dxfId="47" priority="48">
      <formula>OR($A163&lt;&gt;"1",$C163&lt;&gt;"1")</formula>
    </cfRule>
  </conditionalFormatting>
  <conditionalFormatting sqref="L164">
    <cfRule type="expression" dxfId="46" priority="47">
      <formula>$C164="0"</formula>
    </cfRule>
  </conditionalFormatting>
  <conditionalFormatting sqref="L163">
    <cfRule type="expression" dxfId="45" priority="46">
      <formula>$C163="0"</formula>
    </cfRule>
  </conditionalFormatting>
  <conditionalFormatting sqref="L165">
    <cfRule type="expression" dxfId="44" priority="45">
      <formula>$C165="0"</formula>
    </cfRule>
  </conditionalFormatting>
  <conditionalFormatting sqref="L166">
    <cfRule type="expression" dxfId="43" priority="44">
      <formula>$C166="0"</formula>
    </cfRule>
  </conditionalFormatting>
  <conditionalFormatting sqref="L167">
    <cfRule type="expression" dxfId="42" priority="43">
      <formula>$C167="0"</formula>
    </cfRule>
  </conditionalFormatting>
  <conditionalFormatting sqref="K168:K172">
    <cfRule type="expression" dxfId="41" priority="42">
      <formula>OR($A168&lt;&gt;"1",$C168&lt;&gt;"1")</formula>
    </cfRule>
  </conditionalFormatting>
  <conditionalFormatting sqref="L169">
    <cfRule type="expression" dxfId="40" priority="41">
      <formula>$C169="0"</formula>
    </cfRule>
  </conditionalFormatting>
  <conditionalFormatting sqref="L168">
    <cfRule type="expression" dxfId="39" priority="40">
      <formula>$C168="0"</formula>
    </cfRule>
  </conditionalFormatting>
  <conditionalFormatting sqref="L170">
    <cfRule type="expression" dxfId="38" priority="39">
      <formula>$C170="0"</formula>
    </cfRule>
  </conditionalFormatting>
  <conditionalFormatting sqref="L171">
    <cfRule type="expression" dxfId="37" priority="38">
      <formula>$C171="0"</formula>
    </cfRule>
  </conditionalFormatting>
  <conditionalFormatting sqref="L172">
    <cfRule type="expression" dxfId="36" priority="37">
      <formula>$C172="0"</formula>
    </cfRule>
  </conditionalFormatting>
  <conditionalFormatting sqref="L174">
    <cfRule type="expression" dxfId="35" priority="36">
      <formula>$C174="0"</formula>
    </cfRule>
  </conditionalFormatting>
  <conditionalFormatting sqref="L173">
    <cfRule type="expression" dxfId="34" priority="35">
      <formula>$C173="0"</formula>
    </cfRule>
  </conditionalFormatting>
  <conditionalFormatting sqref="K175:K176">
    <cfRule type="expression" dxfId="33" priority="34">
      <formula>OR($A175&lt;&gt;"1",$C175&lt;&gt;"1")</formula>
    </cfRule>
  </conditionalFormatting>
  <conditionalFormatting sqref="L176">
    <cfRule type="expression" dxfId="32" priority="33">
      <formula>$C176="0"</formula>
    </cfRule>
  </conditionalFormatting>
  <conditionalFormatting sqref="L175">
    <cfRule type="expression" dxfId="31" priority="32">
      <formula>$C175="0"</formula>
    </cfRule>
  </conditionalFormatting>
  <conditionalFormatting sqref="K177:K178">
    <cfRule type="expression" dxfId="30" priority="31">
      <formula>OR($A177&lt;&gt;"1",$C177&lt;&gt;"1")</formula>
    </cfRule>
  </conditionalFormatting>
  <conditionalFormatting sqref="L178">
    <cfRule type="expression" dxfId="29" priority="30">
      <formula>$C178="0"</formula>
    </cfRule>
  </conditionalFormatting>
  <conditionalFormatting sqref="L177">
    <cfRule type="expression" dxfId="28" priority="29">
      <formula>$C177="0"</formula>
    </cfRule>
  </conditionalFormatting>
  <conditionalFormatting sqref="K148">
    <cfRule type="expression" dxfId="27" priority="28">
      <formula>OR($A148&lt;&gt;"1",$C148&lt;&gt;"1")</formula>
    </cfRule>
  </conditionalFormatting>
  <conditionalFormatting sqref="L148">
    <cfRule type="expression" dxfId="26" priority="27">
      <formula>$C148="0"</formula>
    </cfRule>
  </conditionalFormatting>
  <conditionalFormatting sqref="K138">
    <cfRule type="expression" dxfId="25" priority="26">
      <formula>OR($A138&lt;&gt;"1",$C138&lt;&gt;"1")</formula>
    </cfRule>
  </conditionalFormatting>
  <conditionalFormatting sqref="L138">
    <cfRule type="expression" dxfId="24" priority="25">
      <formula>$C138="0"</formula>
    </cfRule>
  </conditionalFormatting>
  <conditionalFormatting sqref="K147">
    <cfRule type="expression" dxfId="23" priority="24">
      <formula>OR($A147&lt;&gt;"1",$C147&lt;&gt;"1")</formula>
    </cfRule>
  </conditionalFormatting>
  <conditionalFormatting sqref="L147">
    <cfRule type="expression" dxfId="22" priority="23">
      <formula>$C147="0"</formula>
    </cfRule>
  </conditionalFormatting>
  <conditionalFormatting sqref="K157">
    <cfRule type="expression" dxfId="21" priority="22">
      <formula>OR($A157&lt;&gt;"1",$C157&lt;&gt;"1")</formula>
    </cfRule>
  </conditionalFormatting>
  <conditionalFormatting sqref="L157">
    <cfRule type="expression" dxfId="20" priority="21">
      <formula>$C157="0"</formula>
    </cfRule>
  </conditionalFormatting>
  <conditionalFormatting sqref="K156">
    <cfRule type="expression" dxfId="19" priority="20">
      <formula>OR($A156&lt;&gt;"1",$C156&lt;&gt;"1")</formula>
    </cfRule>
  </conditionalFormatting>
  <conditionalFormatting sqref="L156">
    <cfRule type="expression" dxfId="18" priority="19">
      <formula>$C156="0"</formula>
    </cfRule>
  </conditionalFormatting>
  <conditionalFormatting sqref="K88">
    <cfRule type="expression" dxfId="17" priority="18">
      <formula>OR($A88&lt;&gt;"1",$C88&lt;&gt;"1")</formula>
    </cfRule>
  </conditionalFormatting>
  <conditionalFormatting sqref="L88">
    <cfRule type="expression" dxfId="16" priority="17">
      <formula>$C88="0"</formula>
    </cfRule>
  </conditionalFormatting>
  <conditionalFormatting sqref="K94">
    <cfRule type="expression" dxfId="15" priority="16">
      <formula>OR($A94&lt;&gt;"1",$C94&lt;&gt;"1")</formula>
    </cfRule>
  </conditionalFormatting>
  <conditionalFormatting sqref="L94">
    <cfRule type="expression" dxfId="14" priority="15">
      <formula>$C94="0"</formula>
    </cfRule>
  </conditionalFormatting>
  <conditionalFormatting sqref="K99">
    <cfRule type="expression" dxfId="13" priority="14">
      <formula>OR($A99&lt;&gt;"1",$C99&lt;&gt;"1")</formula>
    </cfRule>
  </conditionalFormatting>
  <conditionalFormatting sqref="L99">
    <cfRule type="expression" dxfId="12" priority="13">
      <formula>$C99="0"</formula>
    </cfRule>
  </conditionalFormatting>
  <conditionalFormatting sqref="K105">
    <cfRule type="expression" dxfId="11" priority="12">
      <formula>OR($A105&lt;&gt;"1",$C105&lt;&gt;"1")</formula>
    </cfRule>
  </conditionalFormatting>
  <conditionalFormatting sqref="L105">
    <cfRule type="expression" dxfId="10" priority="11">
      <formula>$C105="0"</formula>
    </cfRule>
  </conditionalFormatting>
  <conditionalFormatting sqref="K110">
    <cfRule type="expression" dxfId="9" priority="10">
      <formula>OR($A110&lt;&gt;"1",$C110&lt;&gt;"1")</formula>
    </cfRule>
  </conditionalFormatting>
  <conditionalFormatting sqref="L110">
    <cfRule type="expression" dxfId="8" priority="9">
      <formula>$C110="0"</formula>
    </cfRule>
  </conditionalFormatting>
  <conditionalFormatting sqref="K116">
    <cfRule type="expression" dxfId="7" priority="8">
      <formula>OR($A116&lt;&gt;"1",$C116&lt;&gt;"1")</formula>
    </cfRule>
  </conditionalFormatting>
  <conditionalFormatting sqref="L116">
    <cfRule type="expression" dxfId="6" priority="7">
      <formula>$C116="0"</formula>
    </cfRule>
  </conditionalFormatting>
  <conditionalFormatting sqref="K136">
    <cfRule type="expression" dxfId="5" priority="6">
      <formula>OR($A136&lt;&gt;"1",$C136&lt;&gt;"1")</formula>
    </cfRule>
  </conditionalFormatting>
  <conditionalFormatting sqref="L136">
    <cfRule type="expression" dxfId="4" priority="5">
      <formula>$C136="0"</formula>
    </cfRule>
  </conditionalFormatting>
  <conditionalFormatting sqref="K144">
    <cfRule type="expression" dxfId="3" priority="4">
      <formula>OR($A144&lt;&gt;"1",$C144&lt;&gt;"1")</formula>
    </cfRule>
  </conditionalFormatting>
  <conditionalFormatting sqref="L144">
    <cfRule type="expression" dxfId="2" priority="3">
      <formula>$C144="0"</formula>
    </cfRule>
  </conditionalFormatting>
  <conditionalFormatting sqref="K152">
    <cfRule type="expression" dxfId="1" priority="2">
      <formula>OR($A152&lt;&gt;"1",$C152&lt;&gt;"1")</formula>
    </cfRule>
  </conditionalFormatting>
  <conditionalFormatting sqref="L152">
    <cfRule type="expression" dxfId="0" priority="1">
      <formula>$C152="0"</formula>
    </cfRule>
  </conditionalFormatting>
  <dataValidations count="7">
    <dataValidation type="list" errorStyle="information" allowBlank="1" showInputMessage="1" sqref="N2:N3 N23:N30 N38:N40 N33:N35 N14:N21 N101:N109 N5:N12 N123:N125 N112:N120 N128:N130 N90:N98 N133:N178 N43:N87" xr:uid="{792C40A2-3047-4C45-B4CA-4E665AD51364}">
      <formula1>INDIRECT(M2)</formula1>
    </dataValidation>
    <dataValidation type="list" errorStyle="information" allowBlank="1" showInputMessage="1" sqref="N4 N126:N127 N13 N31:N32 N22 N36:N37 N88:N89 N131:N132 N99:N100 N41:N42 N121:N122 N110:N111" xr:uid="{F5E39E85-8DBF-3A42-9A6A-C098428B63E5}">
      <formula1>INDIRECT(M5)</formula1>
    </dataValidation>
    <dataValidation type="list" allowBlank="1" showInputMessage="1" showErrorMessage="1" sqref="A2:A178" xr:uid="{02F9A72A-CD46-8949-9F32-486D9721D647}">
      <formula1>"1,2,3"</formula1>
    </dataValidation>
    <dataValidation type="list" allowBlank="1" showInputMessage="1" showErrorMessage="1" sqref="H2:H178" xr:uid="{2F321CD4-420E-9C4B-915B-23AF7DDECF0E}">
      <formula1>"1,2"</formula1>
    </dataValidation>
    <dataValidation type="list" allowBlank="1" showInputMessage="1" showErrorMessage="1" sqref="C2:C178" xr:uid="{8B80F40E-4DE2-6E4C-BBD1-D534AF6BE616}">
      <formula1>"1,0"</formula1>
    </dataValidation>
    <dataValidation type="list" allowBlank="1" showInputMessage="1" showErrorMessage="1" sqref="D2:D178" xr:uid="{4BB52889-9066-064C-9B3D-99DE263CBE81}">
      <formula1>INDIRECT("_"&amp;A2&amp;"_"&amp;B2)</formula1>
    </dataValidation>
    <dataValidation type="list" allowBlank="1" showInputMessage="1" showErrorMessage="1" sqref="X2:X178 Z2:Z178 AB2:AB178 AD2:AD178 AF2:AF178 V2:V178 R2:R178 T2:T178 P2:P178" xr:uid="{342B4072-7D52-8F48-BA4A-C48D106FF225}">
      <formula1>INDIRECT(O2)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82D462-D190-1247-805D-C14EEF59037D}">
          <x14:formula1>
            <xm:f>設定値!#REF!</xm:f>
          </x14:formula1>
          <xm:sqref>B1047345:B1048576</xm:sqref>
        </x14:dataValidation>
        <x14:dataValidation type="list" allowBlank="1" showInputMessage="1" showErrorMessage="1" xr:uid="{097708A8-40B5-0942-8F2F-A4D858DDAB1A}">
          <x14:formula1>
            <xm:f>設定値!$B$2:$F$2</xm:f>
          </x14:formula1>
          <xm:sqref>B2:B178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5472C-1976-6E46-8A4D-2B668CB215B9}">
  <dimension ref="A1:A177"/>
  <sheetViews>
    <sheetView workbookViewId="0">
      <selection sqref="A1:A177"/>
    </sheetView>
  </sheetViews>
  <sheetFormatPr baseColWidth="10" defaultRowHeight="14"/>
  <sheetData>
    <row r="1" spans="1:1">
      <c r="A1" s="7" t="s">
        <v>172</v>
      </c>
    </row>
    <row r="2" spans="1:1">
      <c r="A2" s="7" t="s">
        <v>177</v>
      </c>
    </row>
    <row r="3" spans="1:1">
      <c r="A3" s="7" t="s">
        <v>183</v>
      </c>
    </row>
    <row r="4" spans="1:1">
      <c r="A4" s="7" t="s">
        <v>178</v>
      </c>
    </row>
    <row r="5" spans="1:1">
      <c r="A5" s="7" t="s">
        <v>179</v>
      </c>
    </row>
    <row r="6" spans="1:1">
      <c r="A6" s="7" t="s">
        <v>180</v>
      </c>
    </row>
    <row r="7" spans="1:1">
      <c r="A7" s="7" t="s">
        <v>181</v>
      </c>
    </row>
    <row r="8" spans="1:1">
      <c r="A8" s="7" t="s">
        <v>182</v>
      </c>
    </row>
    <row r="9" spans="1:1">
      <c r="A9" s="7" t="s">
        <v>172</v>
      </c>
    </row>
    <row r="10" spans="1:1">
      <c r="A10" s="7" t="s">
        <v>172</v>
      </c>
    </row>
    <row r="11" spans="1:1">
      <c r="A11" s="7" t="s">
        <v>177</v>
      </c>
    </row>
    <row r="12" spans="1:1">
      <c r="A12" s="7" t="s">
        <v>183</v>
      </c>
    </row>
    <row r="13" spans="1:1">
      <c r="A13" s="7" t="s">
        <v>178</v>
      </c>
    </row>
    <row r="14" spans="1:1">
      <c r="A14" s="7" t="s">
        <v>179</v>
      </c>
    </row>
    <row r="15" spans="1:1">
      <c r="A15" s="7" t="s">
        <v>180</v>
      </c>
    </row>
    <row r="16" spans="1:1">
      <c r="A16" s="7" t="s">
        <v>181</v>
      </c>
    </row>
    <row r="17" spans="1:1">
      <c r="A17" s="7" t="s">
        <v>182</v>
      </c>
    </row>
    <row r="18" spans="1:1">
      <c r="A18" s="7" t="s">
        <v>172</v>
      </c>
    </row>
    <row r="19" spans="1:1">
      <c r="A19" s="7" t="s">
        <v>172</v>
      </c>
    </row>
    <row r="20" spans="1:1">
      <c r="A20" s="7" t="s">
        <v>177</v>
      </c>
    </row>
    <row r="21" spans="1:1">
      <c r="A21" s="7" t="s">
        <v>183</v>
      </c>
    </row>
    <row r="22" spans="1:1">
      <c r="A22" s="7" t="s">
        <v>178</v>
      </c>
    </row>
    <row r="23" spans="1:1">
      <c r="A23" s="7" t="s">
        <v>179</v>
      </c>
    </row>
    <row r="24" spans="1:1">
      <c r="A24" s="7" t="s">
        <v>180</v>
      </c>
    </row>
    <row r="25" spans="1:1">
      <c r="A25" s="7" t="s">
        <v>181</v>
      </c>
    </row>
    <row r="26" spans="1:1">
      <c r="A26" s="7" t="s">
        <v>182</v>
      </c>
    </row>
    <row r="27" spans="1:1">
      <c r="A27" s="7" t="s">
        <v>172</v>
      </c>
    </row>
    <row r="28" spans="1:1">
      <c r="A28" s="7" t="s">
        <v>215</v>
      </c>
    </row>
    <row r="29" spans="1:1">
      <c r="A29" s="7" t="s">
        <v>178</v>
      </c>
    </row>
    <row r="30" spans="1:1">
      <c r="A30" s="7" t="s">
        <v>180</v>
      </c>
    </row>
    <row r="31" spans="1:1">
      <c r="A31" s="7" t="s">
        <v>182</v>
      </c>
    </row>
    <row r="32" spans="1:1">
      <c r="A32" s="7" t="s">
        <v>215</v>
      </c>
    </row>
    <row r="33" spans="1:1">
      <c r="A33" s="7" t="s">
        <v>215</v>
      </c>
    </row>
    <row r="34" spans="1:1">
      <c r="A34" s="7" t="s">
        <v>178</v>
      </c>
    </row>
    <row r="35" spans="1:1">
      <c r="A35" s="7" t="s">
        <v>180</v>
      </c>
    </row>
    <row r="36" spans="1:1">
      <c r="A36" s="7" t="s">
        <v>182</v>
      </c>
    </row>
    <row r="37" spans="1:1">
      <c r="A37" s="7" t="s">
        <v>215</v>
      </c>
    </row>
    <row r="38" spans="1:1">
      <c r="A38" s="7" t="s">
        <v>215</v>
      </c>
    </row>
    <row r="39" spans="1:1">
      <c r="A39" s="7" t="s">
        <v>178</v>
      </c>
    </row>
    <row r="40" spans="1:1">
      <c r="A40" s="7" t="s">
        <v>180</v>
      </c>
    </row>
    <row r="41" spans="1:1">
      <c r="A41" s="7" t="s">
        <v>182</v>
      </c>
    </row>
    <row r="42" spans="1:1">
      <c r="A42" s="7" t="s">
        <v>215</v>
      </c>
    </row>
    <row r="43" spans="1:1">
      <c r="A43" s="7" t="s">
        <v>217</v>
      </c>
    </row>
    <row r="44" spans="1:1">
      <c r="A44" s="7" t="s">
        <v>218</v>
      </c>
    </row>
    <row r="45" spans="1:1">
      <c r="A45" s="7" t="s">
        <v>251</v>
      </c>
    </row>
    <row r="46" spans="1:1">
      <c r="A46" s="7" t="s">
        <v>220</v>
      </c>
    </row>
    <row r="47" spans="1:1">
      <c r="A47" s="7" t="s">
        <v>222</v>
      </c>
    </row>
    <row r="48" spans="1:1">
      <c r="A48" s="7" t="s">
        <v>223</v>
      </c>
    </row>
    <row r="49" spans="1:1">
      <c r="A49" s="7" t="s">
        <v>217</v>
      </c>
    </row>
    <row r="50" spans="1:1">
      <c r="A50" s="7" t="s">
        <v>217</v>
      </c>
    </row>
    <row r="51" spans="1:1">
      <c r="A51" s="7" t="s">
        <v>218</v>
      </c>
    </row>
    <row r="52" spans="1:1">
      <c r="A52" s="7" t="s">
        <v>251</v>
      </c>
    </row>
    <row r="53" spans="1:1">
      <c r="A53" s="7" t="s">
        <v>220</v>
      </c>
    </row>
    <row r="54" spans="1:1">
      <c r="A54" s="7" t="s">
        <v>222</v>
      </c>
    </row>
    <row r="55" spans="1:1">
      <c r="A55" s="7" t="s">
        <v>223</v>
      </c>
    </row>
    <row r="56" spans="1:1">
      <c r="A56" s="7" t="s">
        <v>217</v>
      </c>
    </row>
    <row r="57" spans="1:1">
      <c r="A57" s="7" t="s">
        <v>217</v>
      </c>
    </row>
    <row r="58" spans="1:1">
      <c r="A58" s="7" t="s">
        <v>218</v>
      </c>
    </row>
    <row r="59" spans="1:1">
      <c r="A59" s="7" t="s">
        <v>251</v>
      </c>
    </row>
    <row r="60" spans="1:1">
      <c r="A60" s="7" t="s">
        <v>220</v>
      </c>
    </row>
    <row r="61" spans="1:1">
      <c r="A61" s="7" t="s">
        <v>222</v>
      </c>
    </row>
    <row r="62" spans="1:1">
      <c r="A62" s="7" t="s">
        <v>223</v>
      </c>
    </row>
    <row r="63" spans="1:1">
      <c r="A63" s="7" t="s">
        <v>217</v>
      </c>
    </row>
    <row r="64" spans="1:1">
      <c r="A64" s="7" t="s">
        <v>224</v>
      </c>
    </row>
    <row r="65" spans="1:1">
      <c r="A65" s="7" t="s">
        <v>225</v>
      </c>
    </row>
    <row r="66" spans="1:1">
      <c r="A66" s="7" t="s">
        <v>220</v>
      </c>
    </row>
    <row r="67" spans="1:1">
      <c r="A67" s="7" t="s">
        <v>223</v>
      </c>
    </row>
    <row r="68" spans="1:1">
      <c r="A68" s="7" t="s">
        <v>224</v>
      </c>
    </row>
    <row r="69" spans="1:1">
      <c r="A69" s="7" t="s">
        <v>224</v>
      </c>
    </row>
    <row r="70" spans="1:1">
      <c r="A70" s="7" t="s">
        <v>225</v>
      </c>
    </row>
    <row r="71" spans="1:1">
      <c r="A71" s="7" t="s">
        <v>220</v>
      </c>
    </row>
    <row r="72" spans="1:1">
      <c r="A72" s="7" t="s">
        <v>223</v>
      </c>
    </row>
    <row r="73" spans="1:1">
      <c r="A73" s="7" t="s">
        <v>224</v>
      </c>
    </row>
    <row r="74" spans="1:1">
      <c r="A74" s="7" t="s">
        <v>224</v>
      </c>
    </row>
    <row r="75" spans="1:1">
      <c r="A75" s="7" t="s">
        <v>225</v>
      </c>
    </row>
    <row r="76" spans="1:1">
      <c r="A76" s="7" t="s">
        <v>220</v>
      </c>
    </row>
    <row r="77" spans="1:1">
      <c r="A77" s="7" t="s">
        <v>223</v>
      </c>
    </row>
    <row r="78" spans="1:1">
      <c r="A78" s="7" t="s">
        <v>224</v>
      </c>
    </row>
    <row r="79" spans="1:1">
      <c r="A79" s="7" t="s">
        <v>226</v>
      </c>
    </row>
    <row r="80" spans="1:1">
      <c r="A80" s="7" t="s">
        <v>226</v>
      </c>
    </row>
    <row r="81" spans="1:1">
      <c r="A81" s="7" t="s">
        <v>226</v>
      </c>
    </row>
    <row r="82" spans="1:1">
      <c r="A82" s="7" t="s">
        <v>226</v>
      </c>
    </row>
    <row r="83" spans="1:1">
      <c r="A83" s="7" t="s">
        <v>226</v>
      </c>
    </row>
    <row r="84" spans="1:1">
      <c r="A84" s="7" t="s">
        <v>226</v>
      </c>
    </row>
    <row r="85" spans="1:1">
      <c r="A85" s="7" t="s">
        <v>172</v>
      </c>
    </row>
    <row r="86" spans="1:1">
      <c r="A86" s="7" t="s">
        <v>177</v>
      </c>
    </row>
    <row r="87" spans="1:1">
      <c r="A87" s="7" t="s">
        <v>252</v>
      </c>
    </row>
    <row r="88" spans="1:1">
      <c r="A88" s="7" t="s">
        <v>183</v>
      </c>
    </row>
    <row r="89" spans="1:1">
      <c r="A89" s="7" t="s">
        <v>178</v>
      </c>
    </row>
    <row r="90" spans="1:1">
      <c r="A90" s="7" t="s">
        <v>179</v>
      </c>
    </row>
    <row r="91" spans="1:1">
      <c r="A91" s="7" t="s">
        <v>180</v>
      </c>
    </row>
    <row r="92" spans="1:1">
      <c r="A92" s="7" t="s">
        <v>181</v>
      </c>
    </row>
    <row r="93" spans="1:1">
      <c r="A93" s="7" t="s">
        <v>253</v>
      </c>
    </row>
    <row r="94" spans="1:1">
      <c r="A94" s="7" t="s">
        <v>182</v>
      </c>
    </row>
    <row r="95" spans="1:1">
      <c r="A95" s="7" t="s">
        <v>172</v>
      </c>
    </row>
    <row r="96" spans="1:1">
      <c r="A96" s="7" t="s">
        <v>172</v>
      </c>
    </row>
    <row r="97" spans="1:1">
      <c r="A97" s="7" t="s">
        <v>177</v>
      </c>
    </row>
    <row r="98" spans="1:1">
      <c r="A98" s="7" t="s">
        <v>252</v>
      </c>
    </row>
    <row r="99" spans="1:1">
      <c r="A99" s="7" t="s">
        <v>183</v>
      </c>
    </row>
    <row r="100" spans="1:1">
      <c r="A100" s="7" t="s">
        <v>178</v>
      </c>
    </row>
    <row r="101" spans="1:1">
      <c r="A101" s="7" t="s">
        <v>179</v>
      </c>
    </row>
    <row r="102" spans="1:1">
      <c r="A102" s="7" t="s">
        <v>180</v>
      </c>
    </row>
    <row r="103" spans="1:1">
      <c r="A103" s="7" t="s">
        <v>181</v>
      </c>
    </row>
    <row r="104" spans="1:1">
      <c r="A104" s="7" t="s">
        <v>253</v>
      </c>
    </row>
    <row r="105" spans="1:1">
      <c r="A105" s="7" t="s">
        <v>182</v>
      </c>
    </row>
    <row r="106" spans="1:1">
      <c r="A106" s="7" t="s">
        <v>172</v>
      </c>
    </row>
    <row r="107" spans="1:1">
      <c r="A107" s="7" t="s">
        <v>172</v>
      </c>
    </row>
    <row r="108" spans="1:1">
      <c r="A108" s="7" t="s">
        <v>177</v>
      </c>
    </row>
    <row r="109" spans="1:1">
      <c r="A109" s="7" t="s">
        <v>252</v>
      </c>
    </row>
    <row r="110" spans="1:1">
      <c r="A110" s="7" t="s">
        <v>183</v>
      </c>
    </row>
    <row r="111" spans="1:1">
      <c r="A111" s="7" t="s">
        <v>178</v>
      </c>
    </row>
    <row r="112" spans="1:1">
      <c r="A112" s="7" t="s">
        <v>179</v>
      </c>
    </row>
    <row r="113" spans="1:1">
      <c r="A113" s="7" t="s">
        <v>180</v>
      </c>
    </row>
    <row r="114" spans="1:1">
      <c r="A114" s="7" t="s">
        <v>181</v>
      </c>
    </row>
    <row r="115" spans="1:1">
      <c r="A115" s="7" t="s">
        <v>253</v>
      </c>
    </row>
    <row r="116" spans="1:1">
      <c r="A116" s="7" t="s">
        <v>182</v>
      </c>
    </row>
    <row r="117" spans="1:1">
      <c r="A117" s="7" t="s">
        <v>172</v>
      </c>
    </row>
    <row r="118" spans="1:1">
      <c r="A118" s="7" t="s">
        <v>215</v>
      </c>
    </row>
    <row r="119" spans="1:1">
      <c r="A119" s="7" t="s">
        <v>178</v>
      </c>
    </row>
    <row r="120" spans="1:1">
      <c r="A120" s="7" t="s">
        <v>180</v>
      </c>
    </row>
    <row r="121" spans="1:1">
      <c r="A121" s="7" t="s">
        <v>182</v>
      </c>
    </row>
    <row r="122" spans="1:1">
      <c r="A122" s="7" t="s">
        <v>215</v>
      </c>
    </row>
    <row r="123" spans="1:1">
      <c r="A123" s="7" t="s">
        <v>215</v>
      </c>
    </row>
    <row r="124" spans="1:1">
      <c r="A124" s="7" t="s">
        <v>178</v>
      </c>
    </row>
    <row r="125" spans="1:1">
      <c r="A125" s="7" t="s">
        <v>180</v>
      </c>
    </row>
    <row r="126" spans="1:1">
      <c r="A126" s="7" t="s">
        <v>182</v>
      </c>
    </row>
    <row r="127" spans="1:1">
      <c r="A127" s="7" t="s">
        <v>215</v>
      </c>
    </row>
    <row r="128" spans="1:1">
      <c r="A128" s="7" t="s">
        <v>215</v>
      </c>
    </row>
    <row r="129" spans="1:1">
      <c r="A129" s="7" t="s">
        <v>178</v>
      </c>
    </row>
    <row r="130" spans="1:1">
      <c r="A130" s="7" t="s">
        <v>180</v>
      </c>
    </row>
    <row r="131" spans="1:1">
      <c r="A131" s="7" t="s">
        <v>182</v>
      </c>
    </row>
    <row r="132" spans="1:1">
      <c r="A132" s="7" t="s">
        <v>215</v>
      </c>
    </row>
    <row r="133" spans="1:1">
      <c r="A133" s="7" t="s">
        <v>217</v>
      </c>
    </row>
    <row r="134" spans="1:1">
      <c r="A134" s="7" t="s">
        <v>218</v>
      </c>
    </row>
    <row r="135" spans="1:1">
      <c r="A135" s="7" t="s">
        <v>219</v>
      </c>
    </row>
    <row r="136" spans="1:1">
      <c r="A136" s="7" t="s">
        <v>251</v>
      </c>
    </row>
    <row r="137" spans="1:1">
      <c r="A137" s="7" t="s">
        <v>220</v>
      </c>
    </row>
    <row r="138" spans="1:1">
      <c r="A138" s="7" t="s">
        <v>222</v>
      </c>
    </row>
    <row r="139" spans="1:1">
      <c r="A139" s="7" t="s">
        <v>223</v>
      </c>
    </row>
    <row r="140" spans="1:1">
      <c r="A140" s="7" t="s">
        <v>217</v>
      </c>
    </row>
    <row r="141" spans="1:1">
      <c r="A141" s="7" t="s">
        <v>217</v>
      </c>
    </row>
    <row r="142" spans="1:1">
      <c r="A142" s="7" t="s">
        <v>218</v>
      </c>
    </row>
    <row r="143" spans="1:1">
      <c r="A143" s="7" t="s">
        <v>219</v>
      </c>
    </row>
    <row r="144" spans="1:1">
      <c r="A144" s="7" t="s">
        <v>251</v>
      </c>
    </row>
    <row r="145" spans="1:1">
      <c r="A145" s="7" t="s">
        <v>220</v>
      </c>
    </row>
    <row r="146" spans="1:1">
      <c r="A146" s="7" t="s">
        <v>222</v>
      </c>
    </row>
    <row r="147" spans="1:1">
      <c r="A147" s="7" t="s">
        <v>223</v>
      </c>
    </row>
    <row r="148" spans="1:1">
      <c r="A148" s="7" t="s">
        <v>217</v>
      </c>
    </row>
    <row r="149" spans="1:1">
      <c r="A149" s="7" t="s">
        <v>217</v>
      </c>
    </row>
    <row r="150" spans="1:1">
      <c r="A150" s="7" t="s">
        <v>218</v>
      </c>
    </row>
    <row r="151" spans="1:1">
      <c r="A151" s="7" t="s">
        <v>219</v>
      </c>
    </row>
    <row r="152" spans="1:1">
      <c r="A152" s="7" t="s">
        <v>251</v>
      </c>
    </row>
    <row r="153" spans="1:1">
      <c r="A153" s="7" t="s">
        <v>220</v>
      </c>
    </row>
    <row r="154" spans="1:1">
      <c r="A154" s="7" t="s">
        <v>222</v>
      </c>
    </row>
    <row r="155" spans="1:1">
      <c r="A155" s="7" t="s">
        <v>223</v>
      </c>
    </row>
    <row r="156" spans="1:1">
      <c r="A156" s="7" t="s">
        <v>217</v>
      </c>
    </row>
    <row r="157" spans="1:1">
      <c r="A157" s="7" t="s">
        <v>224</v>
      </c>
    </row>
    <row r="158" spans="1:1">
      <c r="A158" s="7" t="s">
        <v>225</v>
      </c>
    </row>
    <row r="159" spans="1:1">
      <c r="A159" s="7" t="s">
        <v>220</v>
      </c>
    </row>
    <row r="160" spans="1:1">
      <c r="A160" s="7" t="s">
        <v>223</v>
      </c>
    </row>
    <row r="161" spans="1:1">
      <c r="A161" s="7" t="s">
        <v>224</v>
      </c>
    </row>
    <row r="162" spans="1:1">
      <c r="A162" s="7" t="s">
        <v>224</v>
      </c>
    </row>
    <row r="163" spans="1:1">
      <c r="A163" s="7" t="s">
        <v>225</v>
      </c>
    </row>
    <row r="164" spans="1:1">
      <c r="A164" s="7" t="s">
        <v>220</v>
      </c>
    </row>
    <row r="165" spans="1:1">
      <c r="A165" s="7" t="s">
        <v>223</v>
      </c>
    </row>
    <row r="166" spans="1:1">
      <c r="A166" s="7" t="s">
        <v>224</v>
      </c>
    </row>
    <row r="167" spans="1:1">
      <c r="A167" s="7" t="s">
        <v>224</v>
      </c>
    </row>
    <row r="168" spans="1:1">
      <c r="A168" s="7" t="s">
        <v>225</v>
      </c>
    </row>
    <row r="169" spans="1:1">
      <c r="A169" s="7" t="s">
        <v>220</v>
      </c>
    </row>
    <row r="170" spans="1:1">
      <c r="A170" s="7" t="s">
        <v>223</v>
      </c>
    </row>
    <row r="171" spans="1:1">
      <c r="A171" s="7" t="s">
        <v>224</v>
      </c>
    </row>
    <row r="172" spans="1:1">
      <c r="A172" s="7" t="s">
        <v>226</v>
      </c>
    </row>
    <row r="173" spans="1:1">
      <c r="A173" s="7" t="s">
        <v>226</v>
      </c>
    </row>
    <row r="174" spans="1:1">
      <c r="A174" s="7" t="s">
        <v>226</v>
      </c>
    </row>
    <row r="175" spans="1:1">
      <c r="A175" s="7" t="s">
        <v>226</v>
      </c>
    </row>
    <row r="176" spans="1:1">
      <c r="A176" s="7" t="s">
        <v>226</v>
      </c>
    </row>
    <row r="177" spans="1:1">
      <c r="A177" s="7" t="s">
        <v>226</v>
      </c>
    </row>
  </sheetData>
  <phoneticPr fontId="10"/>
  <dataValidations count="1">
    <dataValidation type="list" allowBlank="1" showInputMessage="1" showErrorMessage="1" sqref="A1:A177" xr:uid="{D6E365B8-D02B-3241-8503-9DA50A81C759}">
      <formula1>INDIRECT("_"&amp;XFB1&amp;"_"&amp;XFC1)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A881-5CB1-ED4F-B9F0-6E47EB19FEC3}">
  <sheetPr codeName="Sheet3"/>
  <dimension ref="A1:N108"/>
  <sheetViews>
    <sheetView topLeftCell="D44" workbookViewId="0">
      <selection activeCell="J55" sqref="J55"/>
    </sheetView>
  </sheetViews>
  <sheetFormatPr baseColWidth="10" defaultRowHeight="18"/>
  <cols>
    <col min="1" max="1" width="2.1640625" style="2" customWidth="1"/>
    <col min="2" max="2" width="13.6640625" style="2" customWidth="1"/>
    <col min="3" max="3" width="28.6640625" style="2" customWidth="1"/>
    <col min="4" max="4" width="46.1640625" style="2" customWidth="1"/>
    <col min="5" max="5" width="17.5" style="2" customWidth="1"/>
    <col min="6" max="6" width="24.1640625" style="2" customWidth="1"/>
    <col min="7" max="7" width="27.1640625" style="2" customWidth="1"/>
    <col min="8" max="9" width="32.1640625" style="2" customWidth="1"/>
    <col min="10" max="10" width="25.5" style="2" customWidth="1"/>
    <col min="11" max="11" width="34" style="2" customWidth="1"/>
    <col min="12" max="13" width="32.1640625" style="2" customWidth="1"/>
    <col min="14" max="15" width="32.5" style="2" customWidth="1"/>
    <col min="16" max="16" width="27.1640625" style="2" bestFit="1" customWidth="1"/>
    <col min="17" max="16384" width="10.83203125" style="2"/>
  </cols>
  <sheetData>
    <row r="1" spans="2:6">
      <c r="B1" s="34" t="s">
        <v>132</v>
      </c>
      <c r="C1" s="35"/>
      <c r="D1" s="35"/>
      <c r="E1" s="35"/>
      <c r="F1" s="36"/>
    </row>
    <row r="2" spans="2:6">
      <c r="B2" s="16" t="s">
        <v>39</v>
      </c>
      <c r="C2" s="16" t="s">
        <v>40</v>
      </c>
      <c r="D2" s="16" t="s">
        <v>41</v>
      </c>
      <c r="E2" s="16" t="s">
        <v>42</v>
      </c>
      <c r="F2" s="16" t="s">
        <v>43</v>
      </c>
    </row>
    <row r="4" spans="2:6">
      <c r="B4" s="37" t="s">
        <v>125</v>
      </c>
      <c r="C4" s="37"/>
      <c r="D4" s="37"/>
      <c r="E4" s="37"/>
      <c r="F4" s="37"/>
    </row>
    <row r="5" spans="2:6">
      <c r="B5" s="3" t="s">
        <v>133</v>
      </c>
      <c r="C5" s="3" t="s">
        <v>134</v>
      </c>
      <c r="D5" s="3" t="s">
        <v>135</v>
      </c>
      <c r="E5" s="3" t="s">
        <v>136</v>
      </c>
      <c r="F5" s="3" t="s">
        <v>137</v>
      </c>
    </row>
    <row r="6" spans="2:6">
      <c r="B6" s="4" t="s">
        <v>36</v>
      </c>
      <c r="C6" s="4" t="s">
        <v>65</v>
      </c>
      <c r="D6" s="4" t="s">
        <v>68</v>
      </c>
      <c r="E6" s="4" t="s">
        <v>81</v>
      </c>
      <c r="F6" s="4" t="s">
        <v>87</v>
      </c>
    </row>
    <row r="7" spans="2:6">
      <c r="B7" s="22"/>
      <c r="C7" s="22"/>
      <c r="D7" s="22"/>
      <c r="E7" s="22"/>
      <c r="F7" s="22"/>
    </row>
    <row r="8" spans="2:6">
      <c r="B8" s="34" t="s">
        <v>126</v>
      </c>
      <c r="C8" s="35"/>
      <c r="D8" s="35"/>
      <c r="E8" s="35"/>
      <c r="F8" s="36"/>
    </row>
    <row r="9" spans="2:6">
      <c r="B9" s="3" t="s">
        <v>127</v>
      </c>
      <c r="C9" s="3" t="s">
        <v>128</v>
      </c>
      <c r="D9" s="3" t="s">
        <v>129</v>
      </c>
      <c r="E9" s="3" t="s">
        <v>130</v>
      </c>
      <c r="F9" s="3" t="s">
        <v>131</v>
      </c>
    </row>
    <row r="10" spans="2:6">
      <c r="B10" s="4" t="s">
        <v>46</v>
      </c>
      <c r="C10" s="4" t="s">
        <v>52</v>
      </c>
      <c r="D10" s="4" t="s">
        <v>69</v>
      </c>
      <c r="E10" s="4" t="s">
        <v>83</v>
      </c>
      <c r="F10" s="4" t="s">
        <v>87</v>
      </c>
    </row>
    <row r="11" spans="2:6">
      <c r="B11" s="4" t="s">
        <v>47</v>
      </c>
      <c r="C11" s="4" t="s">
        <v>56</v>
      </c>
      <c r="D11" s="4" t="s">
        <v>70</v>
      </c>
      <c r="E11" s="4" t="s">
        <v>72</v>
      </c>
      <c r="F11" s="4"/>
    </row>
    <row r="12" spans="2:6">
      <c r="B12" s="4" t="s">
        <v>49</v>
      </c>
      <c r="C12" s="4" t="s">
        <v>61</v>
      </c>
      <c r="D12" s="4" t="s">
        <v>71</v>
      </c>
      <c r="E12" s="4" t="s">
        <v>74</v>
      </c>
      <c r="F12" s="4"/>
    </row>
    <row r="13" spans="2:6">
      <c r="B13" s="4" t="s">
        <v>52</v>
      </c>
      <c r="C13" s="4" t="s">
        <v>65</v>
      </c>
      <c r="D13" s="4" t="s">
        <v>72</v>
      </c>
      <c r="E13" s="4" t="s">
        <v>81</v>
      </c>
      <c r="F13" s="4"/>
    </row>
    <row r="14" spans="2:6">
      <c r="B14" s="4" t="s">
        <v>53</v>
      </c>
      <c r="C14" s="4"/>
      <c r="D14" s="4" t="s">
        <v>73</v>
      </c>
      <c r="E14" s="4"/>
      <c r="F14" s="4"/>
    </row>
    <row r="15" spans="2:6">
      <c r="B15" s="4" t="s">
        <v>56</v>
      </c>
      <c r="C15" s="4"/>
      <c r="D15" s="4" t="s">
        <v>74</v>
      </c>
      <c r="E15" s="4"/>
      <c r="F15" s="4"/>
    </row>
    <row r="16" spans="2:6">
      <c r="B16" s="4" t="s">
        <v>57</v>
      </c>
      <c r="C16" s="4"/>
      <c r="D16" s="4" t="s">
        <v>68</v>
      </c>
      <c r="E16" s="4"/>
      <c r="F16" s="4"/>
    </row>
    <row r="17" spans="1:14">
      <c r="B17" s="4" t="s">
        <v>60</v>
      </c>
      <c r="C17" s="4"/>
      <c r="D17" s="4"/>
      <c r="E17" s="4"/>
      <c r="F17" s="4"/>
    </row>
    <row r="18" spans="1:14">
      <c r="B18" s="4" t="s">
        <v>61</v>
      </c>
      <c r="C18" s="4"/>
      <c r="D18" s="4"/>
      <c r="E18" s="4"/>
      <c r="F18" s="4"/>
    </row>
    <row r="19" spans="1:14">
      <c r="B19" s="4" t="s">
        <v>36</v>
      </c>
      <c r="C19" s="4"/>
      <c r="D19" s="4"/>
      <c r="E19" s="4"/>
      <c r="F19" s="4"/>
    </row>
    <row r="21" spans="1:14">
      <c r="A21" s="21"/>
      <c r="B21" s="34" t="s">
        <v>124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</row>
    <row r="22" spans="1:14">
      <c r="A22" s="21"/>
      <c r="B22" s="4" t="s">
        <v>36</v>
      </c>
      <c r="C22" s="18">
        <v>1</v>
      </c>
      <c r="D22" s="4" t="s">
        <v>37</v>
      </c>
      <c r="E22" s="4" t="s">
        <v>89</v>
      </c>
      <c r="F22" s="4" t="s">
        <v>236</v>
      </c>
      <c r="G22" s="4" t="s">
        <v>31</v>
      </c>
      <c r="H22" s="4" t="s">
        <v>238</v>
      </c>
      <c r="I22" s="4" t="s">
        <v>32</v>
      </c>
      <c r="J22" s="29" t="s">
        <v>33</v>
      </c>
      <c r="K22" s="4" t="s">
        <v>34</v>
      </c>
      <c r="L22" s="4" t="s">
        <v>35</v>
      </c>
      <c r="M22" s="4" t="s">
        <v>241</v>
      </c>
      <c r="N22" s="4" t="s">
        <v>92</v>
      </c>
    </row>
    <row r="23" spans="1:14">
      <c r="A23" s="21"/>
      <c r="B23" s="4" t="s">
        <v>46</v>
      </c>
      <c r="C23" s="17">
        <v>0</v>
      </c>
      <c r="D23" s="4" t="s">
        <v>45</v>
      </c>
      <c r="E23" s="4" t="s">
        <v>89</v>
      </c>
      <c r="F23" s="4" t="s">
        <v>236</v>
      </c>
      <c r="G23" s="4" t="s">
        <v>31</v>
      </c>
      <c r="H23" s="4" t="s">
        <v>238</v>
      </c>
      <c r="I23" s="4" t="s">
        <v>32</v>
      </c>
      <c r="J23" s="29"/>
      <c r="K23" s="4"/>
      <c r="L23" s="4"/>
      <c r="M23" s="4"/>
      <c r="N23" s="4"/>
    </row>
    <row r="24" spans="1:14">
      <c r="A24" s="21"/>
      <c r="B24" s="4" t="s">
        <v>47</v>
      </c>
      <c r="C24" s="17">
        <v>0</v>
      </c>
      <c r="D24" s="4" t="s">
        <v>48</v>
      </c>
      <c r="E24" s="4" t="s">
        <v>89</v>
      </c>
      <c r="F24" s="4" t="s">
        <v>236</v>
      </c>
      <c r="G24" s="4" t="s">
        <v>31</v>
      </c>
      <c r="H24" s="4" t="s">
        <v>238</v>
      </c>
      <c r="I24" s="4" t="s">
        <v>32</v>
      </c>
      <c r="J24" s="29" t="s">
        <v>33</v>
      </c>
      <c r="K24" s="4" t="s">
        <v>35</v>
      </c>
      <c r="L24" s="4"/>
      <c r="M24" s="4"/>
      <c r="N24" s="4"/>
    </row>
    <row r="25" spans="1:14">
      <c r="A25" s="21"/>
      <c r="B25" s="4" t="s">
        <v>49</v>
      </c>
      <c r="C25" s="17">
        <v>0</v>
      </c>
      <c r="D25" s="4" t="s">
        <v>50</v>
      </c>
      <c r="E25" s="4" t="s">
        <v>89</v>
      </c>
      <c r="F25" s="4" t="s">
        <v>236</v>
      </c>
      <c r="G25" s="4" t="s">
        <v>31</v>
      </c>
      <c r="H25" s="4" t="s">
        <v>238</v>
      </c>
      <c r="I25" s="4" t="s">
        <v>32</v>
      </c>
      <c r="J25" s="29"/>
      <c r="K25" s="4"/>
      <c r="L25" s="4"/>
      <c r="M25" s="4"/>
      <c r="N25" s="4"/>
    </row>
    <row r="26" spans="1:14">
      <c r="A26" s="21"/>
      <c r="B26" s="4" t="s">
        <v>52</v>
      </c>
      <c r="C26" s="17">
        <v>0</v>
      </c>
      <c r="D26" s="4" t="s">
        <v>51</v>
      </c>
      <c r="E26" s="4" t="s">
        <v>212</v>
      </c>
      <c r="F26" s="4" t="s">
        <v>236</v>
      </c>
      <c r="G26" s="4" t="s">
        <v>31</v>
      </c>
      <c r="H26" s="4" t="s">
        <v>238</v>
      </c>
      <c r="I26" s="4" t="s">
        <v>32</v>
      </c>
      <c r="J26" s="29"/>
      <c r="K26" s="4"/>
      <c r="L26" s="4"/>
      <c r="M26" s="4"/>
      <c r="N26" s="4"/>
    </row>
    <row r="27" spans="1:14">
      <c r="A27" s="21"/>
      <c r="B27" s="4" t="s">
        <v>53</v>
      </c>
      <c r="C27" s="17">
        <v>0</v>
      </c>
      <c r="D27" s="4" t="s">
        <v>54</v>
      </c>
      <c r="E27" s="4" t="s">
        <v>89</v>
      </c>
      <c r="F27" s="4" t="s">
        <v>236</v>
      </c>
      <c r="G27" s="4" t="s">
        <v>31</v>
      </c>
      <c r="H27" s="4" t="s">
        <v>238</v>
      </c>
      <c r="I27" s="4" t="s">
        <v>32</v>
      </c>
      <c r="J27" s="29" t="s">
        <v>90</v>
      </c>
      <c r="K27" s="4" t="s">
        <v>91</v>
      </c>
      <c r="L27" s="4"/>
      <c r="M27" s="4"/>
      <c r="N27" s="4"/>
    </row>
    <row r="28" spans="1:14">
      <c r="A28" s="21"/>
      <c r="B28" s="4" t="s">
        <v>56</v>
      </c>
      <c r="C28" s="17">
        <v>0</v>
      </c>
      <c r="D28" s="4" t="s">
        <v>55</v>
      </c>
      <c r="E28" s="4" t="s">
        <v>89</v>
      </c>
      <c r="F28" s="4" t="s">
        <v>236</v>
      </c>
      <c r="G28" s="4" t="s">
        <v>31</v>
      </c>
      <c r="H28" s="4" t="s">
        <v>238</v>
      </c>
      <c r="I28" s="4" t="s">
        <v>32</v>
      </c>
      <c r="J28" s="29"/>
      <c r="K28" s="4"/>
      <c r="L28" s="4"/>
      <c r="M28" s="4"/>
      <c r="N28" s="4"/>
    </row>
    <row r="29" spans="1:14">
      <c r="A29" s="21"/>
      <c r="B29" s="4" t="s">
        <v>57</v>
      </c>
      <c r="C29" s="17">
        <v>0</v>
      </c>
      <c r="D29" s="4" t="s">
        <v>58</v>
      </c>
      <c r="E29" s="4" t="s">
        <v>89</v>
      </c>
      <c r="F29" s="4" t="s">
        <v>236</v>
      </c>
      <c r="G29" s="4" t="s">
        <v>31</v>
      </c>
      <c r="H29" s="4" t="s">
        <v>238</v>
      </c>
      <c r="I29" s="4" t="s">
        <v>32</v>
      </c>
      <c r="J29" s="29"/>
      <c r="K29" s="4"/>
      <c r="L29" s="4"/>
      <c r="M29" s="4"/>
      <c r="N29" s="4"/>
    </row>
    <row r="30" spans="1:14">
      <c r="A30" s="21"/>
      <c r="B30" s="4" t="s">
        <v>60</v>
      </c>
      <c r="C30" s="17">
        <v>0</v>
      </c>
      <c r="D30" s="4" t="s">
        <v>59</v>
      </c>
      <c r="E30" s="4" t="s">
        <v>89</v>
      </c>
      <c r="F30" s="4" t="s">
        <v>236</v>
      </c>
      <c r="G30" s="4" t="s">
        <v>31</v>
      </c>
      <c r="H30" s="4" t="s">
        <v>238</v>
      </c>
      <c r="I30" s="4" t="s">
        <v>32</v>
      </c>
      <c r="J30" s="29"/>
      <c r="K30" s="4"/>
      <c r="L30" s="4"/>
      <c r="M30" s="4"/>
      <c r="N30" s="4"/>
    </row>
    <row r="31" spans="1:14">
      <c r="A31" s="21"/>
      <c r="B31" s="4" t="s">
        <v>61</v>
      </c>
      <c r="C31" s="17">
        <v>0</v>
      </c>
      <c r="D31" s="4" t="s">
        <v>62</v>
      </c>
      <c r="E31" s="4" t="s">
        <v>89</v>
      </c>
      <c r="F31" s="4" t="s">
        <v>236</v>
      </c>
      <c r="G31" s="4" t="s">
        <v>31</v>
      </c>
      <c r="H31" s="4" t="s">
        <v>238</v>
      </c>
      <c r="I31" s="4" t="s">
        <v>32</v>
      </c>
      <c r="J31" s="29"/>
      <c r="K31" s="4"/>
      <c r="L31" s="4"/>
      <c r="M31" s="4"/>
      <c r="N31" s="4"/>
    </row>
    <row r="32" spans="1:14">
      <c r="A32" s="21"/>
      <c r="B32" s="4" t="s">
        <v>36</v>
      </c>
      <c r="C32" s="17">
        <v>0</v>
      </c>
      <c r="D32" s="4" t="s">
        <v>63</v>
      </c>
      <c r="E32" s="4" t="s">
        <v>212</v>
      </c>
      <c r="F32" s="4" t="s">
        <v>236</v>
      </c>
      <c r="G32" s="4" t="s">
        <v>31</v>
      </c>
      <c r="H32" s="4" t="s">
        <v>238</v>
      </c>
      <c r="I32" s="4" t="s">
        <v>32</v>
      </c>
      <c r="J32" s="29" t="s">
        <v>92</v>
      </c>
      <c r="K32" s="4"/>
      <c r="L32" s="4"/>
      <c r="M32" s="4"/>
      <c r="N32" s="4"/>
    </row>
    <row r="33" spans="1:14">
      <c r="A33" s="21"/>
      <c r="B33" s="4" t="s">
        <v>65</v>
      </c>
      <c r="C33" s="17">
        <v>1</v>
      </c>
      <c r="D33" s="4" t="s">
        <v>64</v>
      </c>
      <c r="E33" s="4" t="s">
        <v>89</v>
      </c>
      <c r="F33" s="4" t="s">
        <v>236</v>
      </c>
      <c r="G33" s="4" t="s">
        <v>31</v>
      </c>
      <c r="H33" s="4" t="s">
        <v>238</v>
      </c>
      <c r="I33" s="4" t="s">
        <v>32</v>
      </c>
      <c r="J33" s="29" t="s">
        <v>90</v>
      </c>
      <c r="K33" s="4" t="s">
        <v>91</v>
      </c>
      <c r="L33" s="4" t="s">
        <v>241</v>
      </c>
      <c r="M33" s="4" t="s">
        <v>92</v>
      </c>
      <c r="N33" s="4"/>
    </row>
    <row r="34" spans="1:14">
      <c r="A34" s="21"/>
      <c r="B34" s="4" t="s">
        <v>52</v>
      </c>
      <c r="C34" s="17">
        <v>0</v>
      </c>
      <c r="D34" s="4" t="s">
        <v>51</v>
      </c>
      <c r="E34" s="4" t="s">
        <v>212</v>
      </c>
      <c r="F34" s="4" t="s">
        <v>236</v>
      </c>
      <c r="G34" s="4" t="s">
        <v>31</v>
      </c>
      <c r="H34" s="4" t="s">
        <v>238</v>
      </c>
      <c r="I34" s="4" t="s">
        <v>32</v>
      </c>
      <c r="J34" s="29"/>
      <c r="K34" s="4"/>
      <c r="L34" s="4"/>
      <c r="M34" s="4"/>
      <c r="N34" s="4"/>
    </row>
    <row r="35" spans="1:14">
      <c r="A35" s="21"/>
      <c r="B35" s="4" t="s">
        <v>56</v>
      </c>
      <c r="C35" s="17">
        <v>0</v>
      </c>
      <c r="D35" s="4" t="s">
        <v>55</v>
      </c>
      <c r="E35" s="4" t="s">
        <v>89</v>
      </c>
      <c r="F35" s="4" t="s">
        <v>236</v>
      </c>
      <c r="G35" s="4" t="s">
        <v>31</v>
      </c>
      <c r="H35" s="4" t="s">
        <v>238</v>
      </c>
      <c r="I35" s="4" t="s">
        <v>32</v>
      </c>
      <c r="J35" s="29"/>
      <c r="K35" s="4"/>
      <c r="L35" s="4"/>
      <c r="M35" s="4"/>
      <c r="N35" s="4"/>
    </row>
    <row r="36" spans="1:14">
      <c r="A36" s="21"/>
      <c r="B36" s="4" t="s">
        <v>61</v>
      </c>
      <c r="C36" s="17">
        <v>0</v>
      </c>
      <c r="D36" s="4" t="s">
        <v>62</v>
      </c>
      <c r="E36" s="4" t="s">
        <v>89</v>
      </c>
      <c r="F36" s="4" t="s">
        <v>236</v>
      </c>
      <c r="G36" s="4" t="s">
        <v>31</v>
      </c>
      <c r="H36" s="4" t="s">
        <v>238</v>
      </c>
      <c r="I36" s="4" t="s">
        <v>32</v>
      </c>
      <c r="J36" s="29"/>
      <c r="K36" s="4"/>
      <c r="L36" s="4"/>
      <c r="M36" s="4"/>
      <c r="N36" s="4"/>
    </row>
    <row r="37" spans="1:14">
      <c r="A37" s="21"/>
      <c r="B37" s="4" t="s">
        <v>65</v>
      </c>
      <c r="C37" s="17">
        <v>0</v>
      </c>
      <c r="D37" s="4" t="s">
        <v>63</v>
      </c>
      <c r="E37" s="4" t="s">
        <v>212</v>
      </c>
      <c r="F37" s="4" t="s">
        <v>236</v>
      </c>
      <c r="G37" s="4" t="s">
        <v>31</v>
      </c>
      <c r="H37" s="4" t="s">
        <v>238</v>
      </c>
      <c r="I37" s="4" t="s">
        <v>32</v>
      </c>
      <c r="J37" s="29" t="s">
        <v>92</v>
      </c>
      <c r="K37" s="4" t="s">
        <v>92</v>
      </c>
      <c r="L37" s="4"/>
      <c r="M37" s="4"/>
      <c r="N37" s="4"/>
    </row>
    <row r="38" spans="1:14">
      <c r="A38" s="21"/>
      <c r="B38" s="4" t="s">
        <v>68</v>
      </c>
      <c r="C38" s="17">
        <v>1</v>
      </c>
      <c r="D38" s="4" t="s">
        <v>66</v>
      </c>
      <c r="E38" s="4" t="s">
        <v>89</v>
      </c>
      <c r="F38" s="4" t="s">
        <v>236</v>
      </c>
      <c r="G38" s="4" t="s">
        <v>31</v>
      </c>
      <c r="H38" s="4" t="s">
        <v>238</v>
      </c>
      <c r="I38" s="4" t="s">
        <v>32</v>
      </c>
      <c r="J38" s="29" t="s">
        <v>33</v>
      </c>
      <c r="K38" s="4" t="s">
        <v>34</v>
      </c>
      <c r="L38" s="4" t="s">
        <v>35</v>
      </c>
      <c r="M38" s="4" t="s">
        <v>241</v>
      </c>
      <c r="N38" s="4" t="s">
        <v>92</v>
      </c>
    </row>
    <row r="39" spans="1:14">
      <c r="A39" s="21"/>
      <c r="B39" s="4" t="s">
        <v>69</v>
      </c>
      <c r="C39" s="17">
        <v>0</v>
      </c>
      <c r="D39" s="4" t="s">
        <v>67</v>
      </c>
      <c r="E39" s="4" t="s">
        <v>89</v>
      </c>
      <c r="F39" s="4" t="s">
        <v>236</v>
      </c>
      <c r="G39" s="4" t="s">
        <v>31</v>
      </c>
      <c r="H39" s="4" t="s">
        <v>238</v>
      </c>
      <c r="I39" s="4" t="s">
        <v>32</v>
      </c>
      <c r="J39" s="29"/>
      <c r="K39" s="4"/>
      <c r="L39" s="4"/>
      <c r="M39" s="4"/>
      <c r="N39" s="4"/>
    </row>
    <row r="40" spans="1:14">
      <c r="A40" s="21"/>
      <c r="B40" s="4" t="s">
        <v>70</v>
      </c>
      <c r="C40" s="17">
        <v>0</v>
      </c>
      <c r="D40" s="4" t="s">
        <v>78</v>
      </c>
      <c r="E40" s="4" t="s">
        <v>89</v>
      </c>
      <c r="F40" s="4" t="s">
        <v>236</v>
      </c>
      <c r="G40" s="4" t="s">
        <v>31</v>
      </c>
      <c r="H40" s="4" t="s">
        <v>238</v>
      </c>
      <c r="I40" s="4" t="s">
        <v>32</v>
      </c>
      <c r="J40" s="29" t="s">
        <v>33</v>
      </c>
      <c r="K40" s="4" t="s">
        <v>35</v>
      </c>
      <c r="L40" s="4"/>
      <c r="M40" s="4"/>
      <c r="N40" s="4"/>
    </row>
    <row r="41" spans="1:14">
      <c r="A41" s="21"/>
      <c r="B41" s="4" t="s">
        <v>71</v>
      </c>
      <c r="C41" s="17">
        <v>0</v>
      </c>
      <c r="D41" s="4" t="s">
        <v>77</v>
      </c>
      <c r="E41" s="4" t="s">
        <v>89</v>
      </c>
      <c r="F41" s="4" t="s">
        <v>236</v>
      </c>
      <c r="G41" s="4" t="s">
        <v>31</v>
      </c>
      <c r="H41" s="4" t="s">
        <v>238</v>
      </c>
      <c r="I41" s="4" t="s">
        <v>32</v>
      </c>
      <c r="J41" s="29"/>
      <c r="K41" s="4"/>
      <c r="L41" s="4"/>
      <c r="M41" s="4"/>
      <c r="N41" s="4"/>
    </row>
    <row r="42" spans="1:14">
      <c r="A42" s="21"/>
      <c r="B42" s="4" t="s">
        <v>72</v>
      </c>
      <c r="C42" s="17">
        <v>0</v>
      </c>
      <c r="D42" s="4" t="s">
        <v>76</v>
      </c>
      <c r="E42" s="4" t="s">
        <v>212</v>
      </c>
      <c r="F42" s="4" t="s">
        <v>236</v>
      </c>
      <c r="G42" s="4" t="s">
        <v>31</v>
      </c>
      <c r="H42" s="4" t="s">
        <v>238</v>
      </c>
      <c r="I42" s="4" t="s">
        <v>32</v>
      </c>
      <c r="J42" s="29"/>
      <c r="K42" s="4"/>
      <c r="L42" s="4"/>
      <c r="M42" s="4"/>
      <c r="N42" s="4"/>
    </row>
    <row r="43" spans="1:14">
      <c r="A43" s="21"/>
      <c r="B43" s="4" t="s">
        <v>73</v>
      </c>
      <c r="C43" s="17">
        <v>0</v>
      </c>
      <c r="D43" s="4" t="s">
        <v>80</v>
      </c>
      <c r="E43" s="4" t="s">
        <v>89</v>
      </c>
      <c r="F43" s="4" t="s">
        <v>236</v>
      </c>
      <c r="G43" s="4" t="s">
        <v>31</v>
      </c>
      <c r="H43" s="4" t="s">
        <v>238</v>
      </c>
      <c r="I43" s="4" t="s">
        <v>32</v>
      </c>
      <c r="J43" s="29" t="s">
        <v>90</v>
      </c>
      <c r="K43" s="4" t="s">
        <v>91</v>
      </c>
      <c r="L43" s="4"/>
      <c r="M43" s="4"/>
      <c r="N43" s="4"/>
    </row>
    <row r="44" spans="1:14">
      <c r="A44" s="21"/>
      <c r="B44" s="4" t="s">
        <v>74</v>
      </c>
      <c r="C44" s="17">
        <v>0</v>
      </c>
      <c r="D44" s="4" t="s">
        <v>75</v>
      </c>
      <c r="E44" s="4" t="s">
        <v>89</v>
      </c>
      <c r="F44" s="4" t="s">
        <v>236</v>
      </c>
      <c r="G44" s="4" t="s">
        <v>31</v>
      </c>
      <c r="H44" s="4" t="s">
        <v>238</v>
      </c>
      <c r="I44" s="4" t="s">
        <v>32</v>
      </c>
      <c r="J44" s="29"/>
      <c r="K44" s="4"/>
      <c r="L44" s="4"/>
      <c r="M44" s="4"/>
      <c r="N44" s="4"/>
    </row>
    <row r="45" spans="1:14">
      <c r="A45" s="21"/>
      <c r="B45" s="4" t="s">
        <v>68</v>
      </c>
      <c r="C45" s="17">
        <v>0</v>
      </c>
      <c r="D45" s="4" t="s">
        <v>79</v>
      </c>
      <c r="E45" s="4" t="s">
        <v>212</v>
      </c>
      <c r="F45" s="4" t="s">
        <v>236</v>
      </c>
      <c r="G45" s="4" t="s">
        <v>31</v>
      </c>
      <c r="H45" s="4" t="s">
        <v>238</v>
      </c>
      <c r="I45" s="4" t="s">
        <v>32</v>
      </c>
      <c r="J45" s="29" t="s">
        <v>92</v>
      </c>
      <c r="K45" s="4"/>
      <c r="L45" s="4"/>
      <c r="M45" s="4"/>
      <c r="N45" s="4"/>
    </row>
    <row r="46" spans="1:14">
      <c r="A46" s="21"/>
      <c r="B46" s="4" t="s">
        <v>81</v>
      </c>
      <c r="C46" s="17">
        <v>1</v>
      </c>
      <c r="D46" s="4" t="s">
        <v>82</v>
      </c>
      <c r="E46" s="4" t="s">
        <v>89</v>
      </c>
      <c r="F46" s="4" t="s">
        <v>236</v>
      </c>
      <c r="G46" s="4" t="s">
        <v>31</v>
      </c>
      <c r="H46" s="4" t="s">
        <v>238</v>
      </c>
      <c r="I46" s="4" t="s">
        <v>32</v>
      </c>
      <c r="J46" s="29" t="s">
        <v>91</v>
      </c>
      <c r="K46" s="4" t="s">
        <v>241</v>
      </c>
      <c r="L46" s="4" t="s">
        <v>92</v>
      </c>
      <c r="M46" s="4"/>
      <c r="N46" s="4"/>
    </row>
    <row r="47" spans="1:14">
      <c r="A47" s="21"/>
      <c r="B47" s="4" t="s">
        <v>83</v>
      </c>
      <c r="C47" s="17">
        <v>0</v>
      </c>
      <c r="D47" s="4" t="s">
        <v>84</v>
      </c>
      <c r="E47" s="4" t="s">
        <v>89</v>
      </c>
      <c r="F47" s="4" t="s">
        <v>236</v>
      </c>
      <c r="G47" s="4" t="s">
        <v>31</v>
      </c>
      <c r="H47" s="4" t="s">
        <v>238</v>
      </c>
      <c r="I47" s="4" t="s">
        <v>32</v>
      </c>
      <c r="J47" s="29"/>
      <c r="K47" s="4"/>
      <c r="L47" s="4"/>
      <c r="M47" s="4"/>
      <c r="N47" s="4"/>
    </row>
    <row r="48" spans="1:14">
      <c r="A48" s="21"/>
      <c r="B48" s="4" t="s">
        <v>72</v>
      </c>
      <c r="C48" s="17">
        <v>0</v>
      </c>
      <c r="D48" s="4" t="s">
        <v>76</v>
      </c>
      <c r="E48" s="4" t="s">
        <v>212</v>
      </c>
      <c r="F48" s="4" t="s">
        <v>236</v>
      </c>
      <c r="G48" s="4" t="s">
        <v>31</v>
      </c>
      <c r="H48" s="4" t="s">
        <v>238</v>
      </c>
      <c r="I48" s="4" t="s">
        <v>32</v>
      </c>
      <c r="J48" s="29"/>
      <c r="K48" s="4"/>
      <c r="L48" s="4"/>
      <c r="M48" s="4"/>
      <c r="N48" s="4"/>
    </row>
    <row r="49" spans="1:14">
      <c r="A49" s="21"/>
      <c r="B49" s="4" t="s">
        <v>74</v>
      </c>
      <c r="C49" s="17">
        <v>0</v>
      </c>
      <c r="D49" s="4" t="s">
        <v>75</v>
      </c>
      <c r="E49" s="4" t="s">
        <v>89</v>
      </c>
      <c r="F49" s="4" t="s">
        <v>236</v>
      </c>
      <c r="G49" s="4" t="s">
        <v>31</v>
      </c>
      <c r="H49" s="4" t="s">
        <v>238</v>
      </c>
      <c r="I49" s="4" t="s">
        <v>32</v>
      </c>
      <c r="J49" s="29"/>
      <c r="K49" s="4"/>
      <c r="L49" s="4"/>
      <c r="M49" s="4"/>
      <c r="N49" s="4"/>
    </row>
    <row r="50" spans="1:14">
      <c r="A50" s="21"/>
      <c r="B50" s="4" t="s">
        <v>81</v>
      </c>
      <c r="C50" s="17">
        <v>0</v>
      </c>
      <c r="D50" s="4" t="s">
        <v>79</v>
      </c>
      <c r="E50" s="4" t="s">
        <v>212</v>
      </c>
      <c r="F50" s="4" t="s">
        <v>236</v>
      </c>
      <c r="G50" s="4" t="s">
        <v>31</v>
      </c>
      <c r="H50" s="4" t="s">
        <v>238</v>
      </c>
      <c r="I50" s="4" t="s">
        <v>32</v>
      </c>
      <c r="J50" s="29" t="s">
        <v>92</v>
      </c>
      <c r="K50" s="4"/>
      <c r="L50" s="4"/>
      <c r="M50" s="4"/>
      <c r="N50" s="4"/>
    </row>
    <row r="51" spans="1:14">
      <c r="A51" s="21"/>
      <c r="B51" s="4" t="s">
        <v>87</v>
      </c>
      <c r="C51" s="17">
        <v>1</v>
      </c>
      <c r="D51" s="4" t="s">
        <v>85</v>
      </c>
      <c r="E51" s="4" t="s">
        <v>89</v>
      </c>
      <c r="F51" s="4" t="s">
        <v>236</v>
      </c>
      <c r="G51" s="4" t="s">
        <v>31</v>
      </c>
      <c r="H51" s="4" t="s">
        <v>238</v>
      </c>
      <c r="I51" s="4" t="s">
        <v>32</v>
      </c>
      <c r="J51" s="2" t="s">
        <v>241</v>
      </c>
      <c r="K51" s="4" t="s">
        <v>92</v>
      </c>
      <c r="L51" s="4"/>
      <c r="M51" s="4"/>
      <c r="N51" s="4"/>
    </row>
    <row r="52" spans="1:14">
      <c r="A52" s="21"/>
      <c r="B52" s="4" t="s">
        <v>87</v>
      </c>
      <c r="C52" s="17">
        <v>0</v>
      </c>
      <c r="D52" s="4" t="s">
        <v>86</v>
      </c>
      <c r="E52" s="4" t="s">
        <v>212</v>
      </c>
      <c r="F52" s="4" t="s">
        <v>236</v>
      </c>
      <c r="G52" s="4" t="s">
        <v>31</v>
      </c>
      <c r="H52" s="4" t="s">
        <v>238</v>
      </c>
      <c r="I52" s="4" t="s">
        <v>32</v>
      </c>
      <c r="J52" s="29"/>
      <c r="K52" s="4"/>
      <c r="L52" s="4"/>
      <c r="M52" s="4"/>
      <c r="N52" s="4"/>
    </row>
    <row r="54" spans="1:14">
      <c r="A54" s="21"/>
      <c r="B54" s="37" t="s">
        <v>184</v>
      </c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</row>
    <row r="55" spans="1:14">
      <c r="A55" s="21"/>
      <c r="B55" s="4" t="s">
        <v>185</v>
      </c>
      <c r="C55" s="18">
        <v>1</v>
      </c>
      <c r="D55" s="4" t="s">
        <v>37</v>
      </c>
      <c r="E55" s="4" t="s">
        <v>89</v>
      </c>
      <c r="F55" s="4" t="s">
        <v>236</v>
      </c>
      <c r="G55" s="4" t="s">
        <v>31</v>
      </c>
      <c r="H55" s="4" t="s">
        <v>238</v>
      </c>
      <c r="I55" s="4" t="s">
        <v>32</v>
      </c>
      <c r="J55" s="29" t="s">
        <v>33</v>
      </c>
      <c r="K55" s="4" t="s">
        <v>34</v>
      </c>
      <c r="L55" s="4" t="s">
        <v>35</v>
      </c>
      <c r="M55" s="4" t="s">
        <v>241</v>
      </c>
      <c r="N55" s="4" t="s">
        <v>92</v>
      </c>
    </row>
    <row r="56" spans="1:14">
      <c r="A56" s="21"/>
      <c r="B56" s="4" t="s">
        <v>186</v>
      </c>
      <c r="C56" s="17">
        <v>0</v>
      </c>
      <c r="D56" s="4" t="s">
        <v>45</v>
      </c>
      <c r="E56" s="4" t="s">
        <v>89</v>
      </c>
      <c r="F56" s="4" t="s">
        <v>236</v>
      </c>
      <c r="G56" s="4" t="s">
        <v>31</v>
      </c>
      <c r="H56" s="4" t="s">
        <v>238</v>
      </c>
      <c r="I56" s="4" t="s">
        <v>32</v>
      </c>
      <c r="J56" s="29"/>
      <c r="K56" s="4"/>
      <c r="L56" s="4"/>
      <c r="M56" s="4"/>
      <c r="N56" s="4"/>
    </row>
    <row r="57" spans="1:14">
      <c r="A57" s="21"/>
      <c r="B57" s="4" t="s">
        <v>187</v>
      </c>
      <c r="C57" s="17">
        <v>0</v>
      </c>
      <c r="D57" s="4" t="s">
        <v>48</v>
      </c>
      <c r="E57" s="4" t="s">
        <v>89</v>
      </c>
      <c r="F57" s="4" t="s">
        <v>236</v>
      </c>
      <c r="G57" s="4" t="s">
        <v>31</v>
      </c>
      <c r="H57" s="4" t="s">
        <v>238</v>
      </c>
      <c r="I57" s="4" t="s">
        <v>32</v>
      </c>
      <c r="J57" s="29" t="s">
        <v>33</v>
      </c>
      <c r="K57" s="4" t="s">
        <v>35</v>
      </c>
      <c r="L57" s="4"/>
      <c r="M57" s="4"/>
      <c r="N57" s="4"/>
    </row>
    <row r="58" spans="1:14">
      <c r="A58" s="21"/>
      <c r="B58" s="4" t="s">
        <v>188</v>
      </c>
      <c r="C58" s="17">
        <v>0</v>
      </c>
      <c r="D58" s="4" t="s">
        <v>50</v>
      </c>
      <c r="E58" s="4" t="s">
        <v>89</v>
      </c>
      <c r="F58" s="4" t="s">
        <v>236</v>
      </c>
      <c r="G58" s="4" t="s">
        <v>31</v>
      </c>
      <c r="H58" s="4" t="s">
        <v>238</v>
      </c>
      <c r="I58" s="4" t="s">
        <v>32</v>
      </c>
      <c r="J58" s="29"/>
      <c r="K58" s="4"/>
      <c r="L58" s="4"/>
      <c r="M58" s="4"/>
      <c r="N58" s="4"/>
    </row>
    <row r="59" spans="1:14">
      <c r="A59" s="21"/>
      <c r="B59" s="4" t="s">
        <v>189</v>
      </c>
      <c r="C59" s="17">
        <v>0</v>
      </c>
      <c r="D59" s="4" t="s">
        <v>51</v>
      </c>
      <c r="E59" s="4" t="s">
        <v>212</v>
      </c>
      <c r="F59" s="4" t="s">
        <v>236</v>
      </c>
      <c r="G59" s="4" t="s">
        <v>31</v>
      </c>
      <c r="H59" s="4" t="s">
        <v>238</v>
      </c>
      <c r="I59" s="4" t="s">
        <v>32</v>
      </c>
      <c r="J59" s="29"/>
      <c r="K59" s="4"/>
      <c r="L59" s="4"/>
      <c r="M59" s="4"/>
      <c r="N59" s="4"/>
    </row>
    <row r="60" spans="1:14">
      <c r="A60" s="21"/>
      <c r="B60" s="4" t="s">
        <v>190</v>
      </c>
      <c r="C60" s="17">
        <v>0</v>
      </c>
      <c r="D60" s="4" t="s">
        <v>54</v>
      </c>
      <c r="E60" s="4" t="s">
        <v>89</v>
      </c>
      <c r="F60" s="4" t="s">
        <v>236</v>
      </c>
      <c r="G60" s="4" t="s">
        <v>31</v>
      </c>
      <c r="H60" s="4" t="s">
        <v>238</v>
      </c>
      <c r="I60" s="4" t="s">
        <v>32</v>
      </c>
      <c r="J60" s="29" t="s">
        <v>90</v>
      </c>
      <c r="K60" s="4" t="s">
        <v>91</v>
      </c>
      <c r="L60" s="4"/>
      <c r="M60" s="4"/>
      <c r="N60" s="4"/>
    </row>
    <row r="61" spans="1:14">
      <c r="A61" s="21"/>
      <c r="B61" s="4" t="s">
        <v>191</v>
      </c>
      <c r="C61" s="17">
        <v>0</v>
      </c>
      <c r="D61" s="4" t="s">
        <v>55</v>
      </c>
      <c r="E61" s="4" t="s">
        <v>89</v>
      </c>
      <c r="F61" s="4" t="s">
        <v>236</v>
      </c>
      <c r="G61" s="4" t="s">
        <v>31</v>
      </c>
      <c r="H61" s="4" t="s">
        <v>238</v>
      </c>
      <c r="I61" s="4" t="s">
        <v>32</v>
      </c>
      <c r="J61" s="29"/>
      <c r="K61" s="4"/>
      <c r="L61" s="4"/>
      <c r="M61" s="4"/>
      <c r="N61" s="4"/>
    </row>
    <row r="62" spans="1:14">
      <c r="A62" s="21"/>
      <c r="B62" s="4" t="s">
        <v>192</v>
      </c>
      <c r="C62" s="17">
        <v>0</v>
      </c>
      <c r="D62" s="4" t="s">
        <v>58</v>
      </c>
      <c r="E62" s="4" t="s">
        <v>89</v>
      </c>
      <c r="F62" s="4" t="s">
        <v>236</v>
      </c>
      <c r="G62" s="4" t="s">
        <v>31</v>
      </c>
      <c r="H62" s="4" t="s">
        <v>238</v>
      </c>
      <c r="I62" s="4" t="s">
        <v>32</v>
      </c>
      <c r="J62" s="29"/>
      <c r="K62" s="4"/>
      <c r="L62" s="4"/>
      <c r="M62" s="4"/>
      <c r="N62" s="4"/>
    </row>
    <row r="63" spans="1:14">
      <c r="A63" s="21"/>
      <c r="B63" s="4" t="s">
        <v>193</v>
      </c>
      <c r="C63" s="17">
        <v>0</v>
      </c>
      <c r="D63" s="4" t="s">
        <v>59</v>
      </c>
      <c r="E63" s="4" t="s">
        <v>89</v>
      </c>
      <c r="F63" s="4" t="s">
        <v>236</v>
      </c>
      <c r="G63" s="4" t="s">
        <v>31</v>
      </c>
      <c r="H63" s="4" t="s">
        <v>238</v>
      </c>
      <c r="I63" s="4" t="s">
        <v>32</v>
      </c>
      <c r="J63" s="29"/>
      <c r="K63" s="4"/>
      <c r="L63" s="4"/>
      <c r="M63" s="4"/>
      <c r="N63" s="4"/>
    </row>
    <row r="64" spans="1:14">
      <c r="A64" s="21"/>
      <c r="B64" s="4" t="s">
        <v>194</v>
      </c>
      <c r="C64" s="17">
        <v>0</v>
      </c>
      <c r="D64" s="4" t="s">
        <v>62</v>
      </c>
      <c r="E64" s="4" t="s">
        <v>89</v>
      </c>
      <c r="F64" s="4" t="s">
        <v>236</v>
      </c>
      <c r="G64" s="4" t="s">
        <v>31</v>
      </c>
      <c r="H64" s="4" t="s">
        <v>238</v>
      </c>
      <c r="I64" s="4" t="s">
        <v>32</v>
      </c>
      <c r="J64" s="29"/>
      <c r="K64" s="4"/>
      <c r="L64" s="4"/>
      <c r="M64" s="4"/>
      <c r="N64" s="4"/>
    </row>
    <row r="65" spans="1:14">
      <c r="A65" s="21"/>
      <c r="B65" s="4" t="s">
        <v>195</v>
      </c>
      <c r="C65" s="17">
        <v>0</v>
      </c>
      <c r="D65" s="4" t="s">
        <v>63</v>
      </c>
      <c r="E65" s="4" t="s">
        <v>212</v>
      </c>
      <c r="F65" s="4" t="s">
        <v>236</v>
      </c>
      <c r="G65" s="4" t="s">
        <v>31</v>
      </c>
      <c r="H65" s="4" t="s">
        <v>238</v>
      </c>
      <c r="I65" s="4" t="s">
        <v>32</v>
      </c>
      <c r="J65" s="29" t="s">
        <v>92</v>
      </c>
      <c r="K65" s="4"/>
      <c r="L65" s="4"/>
      <c r="M65" s="4"/>
      <c r="N65" s="4"/>
    </row>
    <row r="66" spans="1:14">
      <c r="A66" s="21"/>
      <c r="B66" s="4" t="s">
        <v>196</v>
      </c>
      <c r="C66" s="17">
        <v>1</v>
      </c>
      <c r="D66" s="4" t="s">
        <v>64</v>
      </c>
      <c r="E66" s="4" t="s">
        <v>89</v>
      </c>
      <c r="F66" s="4" t="s">
        <v>236</v>
      </c>
      <c r="G66" s="4" t="s">
        <v>31</v>
      </c>
      <c r="H66" s="4" t="s">
        <v>238</v>
      </c>
      <c r="I66" s="4" t="s">
        <v>32</v>
      </c>
      <c r="J66" s="29" t="s">
        <v>90</v>
      </c>
      <c r="K66" s="4" t="s">
        <v>91</v>
      </c>
      <c r="L66" s="4" t="s">
        <v>241</v>
      </c>
      <c r="M66" s="4" t="s">
        <v>92</v>
      </c>
      <c r="N66" s="4"/>
    </row>
    <row r="67" spans="1:14">
      <c r="A67" s="21"/>
      <c r="B67" s="4" t="s">
        <v>189</v>
      </c>
      <c r="C67" s="17">
        <v>0</v>
      </c>
      <c r="D67" s="4" t="s">
        <v>51</v>
      </c>
      <c r="E67" s="4" t="s">
        <v>212</v>
      </c>
      <c r="F67" s="4" t="s">
        <v>236</v>
      </c>
      <c r="G67" s="4" t="s">
        <v>31</v>
      </c>
      <c r="H67" s="4" t="s">
        <v>238</v>
      </c>
      <c r="I67" s="4" t="s">
        <v>32</v>
      </c>
      <c r="J67" s="29"/>
      <c r="K67" s="4"/>
      <c r="L67" s="4"/>
      <c r="M67" s="4"/>
      <c r="N67" s="4"/>
    </row>
    <row r="68" spans="1:14">
      <c r="A68" s="21"/>
      <c r="B68" s="4" t="s">
        <v>191</v>
      </c>
      <c r="C68" s="17">
        <v>0</v>
      </c>
      <c r="D68" s="4" t="s">
        <v>55</v>
      </c>
      <c r="E68" s="4" t="s">
        <v>89</v>
      </c>
      <c r="F68" s="4" t="s">
        <v>236</v>
      </c>
      <c r="G68" s="4" t="s">
        <v>31</v>
      </c>
      <c r="H68" s="4" t="s">
        <v>238</v>
      </c>
      <c r="I68" s="4" t="s">
        <v>32</v>
      </c>
      <c r="J68" s="29"/>
      <c r="K68" s="4"/>
      <c r="L68" s="4"/>
      <c r="M68" s="4"/>
      <c r="N68" s="4"/>
    </row>
    <row r="69" spans="1:14">
      <c r="A69" s="21"/>
      <c r="B69" s="4" t="s">
        <v>194</v>
      </c>
      <c r="C69" s="17">
        <v>0</v>
      </c>
      <c r="D69" s="4" t="s">
        <v>62</v>
      </c>
      <c r="E69" s="4" t="s">
        <v>89</v>
      </c>
      <c r="F69" s="4" t="s">
        <v>236</v>
      </c>
      <c r="G69" s="4" t="s">
        <v>31</v>
      </c>
      <c r="H69" s="4" t="s">
        <v>238</v>
      </c>
      <c r="I69" s="4" t="s">
        <v>32</v>
      </c>
      <c r="J69" s="29"/>
      <c r="K69" s="4"/>
      <c r="L69" s="4"/>
      <c r="M69" s="4"/>
      <c r="N69" s="4"/>
    </row>
    <row r="70" spans="1:14">
      <c r="A70" s="21"/>
      <c r="B70" s="4" t="s">
        <v>197</v>
      </c>
      <c r="C70" s="17">
        <v>0</v>
      </c>
      <c r="D70" s="4" t="s">
        <v>63</v>
      </c>
      <c r="E70" s="4" t="s">
        <v>212</v>
      </c>
      <c r="F70" s="4" t="s">
        <v>236</v>
      </c>
      <c r="G70" s="4" t="s">
        <v>31</v>
      </c>
      <c r="H70" s="4" t="s">
        <v>238</v>
      </c>
      <c r="I70" s="4" t="s">
        <v>32</v>
      </c>
      <c r="J70" s="29" t="s">
        <v>92</v>
      </c>
      <c r="K70" s="4"/>
      <c r="L70" s="4"/>
      <c r="M70" s="4"/>
      <c r="N70" s="4"/>
    </row>
    <row r="71" spans="1:14">
      <c r="A71" s="21"/>
      <c r="B71" s="4" t="s">
        <v>198</v>
      </c>
      <c r="C71" s="17">
        <v>1</v>
      </c>
      <c r="D71" s="4" t="s">
        <v>66</v>
      </c>
      <c r="E71" s="4" t="s">
        <v>89</v>
      </c>
      <c r="F71" s="4" t="s">
        <v>236</v>
      </c>
      <c r="G71" s="4" t="s">
        <v>31</v>
      </c>
      <c r="H71" s="4" t="s">
        <v>238</v>
      </c>
      <c r="I71" s="4" t="s">
        <v>32</v>
      </c>
      <c r="J71" s="29" t="s">
        <v>33</v>
      </c>
      <c r="K71" s="4" t="s">
        <v>34</v>
      </c>
      <c r="L71" s="4" t="s">
        <v>35</v>
      </c>
      <c r="M71" s="4" t="s">
        <v>241</v>
      </c>
      <c r="N71" s="4" t="s">
        <v>92</v>
      </c>
    </row>
    <row r="72" spans="1:14">
      <c r="A72" s="21"/>
      <c r="B72" s="4" t="s">
        <v>199</v>
      </c>
      <c r="C72" s="17">
        <v>0</v>
      </c>
      <c r="D72" s="4" t="s">
        <v>67</v>
      </c>
      <c r="E72" s="4" t="s">
        <v>89</v>
      </c>
      <c r="F72" s="4" t="s">
        <v>236</v>
      </c>
      <c r="G72" s="4" t="s">
        <v>31</v>
      </c>
      <c r="H72" s="4" t="s">
        <v>238</v>
      </c>
      <c r="I72" s="4" t="s">
        <v>32</v>
      </c>
      <c r="J72" s="29"/>
      <c r="K72" s="4"/>
      <c r="L72" s="4"/>
      <c r="M72" s="4"/>
      <c r="N72" s="4"/>
    </row>
    <row r="73" spans="1:14">
      <c r="A73" s="21"/>
      <c r="B73" s="4" t="s">
        <v>200</v>
      </c>
      <c r="C73" s="17">
        <v>0</v>
      </c>
      <c r="D73" s="4" t="s">
        <v>78</v>
      </c>
      <c r="E73" s="4" t="s">
        <v>89</v>
      </c>
      <c r="F73" s="4" t="s">
        <v>236</v>
      </c>
      <c r="G73" s="4" t="s">
        <v>31</v>
      </c>
      <c r="H73" s="4" t="s">
        <v>238</v>
      </c>
      <c r="I73" s="4" t="s">
        <v>32</v>
      </c>
      <c r="J73" s="29" t="s">
        <v>33</v>
      </c>
      <c r="K73" s="4" t="s">
        <v>35</v>
      </c>
      <c r="L73" s="4"/>
      <c r="M73" s="4"/>
      <c r="N73" s="4"/>
    </row>
    <row r="74" spans="1:14">
      <c r="A74" s="21"/>
      <c r="B74" s="4" t="s">
        <v>201</v>
      </c>
      <c r="C74" s="17">
        <v>0</v>
      </c>
      <c r="D74" s="4" t="s">
        <v>77</v>
      </c>
      <c r="E74" s="4" t="s">
        <v>89</v>
      </c>
      <c r="F74" s="4" t="s">
        <v>236</v>
      </c>
      <c r="G74" s="4" t="s">
        <v>31</v>
      </c>
      <c r="H74" s="4" t="s">
        <v>238</v>
      </c>
      <c r="I74" s="4" t="s">
        <v>32</v>
      </c>
      <c r="J74" s="29"/>
      <c r="K74" s="4"/>
      <c r="L74" s="4"/>
      <c r="M74" s="4"/>
      <c r="N74" s="4"/>
    </row>
    <row r="75" spans="1:14">
      <c r="A75" s="21"/>
      <c r="B75" s="4" t="s">
        <v>202</v>
      </c>
      <c r="C75" s="17">
        <v>0</v>
      </c>
      <c r="D75" s="4" t="s">
        <v>76</v>
      </c>
      <c r="E75" s="4" t="s">
        <v>212</v>
      </c>
      <c r="F75" s="4" t="s">
        <v>236</v>
      </c>
      <c r="G75" s="4" t="s">
        <v>31</v>
      </c>
      <c r="H75" s="4" t="s">
        <v>238</v>
      </c>
      <c r="I75" s="4" t="s">
        <v>32</v>
      </c>
      <c r="J75" s="29"/>
      <c r="K75" s="4"/>
      <c r="L75" s="4"/>
      <c r="M75" s="4"/>
      <c r="N75" s="4"/>
    </row>
    <row r="76" spans="1:14">
      <c r="A76" s="21"/>
      <c r="B76" s="4" t="s">
        <v>203</v>
      </c>
      <c r="C76" s="17">
        <v>0</v>
      </c>
      <c r="D76" s="4" t="s">
        <v>80</v>
      </c>
      <c r="E76" s="4" t="s">
        <v>89</v>
      </c>
      <c r="F76" s="4" t="s">
        <v>236</v>
      </c>
      <c r="G76" s="4" t="s">
        <v>31</v>
      </c>
      <c r="H76" s="4" t="s">
        <v>238</v>
      </c>
      <c r="I76" s="4" t="s">
        <v>32</v>
      </c>
      <c r="J76" s="29" t="s">
        <v>90</v>
      </c>
      <c r="K76" s="4" t="s">
        <v>91</v>
      </c>
      <c r="L76" s="4"/>
      <c r="M76" s="4"/>
      <c r="N76" s="4"/>
    </row>
    <row r="77" spans="1:14">
      <c r="A77" s="21"/>
      <c r="B77" s="4" t="s">
        <v>204</v>
      </c>
      <c r="C77" s="17">
        <v>0</v>
      </c>
      <c r="D77" s="4" t="s">
        <v>75</v>
      </c>
      <c r="E77" s="4" t="s">
        <v>89</v>
      </c>
      <c r="F77" s="4" t="s">
        <v>236</v>
      </c>
      <c r="G77" s="4" t="s">
        <v>31</v>
      </c>
      <c r="H77" s="4" t="s">
        <v>238</v>
      </c>
      <c r="I77" s="4" t="s">
        <v>32</v>
      </c>
      <c r="J77" s="29"/>
      <c r="K77" s="4"/>
      <c r="L77" s="4"/>
      <c r="M77" s="4"/>
      <c r="N77" s="4"/>
    </row>
    <row r="78" spans="1:14">
      <c r="A78" s="21"/>
      <c r="B78" s="4" t="s">
        <v>205</v>
      </c>
      <c r="C78" s="17">
        <v>0</v>
      </c>
      <c r="D78" s="4" t="s">
        <v>79</v>
      </c>
      <c r="E78" s="4" t="s">
        <v>212</v>
      </c>
      <c r="F78" s="4" t="s">
        <v>236</v>
      </c>
      <c r="G78" s="4" t="s">
        <v>31</v>
      </c>
      <c r="H78" s="4" t="s">
        <v>238</v>
      </c>
      <c r="I78" s="4" t="s">
        <v>32</v>
      </c>
      <c r="J78" s="29" t="s">
        <v>92</v>
      </c>
      <c r="K78" s="4"/>
      <c r="L78" s="4"/>
      <c r="M78" s="4"/>
      <c r="N78" s="4"/>
    </row>
    <row r="79" spans="1:14">
      <c r="A79" s="21"/>
      <c r="B79" s="4" t="s">
        <v>206</v>
      </c>
      <c r="C79" s="17">
        <v>1</v>
      </c>
      <c r="D79" s="4" t="s">
        <v>82</v>
      </c>
      <c r="E79" s="4" t="s">
        <v>89</v>
      </c>
      <c r="F79" s="4" t="s">
        <v>236</v>
      </c>
      <c r="G79" s="4" t="s">
        <v>31</v>
      </c>
      <c r="H79" s="4" t="s">
        <v>238</v>
      </c>
      <c r="I79" s="4" t="s">
        <v>32</v>
      </c>
      <c r="J79" s="29" t="s">
        <v>91</v>
      </c>
      <c r="K79" s="4" t="s">
        <v>241</v>
      </c>
      <c r="L79" s="4" t="s">
        <v>92</v>
      </c>
      <c r="M79" s="4"/>
      <c r="N79" s="4"/>
    </row>
    <row r="80" spans="1:14">
      <c r="A80" s="21"/>
      <c r="B80" s="4" t="s">
        <v>207</v>
      </c>
      <c r="C80" s="17">
        <v>0</v>
      </c>
      <c r="D80" s="4" t="s">
        <v>84</v>
      </c>
      <c r="E80" s="4" t="s">
        <v>89</v>
      </c>
      <c r="F80" s="4" t="s">
        <v>236</v>
      </c>
      <c r="G80" s="4" t="s">
        <v>31</v>
      </c>
      <c r="H80" s="4" t="s">
        <v>238</v>
      </c>
      <c r="I80" s="4" t="s">
        <v>32</v>
      </c>
      <c r="J80" s="29"/>
      <c r="K80" s="4"/>
      <c r="L80" s="4"/>
      <c r="M80" s="4"/>
      <c r="N80" s="4"/>
    </row>
    <row r="81" spans="1:14">
      <c r="A81" s="21"/>
      <c r="B81" s="4" t="s">
        <v>202</v>
      </c>
      <c r="C81" s="17">
        <v>0</v>
      </c>
      <c r="D81" s="4" t="s">
        <v>76</v>
      </c>
      <c r="E81" s="4" t="s">
        <v>212</v>
      </c>
      <c r="F81" s="4" t="s">
        <v>236</v>
      </c>
      <c r="G81" s="4" t="s">
        <v>31</v>
      </c>
      <c r="H81" s="4" t="s">
        <v>238</v>
      </c>
      <c r="I81" s="4" t="s">
        <v>32</v>
      </c>
      <c r="J81" s="29"/>
      <c r="K81" s="4"/>
      <c r="L81" s="4"/>
      <c r="M81" s="4"/>
      <c r="N81" s="4"/>
    </row>
    <row r="82" spans="1:14">
      <c r="A82" s="21"/>
      <c r="B82" s="4" t="s">
        <v>204</v>
      </c>
      <c r="C82" s="17">
        <v>0</v>
      </c>
      <c r="D82" s="4" t="s">
        <v>75</v>
      </c>
      <c r="E82" s="4" t="s">
        <v>89</v>
      </c>
      <c r="F82" s="4" t="s">
        <v>236</v>
      </c>
      <c r="G82" s="4" t="s">
        <v>31</v>
      </c>
      <c r="H82" s="4" t="s">
        <v>238</v>
      </c>
      <c r="I82" s="4" t="s">
        <v>32</v>
      </c>
      <c r="J82" s="29"/>
      <c r="K82" s="4"/>
      <c r="L82" s="4"/>
      <c r="M82" s="4"/>
      <c r="N82" s="4"/>
    </row>
    <row r="83" spans="1:14">
      <c r="A83" s="21"/>
      <c r="B83" s="4" t="s">
        <v>208</v>
      </c>
      <c r="C83" s="17">
        <v>0</v>
      </c>
      <c r="D83" s="4" t="s">
        <v>79</v>
      </c>
      <c r="E83" s="4" t="s">
        <v>212</v>
      </c>
      <c r="F83" s="4" t="s">
        <v>236</v>
      </c>
      <c r="G83" s="4" t="s">
        <v>31</v>
      </c>
      <c r="H83" s="4" t="s">
        <v>238</v>
      </c>
      <c r="I83" s="4" t="s">
        <v>32</v>
      </c>
      <c r="J83" s="29" t="s">
        <v>92</v>
      </c>
      <c r="K83" s="4"/>
      <c r="L83" s="4"/>
      <c r="M83" s="4"/>
      <c r="N83" s="4"/>
    </row>
    <row r="84" spans="1:14">
      <c r="A84" s="21"/>
      <c r="B84" s="4" t="s">
        <v>209</v>
      </c>
      <c r="C84" s="17">
        <v>1</v>
      </c>
      <c r="D84" s="4" t="s">
        <v>85</v>
      </c>
      <c r="E84" s="4" t="s">
        <v>89</v>
      </c>
      <c r="F84" s="4" t="s">
        <v>236</v>
      </c>
      <c r="G84" s="4" t="s">
        <v>31</v>
      </c>
      <c r="H84" s="4" t="s">
        <v>238</v>
      </c>
      <c r="I84" s="4" t="s">
        <v>32</v>
      </c>
      <c r="J84" s="2" t="s">
        <v>241</v>
      </c>
      <c r="K84" s="4" t="s">
        <v>92</v>
      </c>
      <c r="L84" s="4"/>
      <c r="M84" s="4"/>
      <c r="N84" s="4"/>
    </row>
    <row r="85" spans="1:14">
      <c r="A85" s="21"/>
      <c r="B85" s="4" t="s">
        <v>210</v>
      </c>
      <c r="C85" s="17">
        <v>0</v>
      </c>
      <c r="D85" s="4" t="s">
        <v>86</v>
      </c>
      <c r="E85" s="4" t="s">
        <v>212</v>
      </c>
      <c r="F85" s="4" t="s">
        <v>236</v>
      </c>
      <c r="G85" s="4" t="s">
        <v>31</v>
      </c>
      <c r="H85" s="4" t="s">
        <v>238</v>
      </c>
      <c r="I85" s="4" t="s">
        <v>32</v>
      </c>
      <c r="J85" s="4" t="s">
        <v>92</v>
      </c>
      <c r="K85" s="4"/>
      <c r="L85" s="4"/>
      <c r="M85" s="4"/>
      <c r="N85" s="4"/>
    </row>
    <row r="87" spans="1:14">
      <c r="B87" s="37" t="s">
        <v>138</v>
      </c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</row>
    <row r="88" spans="1:14" ht="175" customHeight="1">
      <c r="B88" s="23" t="s">
        <v>139</v>
      </c>
      <c r="C88" s="23" t="s">
        <v>140</v>
      </c>
      <c r="D88" s="28" t="s">
        <v>234</v>
      </c>
      <c r="E88" s="24" t="s">
        <v>232</v>
      </c>
      <c r="F88" s="28" t="s">
        <v>235</v>
      </c>
      <c r="G88" s="24" t="s">
        <v>233</v>
      </c>
      <c r="H88" s="24" t="s">
        <v>142</v>
      </c>
      <c r="I88" s="24" t="s">
        <v>152</v>
      </c>
      <c r="J88" s="24" t="s">
        <v>143</v>
      </c>
      <c r="K88" s="24" t="s">
        <v>144</v>
      </c>
      <c r="L88" s="24" t="s">
        <v>145</v>
      </c>
      <c r="M88" s="24" t="s">
        <v>242</v>
      </c>
      <c r="N88" s="24" t="s">
        <v>243</v>
      </c>
    </row>
    <row r="89" spans="1:14">
      <c r="B89" s="3" t="s">
        <v>212</v>
      </c>
      <c r="C89" s="3" t="s">
        <v>89</v>
      </c>
      <c r="D89" s="3" t="s">
        <v>237</v>
      </c>
      <c r="E89" s="3" t="s">
        <v>31</v>
      </c>
      <c r="F89" s="3" t="s">
        <v>239</v>
      </c>
      <c r="G89" s="3" t="s">
        <v>32</v>
      </c>
      <c r="H89" s="3" t="s">
        <v>33</v>
      </c>
      <c r="I89" s="3" t="s">
        <v>34</v>
      </c>
      <c r="J89" s="3" t="s">
        <v>35</v>
      </c>
      <c r="K89" s="3" t="s">
        <v>90</v>
      </c>
      <c r="L89" s="3" t="s">
        <v>91</v>
      </c>
      <c r="M89" s="3" t="s">
        <v>241</v>
      </c>
      <c r="N89" s="3" t="s">
        <v>92</v>
      </c>
    </row>
    <row r="90" spans="1:14">
      <c r="B90" s="4" t="s">
        <v>168</v>
      </c>
      <c r="C90" s="4" t="s">
        <v>153</v>
      </c>
      <c r="D90" s="4" t="s">
        <v>95</v>
      </c>
      <c r="E90" s="4" t="s">
        <v>116</v>
      </c>
      <c r="F90" s="4" t="s">
        <v>95</v>
      </c>
      <c r="G90" s="4" t="s">
        <v>116</v>
      </c>
      <c r="H90" s="25" t="s">
        <v>117</v>
      </c>
      <c r="I90" s="4" t="s">
        <v>95</v>
      </c>
      <c r="J90" s="4" t="s">
        <v>95</v>
      </c>
      <c r="K90" s="4" t="s">
        <v>146</v>
      </c>
      <c r="L90" s="4" t="s">
        <v>95</v>
      </c>
      <c r="M90" s="4" t="s">
        <v>221</v>
      </c>
      <c r="N90" s="4" t="s">
        <v>244</v>
      </c>
    </row>
    <row r="91" spans="1:14">
      <c r="B91" s="4" t="s">
        <v>95</v>
      </c>
      <c r="C91" s="4" t="s">
        <v>154</v>
      </c>
      <c r="D91" s="4" t="s">
        <v>118</v>
      </c>
      <c r="E91" s="4" t="s">
        <v>227</v>
      </c>
      <c r="F91" s="4" t="s">
        <v>118</v>
      </c>
      <c r="G91" s="4" t="s">
        <v>227</v>
      </c>
      <c r="H91" s="25" t="s">
        <v>141</v>
      </c>
      <c r="I91" s="4" t="s">
        <v>118</v>
      </c>
      <c r="J91" s="4" t="s">
        <v>118</v>
      </c>
      <c r="K91" s="4" t="s">
        <v>147</v>
      </c>
      <c r="L91" s="4" t="s">
        <v>118</v>
      </c>
      <c r="M91" s="4" t="s">
        <v>95</v>
      </c>
      <c r="N91" s="4" t="s">
        <v>44</v>
      </c>
    </row>
    <row r="92" spans="1:14">
      <c r="B92" s="4"/>
      <c r="C92" s="4" t="s">
        <v>116</v>
      </c>
      <c r="D92" s="4" t="s">
        <v>213</v>
      </c>
      <c r="E92" s="4" t="s">
        <v>228</v>
      </c>
      <c r="F92" s="4" t="s">
        <v>213</v>
      </c>
      <c r="G92" s="4" t="s">
        <v>228</v>
      </c>
      <c r="H92" s="4"/>
      <c r="I92" s="4"/>
      <c r="J92" s="4"/>
      <c r="K92" s="4" t="s">
        <v>148</v>
      </c>
      <c r="L92" s="4"/>
      <c r="M92" s="4"/>
      <c r="N92" s="4" t="s">
        <v>247</v>
      </c>
    </row>
    <row r="93" spans="1:14">
      <c r="B93" s="4"/>
      <c r="C93" s="4" t="s">
        <v>155</v>
      </c>
      <c r="D93" s="4"/>
      <c r="E93" s="4" t="s">
        <v>229</v>
      </c>
      <c r="F93" s="4"/>
      <c r="G93" s="4" t="s">
        <v>229</v>
      </c>
      <c r="H93" s="4"/>
      <c r="I93" s="4"/>
      <c r="J93" s="4"/>
      <c r="K93" s="4" t="s">
        <v>120</v>
      </c>
      <c r="L93" s="4"/>
      <c r="M93" s="4"/>
      <c r="N93" s="4" t="s">
        <v>248</v>
      </c>
    </row>
    <row r="94" spans="1:14">
      <c r="B94" s="4"/>
      <c r="C94" s="4" t="s">
        <v>115</v>
      </c>
      <c r="D94" s="4"/>
      <c r="E94" s="4" t="s">
        <v>230</v>
      </c>
      <c r="F94" s="4"/>
      <c r="G94" s="4" t="s">
        <v>230</v>
      </c>
      <c r="H94" s="4"/>
      <c r="I94" s="4"/>
      <c r="J94" s="4"/>
      <c r="K94" s="4" t="s">
        <v>118</v>
      </c>
      <c r="L94" s="4"/>
      <c r="M94" s="4"/>
      <c r="N94" s="4" t="s">
        <v>151</v>
      </c>
    </row>
    <row r="95" spans="1:14">
      <c r="B95" s="4"/>
      <c r="C95" s="4" t="s">
        <v>156</v>
      </c>
      <c r="D95" s="4"/>
      <c r="E95" s="4" t="s">
        <v>231</v>
      </c>
      <c r="F95" s="4"/>
      <c r="G95" s="4" t="s">
        <v>231</v>
      </c>
      <c r="H95" s="4"/>
      <c r="I95" s="4"/>
      <c r="J95" s="4"/>
      <c r="K95" s="4" t="s">
        <v>213</v>
      </c>
      <c r="L95" s="4"/>
      <c r="M95" s="4"/>
      <c r="N95" s="4" t="s">
        <v>122</v>
      </c>
    </row>
    <row r="96" spans="1:14">
      <c r="B96" s="4"/>
      <c r="C96" s="4" t="s">
        <v>157</v>
      </c>
      <c r="D96" s="4"/>
      <c r="E96" s="4"/>
      <c r="F96" s="4"/>
      <c r="G96" s="4"/>
      <c r="H96" s="4"/>
      <c r="I96" s="4"/>
      <c r="J96" s="4"/>
      <c r="K96" s="4"/>
      <c r="L96" s="4"/>
      <c r="M96" s="4"/>
      <c r="N96" s="4" t="s">
        <v>149</v>
      </c>
    </row>
    <row r="97" spans="2:14">
      <c r="B97" s="4"/>
      <c r="C97" s="4" t="s">
        <v>158</v>
      </c>
      <c r="D97" s="4"/>
      <c r="E97" s="4"/>
      <c r="F97" s="4"/>
      <c r="G97" s="4"/>
      <c r="H97" s="4"/>
      <c r="I97" s="4"/>
      <c r="J97" s="4"/>
      <c r="K97" s="4"/>
      <c r="L97" s="4"/>
      <c r="M97" s="4"/>
      <c r="N97" s="4" t="s">
        <v>150</v>
      </c>
    </row>
    <row r="98" spans="2:14">
      <c r="B98" s="4"/>
      <c r="C98" s="4" t="s">
        <v>159</v>
      </c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</row>
    <row r="99" spans="2:14">
      <c r="B99" s="4"/>
      <c r="C99" s="4" t="s">
        <v>121</v>
      </c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</row>
    <row r="100" spans="2:14">
      <c r="B100" s="4"/>
      <c r="C100" s="4" t="s">
        <v>160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</row>
    <row r="101" spans="2:14">
      <c r="B101" s="4"/>
      <c r="C101" s="4" t="s">
        <v>161</v>
      </c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</row>
    <row r="102" spans="2:14">
      <c r="B102" s="4"/>
      <c r="C102" s="4" t="s">
        <v>162</v>
      </c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</row>
    <row r="103" spans="2:14">
      <c r="B103" s="4"/>
      <c r="C103" s="4" t="s">
        <v>119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</row>
    <row r="104" spans="2:14">
      <c r="B104" s="4"/>
      <c r="C104" s="4" t="s">
        <v>163</v>
      </c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</row>
    <row r="105" spans="2:14">
      <c r="B105" s="4"/>
      <c r="C105" s="4" t="s">
        <v>164</v>
      </c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</row>
    <row r="106" spans="2:14">
      <c r="B106" s="4"/>
      <c r="C106" s="4" t="s">
        <v>165</v>
      </c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</row>
    <row r="107" spans="2:14">
      <c r="B107" s="4"/>
      <c r="C107" s="4" t="s">
        <v>166</v>
      </c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</row>
    <row r="108" spans="2:14">
      <c r="B108" s="4"/>
      <c r="C108" s="4" t="s">
        <v>167</v>
      </c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</row>
  </sheetData>
  <mergeCells count="6">
    <mergeCell ref="B8:F8"/>
    <mergeCell ref="B4:F4"/>
    <mergeCell ref="B1:F1"/>
    <mergeCell ref="B87:N87"/>
    <mergeCell ref="B21:N21"/>
    <mergeCell ref="B54:N54"/>
  </mergeCells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07B67-4965-714E-825E-13B65431E1C3}">
  <dimension ref="B2:D18"/>
  <sheetViews>
    <sheetView workbookViewId="0">
      <selection activeCell="D18" sqref="D18"/>
    </sheetView>
  </sheetViews>
  <sheetFormatPr baseColWidth="10" defaultRowHeight="14"/>
  <cols>
    <col min="1" max="1" width="6.33203125" customWidth="1"/>
    <col min="2" max="2" width="7.33203125" customWidth="1"/>
    <col min="3" max="3" width="24.1640625" customWidth="1"/>
    <col min="4" max="4" width="20.5" customWidth="1"/>
  </cols>
  <sheetData>
    <row r="2" spans="2:4">
      <c r="B2" s="30" t="s">
        <v>255</v>
      </c>
      <c r="C2" s="30"/>
    </row>
    <row r="3" spans="2:4">
      <c r="B3" s="30"/>
      <c r="C3" s="30"/>
    </row>
    <row r="4" spans="2:4">
      <c r="C4" s="31" t="s">
        <v>20</v>
      </c>
      <c r="D4" s="30" t="s">
        <v>256</v>
      </c>
    </row>
    <row r="5" spans="2:4">
      <c r="C5" s="31" t="s">
        <v>260</v>
      </c>
      <c r="D5" s="31" t="s">
        <v>257</v>
      </c>
    </row>
    <row r="6" spans="2:4">
      <c r="C6" s="31" t="s">
        <v>19</v>
      </c>
      <c r="D6" s="31" t="s">
        <v>258</v>
      </c>
    </row>
    <row r="7" spans="2:4">
      <c r="C7" s="31" t="s">
        <v>261</v>
      </c>
      <c r="D7" s="31" t="s">
        <v>259</v>
      </c>
    </row>
    <row r="9" spans="2:4">
      <c r="C9" s="31" t="s">
        <v>262</v>
      </c>
      <c r="D9" s="31" t="s">
        <v>263</v>
      </c>
    </row>
    <row r="10" spans="2:4">
      <c r="C10" s="31" t="s">
        <v>264</v>
      </c>
      <c r="D10" s="31" t="s">
        <v>265</v>
      </c>
    </row>
    <row r="12" spans="2:4" ht="60">
      <c r="C12" s="31" t="s">
        <v>267</v>
      </c>
      <c r="D12" s="32" t="s">
        <v>266</v>
      </c>
    </row>
    <row r="14" spans="2:4">
      <c r="C14" s="31" t="s">
        <v>268</v>
      </c>
      <c r="D14" s="30" t="s">
        <v>269</v>
      </c>
    </row>
    <row r="15" spans="2:4">
      <c r="C15" s="30" t="s">
        <v>270</v>
      </c>
      <c r="D15" s="31" t="s">
        <v>271</v>
      </c>
    </row>
    <row r="17" spans="3:4">
      <c r="C17" s="31" t="s">
        <v>272</v>
      </c>
      <c r="D17" s="33" t="s">
        <v>244</v>
      </c>
    </row>
    <row r="18" spans="3:4">
      <c r="C18" s="31" t="s">
        <v>273</v>
      </c>
      <c r="D18">
        <v>0</v>
      </c>
    </row>
  </sheetData>
  <phoneticPr fontId="1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BJ1000"/>
  <sheetViews>
    <sheetView showGridLines="0" workbookViewId="0"/>
  </sheetViews>
  <sheetFormatPr baseColWidth="10" defaultColWidth="12.6640625" defaultRowHeight="15" customHeight="1"/>
  <cols>
    <col min="1" max="60" width="2.1640625" customWidth="1"/>
    <col min="61" max="62" width="7.83203125" customWidth="1"/>
  </cols>
  <sheetData>
    <row r="1" spans="1:62" ht="15" customHeight="1">
      <c r="A1" s="52" t="str">
        <f t="array" aca="1" ref="A1" ca="1">MID(CELL("filename",A1),FIND("]",CELL("filename",A1))+1,20)</f>
        <v>テーブル編集仕様書</v>
      </c>
      <c r="B1" s="47"/>
      <c r="C1" s="47"/>
      <c r="D1" s="47"/>
      <c r="E1" s="47"/>
      <c r="F1" s="47"/>
      <c r="G1" s="47"/>
      <c r="H1" s="47"/>
      <c r="I1" s="47"/>
      <c r="J1" s="48"/>
      <c r="K1" s="53" t="s">
        <v>0</v>
      </c>
      <c r="L1" s="43"/>
      <c r="M1" s="43"/>
      <c r="N1" s="43"/>
      <c r="O1" s="43"/>
      <c r="P1" s="43"/>
      <c r="Q1" s="43"/>
      <c r="R1" s="54"/>
      <c r="S1" s="53" t="s">
        <v>2</v>
      </c>
      <c r="T1" s="43"/>
      <c r="U1" s="43"/>
      <c r="V1" s="43"/>
      <c r="W1" s="43"/>
      <c r="X1" s="43"/>
      <c r="Y1" s="43"/>
      <c r="Z1" s="44"/>
      <c r="AA1" s="53" t="s">
        <v>1</v>
      </c>
      <c r="AB1" s="43"/>
      <c r="AC1" s="43"/>
      <c r="AD1" s="43"/>
      <c r="AE1" s="43"/>
      <c r="AF1" s="43"/>
      <c r="AG1" s="43"/>
      <c r="AH1" s="43"/>
      <c r="AI1" s="43"/>
      <c r="AJ1" s="54"/>
      <c r="AK1" s="53" t="s">
        <v>3</v>
      </c>
      <c r="AL1" s="43"/>
      <c r="AM1" s="43"/>
      <c r="AN1" s="43"/>
      <c r="AO1" s="43"/>
      <c r="AP1" s="44"/>
      <c r="AQ1" s="53" t="s">
        <v>4</v>
      </c>
      <c r="AR1" s="43"/>
      <c r="AS1" s="43"/>
      <c r="AT1" s="43"/>
      <c r="AU1" s="43"/>
      <c r="AV1" s="44"/>
      <c r="AW1" s="53" t="s">
        <v>5</v>
      </c>
      <c r="AX1" s="43"/>
      <c r="AY1" s="43"/>
      <c r="AZ1" s="43"/>
      <c r="BA1" s="43"/>
      <c r="BB1" s="44"/>
      <c r="BC1" s="53" t="s">
        <v>6</v>
      </c>
      <c r="BD1" s="43"/>
      <c r="BE1" s="43"/>
      <c r="BF1" s="43"/>
      <c r="BG1" s="43"/>
      <c r="BH1" s="44"/>
      <c r="BI1" s="1"/>
      <c r="BJ1" s="1"/>
    </row>
    <row r="2" spans="1:62" ht="15" customHeight="1">
      <c r="A2" s="49"/>
      <c r="B2" s="50"/>
      <c r="C2" s="50"/>
      <c r="D2" s="50"/>
      <c r="E2" s="50"/>
      <c r="F2" s="50"/>
      <c r="G2" s="50"/>
      <c r="H2" s="50"/>
      <c r="I2" s="50"/>
      <c r="J2" s="51"/>
      <c r="K2" s="59" t="e">
        <f>#REF!</f>
        <v>#REF!</v>
      </c>
      <c r="L2" s="43"/>
      <c r="M2" s="43"/>
      <c r="N2" s="43"/>
      <c r="O2" s="43"/>
      <c r="P2" s="43"/>
      <c r="Q2" s="43"/>
      <c r="R2" s="43"/>
      <c r="S2" s="59" t="e">
        <f>#REF!</f>
        <v>#REF!</v>
      </c>
      <c r="T2" s="43"/>
      <c r="U2" s="43"/>
      <c r="V2" s="43"/>
      <c r="W2" s="43"/>
      <c r="X2" s="43"/>
      <c r="Y2" s="43"/>
      <c r="Z2" s="44"/>
      <c r="AA2" s="59" t="e">
        <f>#REF!</f>
        <v>#REF!</v>
      </c>
      <c r="AB2" s="43"/>
      <c r="AC2" s="43"/>
      <c r="AD2" s="43"/>
      <c r="AE2" s="43"/>
      <c r="AF2" s="43"/>
      <c r="AG2" s="43"/>
      <c r="AH2" s="43"/>
      <c r="AI2" s="43"/>
      <c r="AJ2" s="43"/>
      <c r="AK2" s="59" t="e">
        <f>#REF!</f>
        <v>#REF!</v>
      </c>
      <c r="AL2" s="43"/>
      <c r="AM2" s="43"/>
      <c r="AN2" s="43"/>
      <c r="AO2" s="43"/>
      <c r="AP2" s="44"/>
      <c r="AQ2" s="42">
        <v>44182</v>
      </c>
      <c r="AR2" s="43"/>
      <c r="AS2" s="43"/>
      <c r="AT2" s="43"/>
      <c r="AU2" s="43"/>
      <c r="AV2" s="44"/>
      <c r="AW2" s="42"/>
      <c r="AX2" s="43"/>
      <c r="AY2" s="43"/>
      <c r="AZ2" s="43"/>
      <c r="BA2" s="43"/>
      <c r="BB2" s="44"/>
      <c r="BC2" s="45" t="s">
        <v>9</v>
      </c>
      <c r="BD2" s="43"/>
      <c r="BE2" s="43"/>
      <c r="BF2" s="43"/>
      <c r="BG2" s="43"/>
      <c r="BH2" s="44"/>
      <c r="BI2" s="1"/>
      <c r="BJ2" s="1"/>
    </row>
    <row r="3" spans="1:62" ht="15" customHeight="1">
      <c r="A3" s="46" t="s">
        <v>10</v>
      </c>
      <c r="B3" s="47"/>
      <c r="C3" s="47"/>
      <c r="D3" s="48"/>
      <c r="E3" s="60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6" t="s">
        <v>11</v>
      </c>
      <c r="V3" s="47"/>
      <c r="W3" s="47"/>
      <c r="X3" s="48"/>
      <c r="Y3" s="46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8"/>
      <c r="AK3" s="46" t="s">
        <v>12</v>
      </c>
      <c r="AL3" s="47"/>
      <c r="AM3" s="47"/>
      <c r="AN3" s="48"/>
      <c r="AO3" s="46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8"/>
      <c r="BI3" s="1"/>
      <c r="BJ3" s="1"/>
    </row>
    <row r="4" spans="1:62" ht="15" customHeight="1">
      <c r="A4" s="49"/>
      <c r="B4" s="50"/>
      <c r="C4" s="50"/>
      <c r="D4" s="51"/>
      <c r="E4" s="49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49"/>
      <c r="V4" s="50"/>
      <c r="W4" s="50"/>
      <c r="X4" s="51"/>
      <c r="Y4" s="49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1"/>
      <c r="AK4" s="49"/>
      <c r="AL4" s="50"/>
      <c r="AM4" s="50"/>
      <c r="AN4" s="51"/>
      <c r="AO4" s="49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1"/>
      <c r="BI4" s="1"/>
      <c r="BJ4" s="1"/>
    </row>
    <row r="5" spans="1:62" ht="15" customHeight="1">
      <c r="A5" s="55" t="s">
        <v>7</v>
      </c>
      <c r="B5" s="48"/>
      <c r="C5" s="55" t="s">
        <v>8</v>
      </c>
      <c r="D5" s="47"/>
      <c r="E5" s="47"/>
      <c r="F5" s="47"/>
      <c r="G5" s="47"/>
      <c r="H5" s="47"/>
      <c r="I5" s="47"/>
      <c r="J5" s="47"/>
      <c r="K5" s="47"/>
      <c r="L5" s="48"/>
      <c r="M5" s="55" t="s">
        <v>13</v>
      </c>
      <c r="N5" s="47"/>
      <c r="O5" s="47"/>
      <c r="P5" s="47"/>
      <c r="Q5" s="47"/>
      <c r="R5" s="47"/>
      <c r="S5" s="47"/>
      <c r="T5" s="48"/>
      <c r="U5" s="55" t="s">
        <v>14</v>
      </c>
      <c r="V5" s="47"/>
      <c r="W5" s="47"/>
      <c r="X5" s="47"/>
      <c r="Y5" s="47"/>
      <c r="Z5" s="47"/>
      <c r="AA5" s="47"/>
      <c r="AB5" s="48"/>
      <c r="AC5" s="55" t="s">
        <v>15</v>
      </c>
      <c r="AD5" s="47"/>
      <c r="AE5" s="47"/>
      <c r="AF5" s="47"/>
      <c r="AG5" s="47"/>
      <c r="AH5" s="47"/>
      <c r="AI5" s="47"/>
      <c r="AJ5" s="48"/>
      <c r="AK5" s="55" t="s">
        <v>16</v>
      </c>
      <c r="AL5" s="47"/>
      <c r="AM5" s="47"/>
      <c r="AN5" s="48"/>
      <c r="AO5" s="55" t="s">
        <v>17</v>
      </c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8"/>
      <c r="BI5" s="1"/>
      <c r="BJ5" s="1"/>
    </row>
    <row r="6" spans="1:62" ht="15" customHeight="1">
      <c r="A6" s="56"/>
      <c r="B6" s="58"/>
      <c r="C6" s="56"/>
      <c r="D6" s="57"/>
      <c r="E6" s="57"/>
      <c r="F6" s="57"/>
      <c r="G6" s="57"/>
      <c r="H6" s="57"/>
      <c r="I6" s="57"/>
      <c r="J6" s="57"/>
      <c r="K6" s="57"/>
      <c r="L6" s="58"/>
      <c r="M6" s="49"/>
      <c r="N6" s="50"/>
      <c r="O6" s="50"/>
      <c r="P6" s="50"/>
      <c r="Q6" s="50"/>
      <c r="R6" s="50"/>
      <c r="S6" s="50"/>
      <c r="T6" s="51"/>
      <c r="U6" s="56"/>
      <c r="V6" s="57"/>
      <c r="W6" s="57"/>
      <c r="X6" s="57"/>
      <c r="Y6" s="57"/>
      <c r="Z6" s="57"/>
      <c r="AA6" s="57"/>
      <c r="AB6" s="58"/>
      <c r="AC6" s="49"/>
      <c r="AD6" s="50"/>
      <c r="AE6" s="50"/>
      <c r="AF6" s="50"/>
      <c r="AG6" s="50"/>
      <c r="AH6" s="50"/>
      <c r="AI6" s="50"/>
      <c r="AJ6" s="51"/>
      <c r="AK6" s="56"/>
      <c r="AL6" s="57"/>
      <c r="AM6" s="57"/>
      <c r="AN6" s="58"/>
      <c r="AO6" s="56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8"/>
      <c r="BI6" s="1"/>
      <c r="BJ6" s="1"/>
    </row>
    <row r="7" spans="1:62" ht="15" customHeight="1">
      <c r="A7" s="65">
        <v>1</v>
      </c>
      <c r="B7" s="66"/>
      <c r="C7" s="67"/>
      <c r="D7" s="68"/>
      <c r="E7" s="68"/>
      <c r="F7" s="68"/>
      <c r="G7" s="68"/>
      <c r="H7" s="68"/>
      <c r="I7" s="68"/>
      <c r="J7" s="68"/>
      <c r="K7" s="68"/>
      <c r="L7" s="66"/>
      <c r="M7" s="67"/>
      <c r="N7" s="68"/>
      <c r="O7" s="68"/>
      <c r="P7" s="68"/>
      <c r="Q7" s="68"/>
      <c r="R7" s="68"/>
      <c r="S7" s="68"/>
      <c r="T7" s="66"/>
      <c r="U7" s="67"/>
      <c r="V7" s="68"/>
      <c r="W7" s="68"/>
      <c r="X7" s="68"/>
      <c r="Y7" s="68"/>
      <c r="Z7" s="68"/>
      <c r="AA7" s="68"/>
      <c r="AB7" s="66"/>
      <c r="AC7" s="67"/>
      <c r="AD7" s="68"/>
      <c r="AE7" s="68"/>
      <c r="AF7" s="68"/>
      <c r="AG7" s="68"/>
      <c r="AH7" s="68"/>
      <c r="AI7" s="68"/>
      <c r="AJ7" s="66"/>
      <c r="AK7" s="67"/>
      <c r="AL7" s="68"/>
      <c r="AM7" s="68"/>
      <c r="AN7" s="66"/>
      <c r="AO7" s="67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6"/>
      <c r="BI7" s="1"/>
      <c r="BJ7" s="1"/>
    </row>
    <row r="8" spans="1:62" ht="15" customHeight="1">
      <c r="A8" s="38">
        <v>2</v>
      </c>
      <c r="B8" s="39"/>
      <c r="C8" s="40"/>
      <c r="D8" s="41"/>
      <c r="E8" s="41"/>
      <c r="F8" s="41"/>
      <c r="G8" s="41"/>
      <c r="H8" s="41"/>
      <c r="I8" s="41"/>
      <c r="J8" s="41"/>
      <c r="K8" s="41"/>
      <c r="L8" s="39"/>
      <c r="M8" s="40"/>
      <c r="N8" s="41"/>
      <c r="O8" s="41"/>
      <c r="P8" s="41"/>
      <c r="Q8" s="41"/>
      <c r="R8" s="41"/>
      <c r="S8" s="41"/>
      <c r="T8" s="39"/>
      <c r="U8" s="40"/>
      <c r="V8" s="41"/>
      <c r="W8" s="41"/>
      <c r="X8" s="41"/>
      <c r="Y8" s="41"/>
      <c r="Z8" s="41"/>
      <c r="AA8" s="41"/>
      <c r="AB8" s="39"/>
      <c r="AC8" s="40"/>
      <c r="AD8" s="41"/>
      <c r="AE8" s="41"/>
      <c r="AF8" s="41"/>
      <c r="AG8" s="41"/>
      <c r="AH8" s="41"/>
      <c r="AI8" s="41"/>
      <c r="AJ8" s="39"/>
      <c r="AK8" s="40"/>
      <c r="AL8" s="41"/>
      <c r="AM8" s="41"/>
      <c r="AN8" s="39"/>
      <c r="AO8" s="40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39"/>
      <c r="BI8" s="1"/>
      <c r="BJ8" s="1"/>
    </row>
    <row r="9" spans="1:62" ht="15" customHeight="1">
      <c r="A9" s="38">
        <v>3</v>
      </c>
      <c r="B9" s="39"/>
      <c r="C9" s="40"/>
      <c r="D9" s="41"/>
      <c r="E9" s="41"/>
      <c r="F9" s="41"/>
      <c r="G9" s="41"/>
      <c r="H9" s="41"/>
      <c r="I9" s="41"/>
      <c r="J9" s="41"/>
      <c r="K9" s="41"/>
      <c r="L9" s="39"/>
      <c r="M9" s="40"/>
      <c r="N9" s="41"/>
      <c r="O9" s="41"/>
      <c r="P9" s="41"/>
      <c r="Q9" s="41"/>
      <c r="R9" s="41"/>
      <c r="S9" s="41"/>
      <c r="T9" s="39"/>
      <c r="U9" s="40"/>
      <c r="V9" s="41"/>
      <c r="W9" s="41"/>
      <c r="X9" s="41"/>
      <c r="Y9" s="41"/>
      <c r="Z9" s="41"/>
      <c r="AA9" s="41"/>
      <c r="AB9" s="39"/>
      <c r="AC9" s="40"/>
      <c r="AD9" s="41"/>
      <c r="AE9" s="41"/>
      <c r="AF9" s="41"/>
      <c r="AG9" s="41"/>
      <c r="AH9" s="41"/>
      <c r="AI9" s="41"/>
      <c r="AJ9" s="39"/>
      <c r="AK9" s="40"/>
      <c r="AL9" s="41"/>
      <c r="AM9" s="41"/>
      <c r="AN9" s="39"/>
      <c r="AO9" s="40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39"/>
      <c r="BI9" s="1"/>
      <c r="BJ9" s="1"/>
    </row>
    <row r="10" spans="1:62" ht="15" customHeight="1">
      <c r="A10" s="38">
        <v>4</v>
      </c>
      <c r="B10" s="39"/>
      <c r="C10" s="40"/>
      <c r="D10" s="41"/>
      <c r="E10" s="41"/>
      <c r="F10" s="41"/>
      <c r="G10" s="41"/>
      <c r="H10" s="41"/>
      <c r="I10" s="41"/>
      <c r="J10" s="41"/>
      <c r="K10" s="41"/>
      <c r="L10" s="39"/>
      <c r="M10" s="40"/>
      <c r="N10" s="41"/>
      <c r="O10" s="41"/>
      <c r="P10" s="41"/>
      <c r="Q10" s="41"/>
      <c r="R10" s="41"/>
      <c r="S10" s="41"/>
      <c r="T10" s="39"/>
      <c r="U10" s="40"/>
      <c r="V10" s="41"/>
      <c r="W10" s="41"/>
      <c r="X10" s="41"/>
      <c r="Y10" s="41"/>
      <c r="Z10" s="41"/>
      <c r="AA10" s="41"/>
      <c r="AB10" s="39"/>
      <c r="AC10" s="40"/>
      <c r="AD10" s="41"/>
      <c r="AE10" s="41"/>
      <c r="AF10" s="41"/>
      <c r="AG10" s="41"/>
      <c r="AH10" s="41"/>
      <c r="AI10" s="41"/>
      <c r="AJ10" s="39"/>
      <c r="AK10" s="40"/>
      <c r="AL10" s="41"/>
      <c r="AM10" s="41"/>
      <c r="AN10" s="39"/>
      <c r="AO10" s="40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39"/>
      <c r="BI10" s="1"/>
      <c r="BJ10" s="1"/>
    </row>
    <row r="11" spans="1:62" ht="15" customHeight="1">
      <c r="A11" s="38">
        <v>5</v>
      </c>
      <c r="B11" s="39"/>
      <c r="C11" s="40"/>
      <c r="D11" s="41"/>
      <c r="E11" s="41"/>
      <c r="F11" s="41"/>
      <c r="G11" s="41"/>
      <c r="H11" s="41"/>
      <c r="I11" s="41"/>
      <c r="J11" s="41"/>
      <c r="K11" s="41"/>
      <c r="L11" s="39"/>
      <c r="M11" s="40"/>
      <c r="N11" s="41"/>
      <c r="O11" s="41"/>
      <c r="P11" s="41"/>
      <c r="Q11" s="41"/>
      <c r="R11" s="41"/>
      <c r="S11" s="41"/>
      <c r="T11" s="39"/>
      <c r="U11" s="40"/>
      <c r="V11" s="41"/>
      <c r="W11" s="41"/>
      <c r="X11" s="41"/>
      <c r="Y11" s="41"/>
      <c r="Z11" s="41"/>
      <c r="AA11" s="41"/>
      <c r="AB11" s="39"/>
      <c r="AC11" s="40"/>
      <c r="AD11" s="41"/>
      <c r="AE11" s="41"/>
      <c r="AF11" s="41"/>
      <c r="AG11" s="41"/>
      <c r="AH11" s="41"/>
      <c r="AI11" s="41"/>
      <c r="AJ11" s="39"/>
      <c r="AK11" s="40"/>
      <c r="AL11" s="41"/>
      <c r="AM11" s="41"/>
      <c r="AN11" s="39"/>
      <c r="AO11" s="40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39"/>
      <c r="BI11" s="1"/>
      <c r="BJ11" s="1"/>
    </row>
    <row r="12" spans="1:62" ht="15" customHeight="1">
      <c r="A12" s="38">
        <v>6</v>
      </c>
      <c r="B12" s="39"/>
      <c r="C12" s="40"/>
      <c r="D12" s="41"/>
      <c r="E12" s="41"/>
      <c r="F12" s="41"/>
      <c r="G12" s="41"/>
      <c r="H12" s="41"/>
      <c r="I12" s="41"/>
      <c r="J12" s="41"/>
      <c r="K12" s="41"/>
      <c r="L12" s="39"/>
      <c r="M12" s="40"/>
      <c r="N12" s="41"/>
      <c r="O12" s="41"/>
      <c r="P12" s="41"/>
      <c r="Q12" s="41"/>
      <c r="R12" s="41"/>
      <c r="S12" s="41"/>
      <c r="T12" s="39"/>
      <c r="U12" s="40"/>
      <c r="V12" s="41"/>
      <c r="W12" s="41"/>
      <c r="X12" s="41"/>
      <c r="Y12" s="41"/>
      <c r="Z12" s="41"/>
      <c r="AA12" s="41"/>
      <c r="AB12" s="39"/>
      <c r="AC12" s="40"/>
      <c r="AD12" s="41"/>
      <c r="AE12" s="41"/>
      <c r="AF12" s="41"/>
      <c r="AG12" s="41"/>
      <c r="AH12" s="41"/>
      <c r="AI12" s="41"/>
      <c r="AJ12" s="39"/>
      <c r="AK12" s="40"/>
      <c r="AL12" s="41"/>
      <c r="AM12" s="41"/>
      <c r="AN12" s="39"/>
      <c r="AO12" s="40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39"/>
      <c r="BI12" s="1"/>
      <c r="BJ12" s="1"/>
    </row>
    <row r="13" spans="1:62" ht="15" customHeight="1">
      <c r="A13" s="38">
        <v>7</v>
      </c>
      <c r="B13" s="39"/>
      <c r="C13" s="40"/>
      <c r="D13" s="41"/>
      <c r="E13" s="41"/>
      <c r="F13" s="41"/>
      <c r="G13" s="41"/>
      <c r="H13" s="41"/>
      <c r="I13" s="41"/>
      <c r="J13" s="41"/>
      <c r="K13" s="41"/>
      <c r="L13" s="39"/>
      <c r="M13" s="40"/>
      <c r="N13" s="41"/>
      <c r="O13" s="41"/>
      <c r="P13" s="41"/>
      <c r="Q13" s="41"/>
      <c r="R13" s="41"/>
      <c r="S13" s="41"/>
      <c r="T13" s="39"/>
      <c r="U13" s="40"/>
      <c r="V13" s="41"/>
      <c r="W13" s="41"/>
      <c r="X13" s="41"/>
      <c r="Y13" s="41"/>
      <c r="Z13" s="41"/>
      <c r="AA13" s="41"/>
      <c r="AB13" s="39"/>
      <c r="AC13" s="40"/>
      <c r="AD13" s="41"/>
      <c r="AE13" s="41"/>
      <c r="AF13" s="41"/>
      <c r="AG13" s="41"/>
      <c r="AH13" s="41"/>
      <c r="AI13" s="41"/>
      <c r="AJ13" s="39"/>
      <c r="AK13" s="40"/>
      <c r="AL13" s="41"/>
      <c r="AM13" s="41"/>
      <c r="AN13" s="39"/>
      <c r="AO13" s="40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39"/>
      <c r="BI13" s="1"/>
      <c r="BJ13" s="1"/>
    </row>
    <row r="14" spans="1:62" ht="15" customHeight="1">
      <c r="A14" s="38">
        <v>8</v>
      </c>
      <c r="B14" s="39"/>
      <c r="C14" s="40"/>
      <c r="D14" s="41"/>
      <c r="E14" s="41"/>
      <c r="F14" s="41"/>
      <c r="G14" s="41"/>
      <c r="H14" s="41"/>
      <c r="I14" s="41"/>
      <c r="J14" s="41"/>
      <c r="K14" s="41"/>
      <c r="L14" s="39"/>
      <c r="M14" s="40"/>
      <c r="N14" s="41"/>
      <c r="O14" s="41"/>
      <c r="P14" s="41"/>
      <c r="Q14" s="41"/>
      <c r="R14" s="41"/>
      <c r="S14" s="41"/>
      <c r="T14" s="39"/>
      <c r="U14" s="40"/>
      <c r="V14" s="41"/>
      <c r="W14" s="41"/>
      <c r="X14" s="41"/>
      <c r="Y14" s="41"/>
      <c r="Z14" s="41"/>
      <c r="AA14" s="41"/>
      <c r="AB14" s="39"/>
      <c r="AC14" s="40"/>
      <c r="AD14" s="41"/>
      <c r="AE14" s="41"/>
      <c r="AF14" s="41"/>
      <c r="AG14" s="41"/>
      <c r="AH14" s="41"/>
      <c r="AI14" s="41"/>
      <c r="AJ14" s="39"/>
      <c r="AK14" s="40"/>
      <c r="AL14" s="41"/>
      <c r="AM14" s="41"/>
      <c r="AN14" s="39"/>
      <c r="AO14" s="40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39"/>
      <c r="BI14" s="1"/>
      <c r="BJ14" s="1"/>
    </row>
    <row r="15" spans="1:62" ht="15" customHeight="1">
      <c r="A15" s="38">
        <v>9</v>
      </c>
      <c r="B15" s="39"/>
      <c r="C15" s="40"/>
      <c r="D15" s="41"/>
      <c r="E15" s="41"/>
      <c r="F15" s="41"/>
      <c r="G15" s="41"/>
      <c r="H15" s="41"/>
      <c r="I15" s="41"/>
      <c r="J15" s="41"/>
      <c r="K15" s="41"/>
      <c r="L15" s="39"/>
      <c r="M15" s="40"/>
      <c r="N15" s="41"/>
      <c r="O15" s="41"/>
      <c r="P15" s="41"/>
      <c r="Q15" s="41"/>
      <c r="R15" s="41"/>
      <c r="S15" s="41"/>
      <c r="T15" s="39"/>
      <c r="U15" s="40"/>
      <c r="V15" s="41"/>
      <c r="W15" s="41"/>
      <c r="X15" s="41"/>
      <c r="Y15" s="41"/>
      <c r="Z15" s="41"/>
      <c r="AA15" s="41"/>
      <c r="AB15" s="39"/>
      <c r="AC15" s="40"/>
      <c r="AD15" s="41"/>
      <c r="AE15" s="41"/>
      <c r="AF15" s="41"/>
      <c r="AG15" s="41"/>
      <c r="AH15" s="41"/>
      <c r="AI15" s="41"/>
      <c r="AJ15" s="39"/>
      <c r="AK15" s="40"/>
      <c r="AL15" s="41"/>
      <c r="AM15" s="41"/>
      <c r="AN15" s="39"/>
      <c r="AO15" s="40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39"/>
      <c r="BI15" s="1"/>
      <c r="BJ15" s="1"/>
    </row>
    <row r="16" spans="1:62" ht="15" customHeight="1">
      <c r="A16" s="38">
        <v>10</v>
      </c>
      <c r="B16" s="39"/>
      <c r="C16" s="40"/>
      <c r="D16" s="41"/>
      <c r="E16" s="41"/>
      <c r="F16" s="41"/>
      <c r="G16" s="41"/>
      <c r="H16" s="41"/>
      <c r="I16" s="41"/>
      <c r="J16" s="41"/>
      <c r="K16" s="41"/>
      <c r="L16" s="39"/>
      <c r="M16" s="40"/>
      <c r="N16" s="41"/>
      <c r="O16" s="41"/>
      <c r="P16" s="41"/>
      <c r="Q16" s="41"/>
      <c r="R16" s="41"/>
      <c r="S16" s="41"/>
      <c r="T16" s="39"/>
      <c r="U16" s="40"/>
      <c r="V16" s="41"/>
      <c r="W16" s="41"/>
      <c r="X16" s="41"/>
      <c r="Y16" s="41"/>
      <c r="Z16" s="41"/>
      <c r="AA16" s="41"/>
      <c r="AB16" s="39"/>
      <c r="AC16" s="40"/>
      <c r="AD16" s="41"/>
      <c r="AE16" s="41"/>
      <c r="AF16" s="41"/>
      <c r="AG16" s="41"/>
      <c r="AH16" s="41"/>
      <c r="AI16" s="41"/>
      <c r="AJ16" s="39"/>
      <c r="AK16" s="40"/>
      <c r="AL16" s="41"/>
      <c r="AM16" s="41"/>
      <c r="AN16" s="39"/>
      <c r="AO16" s="40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39"/>
      <c r="BI16" s="1"/>
      <c r="BJ16" s="1"/>
    </row>
    <row r="17" spans="1:62" ht="15" customHeight="1">
      <c r="A17" s="38">
        <v>11</v>
      </c>
      <c r="B17" s="39"/>
      <c r="C17" s="40"/>
      <c r="D17" s="41"/>
      <c r="E17" s="41"/>
      <c r="F17" s="41"/>
      <c r="G17" s="41"/>
      <c r="H17" s="41"/>
      <c r="I17" s="41"/>
      <c r="J17" s="41"/>
      <c r="K17" s="41"/>
      <c r="L17" s="39"/>
      <c r="M17" s="40"/>
      <c r="N17" s="41"/>
      <c r="O17" s="41"/>
      <c r="P17" s="41"/>
      <c r="Q17" s="41"/>
      <c r="R17" s="41"/>
      <c r="S17" s="41"/>
      <c r="T17" s="39"/>
      <c r="U17" s="40"/>
      <c r="V17" s="41"/>
      <c r="W17" s="41"/>
      <c r="X17" s="41"/>
      <c r="Y17" s="41"/>
      <c r="Z17" s="41"/>
      <c r="AA17" s="41"/>
      <c r="AB17" s="39"/>
      <c r="AC17" s="40"/>
      <c r="AD17" s="41"/>
      <c r="AE17" s="41"/>
      <c r="AF17" s="41"/>
      <c r="AG17" s="41"/>
      <c r="AH17" s="41"/>
      <c r="AI17" s="41"/>
      <c r="AJ17" s="39"/>
      <c r="AK17" s="40"/>
      <c r="AL17" s="41"/>
      <c r="AM17" s="41"/>
      <c r="AN17" s="39"/>
      <c r="AO17" s="40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39"/>
      <c r="BI17" s="1"/>
      <c r="BJ17" s="1"/>
    </row>
    <row r="18" spans="1:62" ht="15" customHeight="1">
      <c r="A18" s="38">
        <v>12</v>
      </c>
      <c r="B18" s="39"/>
      <c r="C18" s="40"/>
      <c r="D18" s="41"/>
      <c r="E18" s="41"/>
      <c r="F18" s="41"/>
      <c r="G18" s="41"/>
      <c r="H18" s="41"/>
      <c r="I18" s="41"/>
      <c r="J18" s="41"/>
      <c r="K18" s="41"/>
      <c r="L18" s="39"/>
      <c r="M18" s="40"/>
      <c r="N18" s="41"/>
      <c r="O18" s="41"/>
      <c r="P18" s="41"/>
      <c r="Q18" s="41"/>
      <c r="R18" s="41"/>
      <c r="S18" s="41"/>
      <c r="T18" s="39"/>
      <c r="U18" s="40"/>
      <c r="V18" s="41"/>
      <c r="W18" s="41"/>
      <c r="X18" s="41"/>
      <c r="Y18" s="41"/>
      <c r="Z18" s="41"/>
      <c r="AA18" s="41"/>
      <c r="AB18" s="39"/>
      <c r="AC18" s="40"/>
      <c r="AD18" s="41"/>
      <c r="AE18" s="41"/>
      <c r="AF18" s="41"/>
      <c r="AG18" s="41"/>
      <c r="AH18" s="41"/>
      <c r="AI18" s="41"/>
      <c r="AJ18" s="39"/>
      <c r="AK18" s="40"/>
      <c r="AL18" s="41"/>
      <c r="AM18" s="41"/>
      <c r="AN18" s="39"/>
      <c r="AO18" s="40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39"/>
      <c r="BI18" s="1"/>
      <c r="BJ18" s="1"/>
    </row>
    <row r="19" spans="1:62" ht="15" customHeight="1">
      <c r="A19" s="38">
        <v>13</v>
      </c>
      <c r="B19" s="39"/>
      <c r="C19" s="40"/>
      <c r="D19" s="41"/>
      <c r="E19" s="41"/>
      <c r="F19" s="41"/>
      <c r="G19" s="41"/>
      <c r="H19" s="41"/>
      <c r="I19" s="41"/>
      <c r="J19" s="41"/>
      <c r="K19" s="41"/>
      <c r="L19" s="39"/>
      <c r="M19" s="40"/>
      <c r="N19" s="41"/>
      <c r="O19" s="41"/>
      <c r="P19" s="41"/>
      <c r="Q19" s="41"/>
      <c r="R19" s="41"/>
      <c r="S19" s="41"/>
      <c r="T19" s="39"/>
      <c r="U19" s="40"/>
      <c r="V19" s="41"/>
      <c r="W19" s="41"/>
      <c r="X19" s="41"/>
      <c r="Y19" s="41"/>
      <c r="Z19" s="41"/>
      <c r="AA19" s="41"/>
      <c r="AB19" s="39"/>
      <c r="AC19" s="40"/>
      <c r="AD19" s="41"/>
      <c r="AE19" s="41"/>
      <c r="AF19" s="41"/>
      <c r="AG19" s="41"/>
      <c r="AH19" s="41"/>
      <c r="AI19" s="41"/>
      <c r="AJ19" s="39"/>
      <c r="AK19" s="40"/>
      <c r="AL19" s="41"/>
      <c r="AM19" s="41"/>
      <c r="AN19" s="39"/>
      <c r="AO19" s="40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39"/>
      <c r="BI19" s="1"/>
      <c r="BJ19" s="1"/>
    </row>
    <row r="20" spans="1:62" ht="15" customHeight="1">
      <c r="A20" s="38">
        <v>14</v>
      </c>
      <c r="B20" s="39"/>
      <c r="C20" s="40"/>
      <c r="D20" s="41"/>
      <c r="E20" s="41"/>
      <c r="F20" s="41"/>
      <c r="G20" s="41"/>
      <c r="H20" s="41"/>
      <c r="I20" s="41"/>
      <c r="J20" s="41"/>
      <c r="K20" s="41"/>
      <c r="L20" s="39"/>
      <c r="M20" s="40"/>
      <c r="N20" s="41"/>
      <c r="O20" s="41"/>
      <c r="P20" s="41"/>
      <c r="Q20" s="41"/>
      <c r="R20" s="41"/>
      <c r="S20" s="41"/>
      <c r="T20" s="39"/>
      <c r="U20" s="40"/>
      <c r="V20" s="41"/>
      <c r="W20" s="41"/>
      <c r="X20" s="41"/>
      <c r="Y20" s="41"/>
      <c r="Z20" s="41"/>
      <c r="AA20" s="41"/>
      <c r="AB20" s="39"/>
      <c r="AC20" s="40"/>
      <c r="AD20" s="41"/>
      <c r="AE20" s="41"/>
      <c r="AF20" s="41"/>
      <c r="AG20" s="41"/>
      <c r="AH20" s="41"/>
      <c r="AI20" s="41"/>
      <c r="AJ20" s="39"/>
      <c r="AK20" s="40"/>
      <c r="AL20" s="41"/>
      <c r="AM20" s="41"/>
      <c r="AN20" s="39"/>
      <c r="AO20" s="40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39"/>
      <c r="BI20" s="1"/>
      <c r="BJ20" s="1"/>
    </row>
    <row r="21" spans="1:62" ht="15" customHeight="1">
      <c r="A21" s="38">
        <v>15</v>
      </c>
      <c r="B21" s="39"/>
      <c r="C21" s="40"/>
      <c r="D21" s="41"/>
      <c r="E21" s="41"/>
      <c r="F21" s="41"/>
      <c r="G21" s="41"/>
      <c r="H21" s="41"/>
      <c r="I21" s="41"/>
      <c r="J21" s="41"/>
      <c r="K21" s="41"/>
      <c r="L21" s="39"/>
      <c r="M21" s="40"/>
      <c r="N21" s="41"/>
      <c r="O21" s="41"/>
      <c r="P21" s="41"/>
      <c r="Q21" s="41"/>
      <c r="R21" s="41"/>
      <c r="S21" s="41"/>
      <c r="T21" s="39"/>
      <c r="U21" s="40"/>
      <c r="V21" s="41"/>
      <c r="W21" s="41"/>
      <c r="X21" s="41"/>
      <c r="Y21" s="41"/>
      <c r="Z21" s="41"/>
      <c r="AA21" s="41"/>
      <c r="AB21" s="39"/>
      <c r="AC21" s="40"/>
      <c r="AD21" s="41"/>
      <c r="AE21" s="41"/>
      <c r="AF21" s="41"/>
      <c r="AG21" s="41"/>
      <c r="AH21" s="41"/>
      <c r="AI21" s="41"/>
      <c r="AJ21" s="39"/>
      <c r="AK21" s="40"/>
      <c r="AL21" s="41"/>
      <c r="AM21" s="41"/>
      <c r="AN21" s="39"/>
      <c r="AO21" s="40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39"/>
      <c r="BI21" s="1"/>
      <c r="BJ21" s="1"/>
    </row>
    <row r="22" spans="1:62" ht="15" customHeight="1">
      <c r="A22" s="38">
        <v>16</v>
      </c>
      <c r="B22" s="39"/>
      <c r="C22" s="40"/>
      <c r="D22" s="41"/>
      <c r="E22" s="41"/>
      <c r="F22" s="41"/>
      <c r="G22" s="41"/>
      <c r="H22" s="41"/>
      <c r="I22" s="41"/>
      <c r="J22" s="41"/>
      <c r="K22" s="41"/>
      <c r="L22" s="39"/>
      <c r="M22" s="40"/>
      <c r="N22" s="41"/>
      <c r="O22" s="41"/>
      <c r="P22" s="41"/>
      <c r="Q22" s="41"/>
      <c r="R22" s="41"/>
      <c r="S22" s="41"/>
      <c r="T22" s="39"/>
      <c r="U22" s="40"/>
      <c r="V22" s="41"/>
      <c r="W22" s="41"/>
      <c r="X22" s="41"/>
      <c r="Y22" s="41"/>
      <c r="Z22" s="41"/>
      <c r="AA22" s="41"/>
      <c r="AB22" s="39"/>
      <c r="AC22" s="40"/>
      <c r="AD22" s="41"/>
      <c r="AE22" s="41"/>
      <c r="AF22" s="41"/>
      <c r="AG22" s="41"/>
      <c r="AH22" s="41"/>
      <c r="AI22" s="41"/>
      <c r="AJ22" s="39"/>
      <c r="AK22" s="40"/>
      <c r="AL22" s="41"/>
      <c r="AM22" s="41"/>
      <c r="AN22" s="39"/>
      <c r="AO22" s="40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39"/>
      <c r="BI22" s="1"/>
      <c r="BJ22" s="1"/>
    </row>
    <row r="23" spans="1:62" ht="15" customHeight="1">
      <c r="A23" s="38">
        <v>17</v>
      </c>
      <c r="B23" s="39"/>
      <c r="C23" s="40"/>
      <c r="D23" s="41"/>
      <c r="E23" s="41"/>
      <c r="F23" s="41"/>
      <c r="G23" s="41"/>
      <c r="H23" s="41"/>
      <c r="I23" s="41"/>
      <c r="J23" s="41"/>
      <c r="K23" s="41"/>
      <c r="L23" s="39"/>
      <c r="M23" s="40"/>
      <c r="N23" s="41"/>
      <c r="O23" s="41"/>
      <c r="P23" s="41"/>
      <c r="Q23" s="41"/>
      <c r="R23" s="41"/>
      <c r="S23" s="41"/>
      <c r="T23" s="39"/>
      <c r="U23" s="40"/>
      <c r="V23" s="41"/>
      <c r="W23" s="41"/>
      <c r="X23" s="41"/>
      <c r="Y23" s="41"/>
      <c r="Z23" s="41"/>
      <c r="AA23" s="41"/>
      <c r="AB23" s="39"/>
      <c r="AC23" s="40"/>
      <c r="AD23" s="41"/>
      <c r="AE23" s="41"/>
      <c r="AF23" s="41"/>
      <c r="AG23" s="41"/>
      <c r="AH23" s="41"/>
      <c r="AI23" s="41"/>
      <c r="AJ23" s="39"/>
      <c r="AK23" s="40"/>
      <c r="AL23" s="41"/>
      <c r="AM23" s="41"/>
      <c r="AN23" s="39"/>
      <c r="AO23" s="40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39"/>
      <c r="BI23" s="1"/>
      <c r="BJ23" s="1"/>
    </row>
    <row r="24" spans="1:62" ht="15" customHeight="1">
      <c r="A24" s="38">
        <v>18</v>
      </c>
      <c r="B24" s="39"/>
      <c r="C24" s="40"/>
      <c r="D24" s="41"/>
      <c r="E24" s="41"/>
      <c r="F24" s="41"/>
      <c r="G24" s="41"/>
      <c r="H24" s="41"/>
      <c r="I24" s="41"/>
      <c r="J24" s="41"/>
      <c r="K24" s="41"/>
      <c r="L24" s="39"/>
      <c r="M24" s="40"/>
      <c r="N24" s="41"/>
      <c r="O24" s="41"/>
      <c r="P24" s="41"/>
      <c r="Q24" s="41"/>
      <c r="R24" s="41"/>
      <c r="S24" s="41"/>
      <c r="T24" s="39"/>
      <c r="U24" s="40"/>
      <c r="V24" s="41"/>
      <c r="W24" s="41"/>
      <c r="X24" s="41"/>
      <c r="Y24" s="41"/>
      <c r="Z24" s="41"/>
      <c r="AA24" s="41"/>
      <c r="AB24" s="39"/>
      <c r="AC24" s="40"/>
      <c r="AD24" s="41"/>
      <c r="AE24" s="41"/>
      <c r="AF24" s="41"/>
      <c r="AG24" s="41"/>
      <c r="AH24" s="41"/>
      <c r="AI24" s="41"/>
      <c r="AJ24" s="39"/>
      <c r="AK24" s="40"/>
      <c r="AL24" s="41"/>
      <c r="AM24" s="41"/>
      <c r="AN24" s="39"/>
      <c r="AO24" s="40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39"/>
      <c r="BI24" s="1"/>
      <c r="BJ24" s="1"/>
    </row>
    <row r="25" spans="1:62" ht="15" customHeight="1">
      <c r="A25" s="38">
        <v>19</v>
      </c>
      <c r="B25" s="39"/>
      <c r="C25" s="40"/>
      <c r="D25" s="41"/>
      <c r="E25" s="41"/>
      <c r="F25" s="41"/>
      <c r="G25" s="41"/>
      <c r="H25" s="41"/>
      <c r="I25" s="41"/>
      <c r="J25" s="41"/>
      <c r="K25" s="41"/>
      <c r="L25" s="39"/>
      <c r="M25" s="40"/>
      <c r="N25" s="41"/>
      <c r="O25" s="41"/>
      <c r="P25" s="41"/>
      <c r="Q25" s="41"/>
      <c r="R25" s="41"/>
      <c r="S25" s="41"/>
      <c r="T25" s="39"/>
      <c r="U25" s="40"/>
      <c r="V25" s="41"/>
      <c r="W25" s="41"/>
      <c r="X25" s="41"/>
      <c r="Y25" s="41"/>
      <c r="Z25" s="41"/>
      <c r="AA25" s="41"/>
      <c r="AB25" s="39"/>
      <c r="AC25" s="40"/>
      <c r="AD25" s="41"/>
      <c r="AE25" s="41"/>
      <c r="AF25" s="41"/>
      <c r="AG25" s="41"/>
      <c r="AH25" s="41"/>
      <c r="AI25" s="41"/>
      <c r="AJ25" s="39"/>
      <c r="AK25" s="40"/>
      <c r="AL25" s="41"/>
      <c r="AM25" s="41"/>
      <c r="AN25" s="39"/>
      <c r="AO25" s="40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39"/>
      <c r="BI25" s="1"/>
      <c r="BJ25" s="1"/>
    </row>
    <row r="26" spans="1:62" ht="15" customHeight="1">
      <c r="A26" s="38">
        <v>20</v>
      </c>
      <c r="B26" s="39"/>
      <c r="C26" s="40"/>
      <c r="D26" s="41"/>
      <c r="E26" s="41"/>
      <c r="F26" s="41"/>
      <c r="G26" s="41"/>
      <c r="H26" s="41"/>
      <c r="I26" s="41"/>
      <c r="J26" s="41"/>
      <c r="K26" s="41"/>
      <c r="L26" s="39"/>
      <c r="M26" s="40"/>
      <c r="N26" s="41"/>
      <c r="O26" s="41"/>
      <c r="P26" s="41"/>
      <c r="Q26" s="41"/>
      <c r="R26" s="41"/>
      <c r="S26" s="41"/>
      <c r="T26" s="39"/>
      <c r="U26" s="40"/>
      <c r="V26" s="41"/>
      <c r="W26" s="41"/>
      <c r="X26" s="41"/>
      <c r="Y26" s="41"/>
      <c r="Z26" s="41"/>
      <c r="AA26" s="41"/>
      <c r="AB26" s="39"/>
      <c r="AC26" s="40"/>
      <c r="AD26" s="41"/>
      <c r="AE26" s="41"/>
      <c r="AF26" s="41"/>
      <c r="AG26" s="41"/>
      <c r="AH26" s="41"/>
      <c r="AI26" s="41"/>
      <c r="AJ26" s="39"/>
      <c r="AK26" s="40"/>
      <c r="AL26" s="41"/>
      <c r="AM26" s="41"/>
      <c r="AN26" s="39"/>
      <c r="AO26" s="40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39"/>
      <c r="BI26" s="1"/>
      <c r="BJ26" s="1"/>
    </row>
    <row r="27" spans="1:62" ht="15" customHeight="1">
      <c r="A27" s="38">
        <v>21</v>
      </c>
      <c r="B27" s="39"/>
      <c r="C27" s="40"/>
      <c r="D27" s="41"/>
      <c r="E27" s="41"/>
      <c r="F27" s="41"/>
      <c r="G27" s="41"/>
      <c r="H27" s="41"/>
      <c r="I27" s="41"/>
      <c r="J27" s="41"/>
      <c r="K27" s="41"/>
      <c r="L27" s="39"/>
      <c r="M27" s="40"/>
      <c r="N27" s="41"/>
      <c r="O27" s="41"/>
      <c r="P27" s="41"/>
      <c r="Q27" s="41"/>
      <c r="R27" s="41"/>
      <c r="S27" s="41"/>
      <c r="T27" s="39"/>
      <c r="U27" s="40"/>
      <c r="V27" s="41"/>
      <c r="W27" s="41"/>
      <c r="X27" s="41"/>
      <c r="Y27" s="41"/>
      <c r="Z27" s="41"/>
      <c r="AA27" s="41"/>
      <c r="AB27" s="39"/>
      <c r="AC27" s="40"/>
      <c r="AD27" s="41"/>
      <c r="AE27" s="41"/>
      <c r="AF27" s="41"/>
      <c r="AG27" s="41"/>
      <c r="AH27" s="41"/>
      <c r="AI27" s="41"/>
      <c r="AJ27" s="39"/>
      <c r="AK27" s="40"/>
      <c r="AL27" s="41"/>
      <c r="AM27" s="41"/>
      <c r="AN27" s="39"/>
      <c r="AO27" s="40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39"/>
      <c r="BI27" s="1"/>
      <c r="BJ27" s="1"/>
    </row>
    <row r="28" spans="1:62" ht="15" customHeight="1">
      <c r="A28" s="38">
        <v>22</v>
      </c>
      <c r="B28" s="39"/>
      <c r="C28" s="40"/>
      <c r="D28" s="41"/>
      <c r="E28" s="41"/>
      <c r="F28" s="41"/>
      <c r="G28" s="41"/>
      <c r="H28" s="41"/>
      <c r="I28" s="41"/>
      <c r="J28" s="41"/>
      <c r="K28" s="41"/>
      <c r="L28" s="39"/>
      <c r="M28" s="40"/>
      <c r="N28" s="41"/>
      <c r="O28" s="41"/>
      <c r="P28" s="41"/>
      <c r="Q28" s="41"/>
      <c r="R28" s="41"/>
      <c r="S28" s="41"/>
      <c r="T28" s="39"/>
      <c r="U28" s="40"/>
      <c r="V28" s="41"/>
      <c r="W28" s="41"/>
      <c r="X28" s="41"/>
      <c r="Y28" s="41"/>
      <c r="Z28" s="41"/>
      <c r="AA28" s="41"/>
      <c r="AB28" s="39"/>
      <c r="AC28" s="40"/>
      <c r="AD28" s="41"/>
      <c r="AE28" s="41"/>
      <c r="AF28" s="41"/>
      <c r="AG28" s="41"/>
      <c r="AH28" s="41"/>
      <c r="AI28" s="41"/>
      <c r="AJ28" s="39"/>
      <c r="AK28" s="40"/>
      <c r="AL28" s="41"/>
      <c r="AM28" s="41"/>
      <c r="AN28" s="39"/>
      <c r="AO28" s="40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39"/>
      <c r="BI28" s="1"/>
      <c r="BJ28" s="1"/>
    </row>
    <row r="29" spans="1:62" ht="15" customHeight="1">
      <c r="A29" s="38">
        <v>23</v>
      </c>
      <c r="B29" s="39"/>
      <c r="C29" s="40"/>
      <c r="D29" s="41"/>
      <c r="E29" s="41"/>
      <c r="F29" s="41"/>
      <c r="G29" s="41"/>
      <c r="H29" s="41"/>
      <c r="I29" s="41"/>
      <c r="J29" s="41"/>
      <c r="K29" s="41"/>
      <c r="L29" s="39"/>
      <c r="M29" s="40"/>
      <c r="N29" s="41"/>
      <c r="O29" s="41"/>
      <c r="P29" s="41"/>
      <c r="Q29" s="41"/>
      <c r="R29" s="41"/>
      <c r="S29" s="41"/>
      <c r="T29" s="39"/>
      <c r="U29" s="40"/>
      <c r="V29" s="41"/>
      <c r="W29" s="41"/>
      <c r="X29" s="41"/>
      <c r="Y29" s="41"/>
      <c r="Z29" s="41"/>
      <c r="AA29" s="41"/>
      <c r="AB29" s="39"/>
      <c r="AC29" s="40"/>
      <c r="AD29" s="41"/>
      <c r="AE29" s="41"/>
      <c r="AF29" s="41"/>
      <c r="AG29" s="41"/>
      <c r="AH29" s="41"/>
      <c r="AI29" s="41"/>
      <c r="AJ29" s="39"/>
      <c r="AK29" s="40"/>
      <c r="AL29" s="41"/>
      <c r="AM29" s="41"/>
      <c r="AN29" s="39"/>
      <c r="AO29" s="40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39"/>
      <c r="BI29" s="1"/>
      <c r="BJ29" s="1"/>
    </row>
    <row r="30" spans="1:62" ht="15" customHeight="1">
      <c r="A30" s="38">
        <v>24</v>
      </c>
      <c r="B30" s="39"/>
      <c r="C30" s="40"/>
      <c r="D30" s="41"/>
      <c r="E30" s="41"/>
      <c r="F30" s="41"/>
      <c r="G30" s="41"/>
      <c r="H30" s="41"/>
      <c r="I30" s="41"/>
      <c r="J30" s="41"/>
      <c r="K30" s="41"/>
      <c r="L30" s="39"/>
      <c r="M30" s="40"/>
      <c r="N30" s="41"/>
      <c r="O30" s="41"/>
      <c r="P30" s="41"/>
      <c r="Q30" s="41"/>
      <c r="R30" s="41"/>
      <c r="S30" s="41"/>
      <c r="T30" s="39"/>
      <c r="U30" s="40"/>
      <c r="V30" s="41"/>
      <c r="W30" s="41"/>
      <c r="X30" s="41"/>
      <c r="Y30" s="41"/>
      <c r="Z30" s="41"/>
      <c r="AA30" s="41"/>
      <c r="AB30" s="39"/>
      <c r="AC30" s="40"/>
      <c r="AD30" s="41"/>
      <c r="AE30" s="41"/>
      <c r="AF30" s="41"/>
      <c r="AG30" s="41"/>
      <c r="AH30" s="41"/>
      <c r="AI30" s="41"/>
      <c r="AJ30" s="39"/>
      <c r="AK30" s="40"/>
      <c r="AL30" s="41"/>
      <c r="AM30" s="41"/>
      <c r="AN30" s="39"/>
      <c r="AO30" s="40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39"/>
      <c r="BI30" s="1"/>
      <c r="BJ30" s="1"/>
    </row>
    <row r="31" spans="1:62" ht="15" customHeight="1">
      <c r="A31" s="38">
        <v>25</v>
      </c>
      <c r="B31" s="39"/>
      <c r="C31" s="40"/>
      <c r="D31" s="41"/>
      <c r="E31" s="41"/>
      <c r="F31" s="41"/>
      <c r="G31" s="41"/>
      <c r="H31" s="41"/>
      <c r="I31" s="41"/>
      <c r="J31" s="41"/>
      <c r="K31" s="41"/>
      <c r="L31" s="39"/>
      <c r="M31" s="40"/>
      <c r="N31" s="41"/>
      <c r="O31" s="41"/>
      <c r="P31" s="41"/>
      <c r="Q31" s="41"/>
      <c r="R31" s="41"/>
      <c r="S31" s="41"/>
      <c r="T31" s="39"/>
      <c r="U31" s="40"/>
      <c r="V31" s="41"/>
      <c r="W31" s="41"/>
      <c r="X31" s="41"/>
      <c r="Y31" s="41"/>
      <c r="Z31" s="41"/>
      <c r="AA31" s="41"/>
      <c r="AB31" s="39"/>
      <c r="AC31" s="40"/>
      <c r="AD31" s="41"/>
      <c r="AE31" s="41"/>
      <c r="AF31" s="41"/>
      <c r="AG31" s="41"/>
      <c r="AH31" s="41"/>
      <c r="AI31" s="41"/>
      <c r="AJ31" s="39"/>
      <c r="AK31" s="40"/>
      <c r="AL31" s="41"/>
      <c r="AM31" s="41"/>
      <c r="AN31" s="39"/>
      <c r="AO31" s="40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39"/>
      <c r="BI31" s="1"/>
      <c r="BJ31" s="1"/>
    </row>
    <row r="32" spans="1:62" ht="15" customHeight="1">
      <c r="A32" s="38">
        <v>26</v>
      </c>
      <c r="B32" s="39"/>
      <c r="C32" s="40"/>
      <c r="D32" s="41"/>
      <c r="E32" s="41"/>
      <c r="F32" s="41"/>
      <c r="G32" s="41"/>
      <c r="H32" s="41"/>
      <c r="I32" s="41"/>
      <c r="J32" s="41"/>
      <c r="K32" s="41"/>
      <c r="L32" s="39"/>
      <c r="M32" s="40"/>
      <c r="N32" s="41"/>
      <c r="O32" s="41"/>
      <c r="P32" s="41"/>
      <c r="Q32" s="41"/>
      <c r="R32" s="41"/>
      <c r="S32" s="41"/>
      <c r="T32" s="39"/>
      <c r="U32" s="40"/>
      <c r="V32" s="41"/>
      <c r="W32" s="41"/>
      <c r="X32" s="41"/>
      <c r="Y32" s="41"/>
      <c r="Z32" s="41"/>
      <c r="AA32" s="41"/>
      <c r="AB32" s="39"/>
      <c r="AC32" s="40"/>
      <c r="AD32" s="41"/>
      <c r="AE32" s="41"/>
      <c r="AF32" s="41"/>
      <c r="AG32" s="41"/>
      <c r="AH32" s="41"/>
      <c r="AI32" s="41"/>
      <c r="AJ32" s="39"/>
      <c r="AK32" s="40"/>
      <c r="AL32" s="41"/>
      <c r="AM32" s="41"/>
      <c r="AN32" s="39"/>
      <c r="AO32" s="40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39"/>
      <c r="BI32" s="1"/>
      <c r="BJ32" s="1"/>
    </row>
    <row r="33" spans="1:62" ht="15" customHeight="1">
      <c r="A33" s="61">
        <v>27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2"/>
      <c r="M33" s="63"/>
      <c r="N33" s="64"/>
      <c r="O33" s="64"/>
      <c r="P33" s="64"/>
      <c r="Q33" s="64"/>
      <c r="R33" s="64"/>
      <c r="S33" s="64"/>
      <c r="T33" s="62"/>
      <c r="U33" s="63"/>
      <c r="V33" s="64"/>
      <c r="W33" s="64"/>
      <c r="X33" s="64"/>
      <c r="Y33" s="64"/>
      <c r="Z33" s="64"/>
      <c r="AA33" s="64"/>
      <c r="AB33" s="62"/>
      <c r="AC33" s="63"/>
      <c r="AD33" s="64"/>
      <c r="AE33" s="64"/>
      <c r="AF33" s="64"/>
      <c r="AG33" s="64"/>
      <c r="AH33" s="64"/>
      <c r="AI33" s="64"/>
      <c r="AJ33" s="62"/>
      <c r="AK33" s="63"/>
      <c r="AL33" s="64"/>
      <c r="AM33" s="64"/>
      <c r="AN33" s="62"/>
      <c r="AO33" s="63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2"/>
      <c r="BI33" s="1"/>
      <c r="BJ33" s="1"/>
    </row>
    <row r="34" spans="1:62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</row>
    <row r="35" spans="1:62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</row>
    <row r="36" spans="1:62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</row>
    <row r="37" spans="1:62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</row>
    <row r="38" spans="1:62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</row>
    <row r="39" spans="1:62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</row>
    <row r="40" spans="1:62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</row>
    <row r="41" spans="1:62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</row>
    <row r="42" spans="1:6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</row>
    <row r="43" spans="1:62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</row>
    <row r="44" spans="1:62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</row>
    <row r="45" spans="1:62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</row>
    <row r="46" spans="1:62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</row>
    <row r="47" spans="1:62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</row>
    <row r="48" spans="1:62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</row>
    <row r="49" spans="1:62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</row>
    <row r="50" spans="1:62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</row>
    <row r="51" spans="1:62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</row>
    <row r="52" spans="1:6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</row>
    <row r="53" spans="1:62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</row>
    <row r="54" spans="1:62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</row>
    <row r="55" spans="1:62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</row>
    <row r="56" spans="1:62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</row>
    <row r="57" spans="1:62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</row>
    <row r="58" spans="1:62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</row>
    <row r="59" spans="1:62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</row>
    <row r="60" spans="1:62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</row>
    <row r="61" spans="1:62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</row>
    <row r="62" spans="1: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</row>
    <row r="63" spans="1:62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</row>
    <row r="64" spans="1:62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</row>
    <row r="65" spans="1:62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</row>
    <row r="66" spans="1:62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</row>
    <row r="67" spans="1:62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</row>
    <row r="68" spans="1:62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</row>
    <row r="69" spans="1:62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</row>
    <row r="70" spans="1:62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</row>
    <row r="71" spans="1:62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</row>
    <row r="72" spans="1:6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</row>
    <row r="73" spans="1:62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</row>
    <row r="74" spans="1:62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</row>
    <row r="75" spans="1:62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</row>
    <row r="76" spans="1:62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</row>
    <row r="77" spans="1:62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</row>
    <row r="78" spans="1:62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</row>
    <row r="79" spans="1:62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</row>
    <row r="80" spans="1:62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</row>
    <row r="81" spans="1:62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</row>
    <row r="82" spans="1:6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</row>
    <row r="83" spans="1:62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</row>
    <row r="84" spans="1:62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</row>
    <row r="85" spans="1:62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</row>
    <row r="86" spans="1:62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</row>
    <row r="87" spans="1:62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</row>
    <row r="88" spans="1:62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</row>
    <row r="89" spans="1:62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</row>
    <row r="90" spans="1:62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</row>
    <row r="91" spans="1:62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</row>
    <row r="92" spans="1:6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</row>
    <row r="93" spans="1:62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</row>
    <row r="94" spans="1:62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</row>
    <row r="95" spans="1:62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</row>
    <row r="96" spans="1:62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</row>
    <row r="97" spans="1:62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</row>
    <row r="98" spans="1:62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</row>
    <row r="99" spans="1:62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</row>
    <row r="100" spans="1:62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</row>
    <row r="101" spans="1:62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</row>
    <row r="102" spans="1:6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</row>
    <row r="103" spans="1:62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</row>
    <row r="104" spans="1:62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</row>
    <row r="105" spans="1:62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</row>
    <row r="106" spans="1:62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</row>
    <row r="107" spans="1:62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</row>
    <row r="108" spans="1:62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</row>
    <row r="109" spans="1:62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</row>
    <row r="110" spans="1:62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</row>
    <row r="111" spans="1:62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</row>
    <row r="112" spans="1:6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</row>
    <row r="113" spans="1:62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</row>
    <row r="114" spans="1:62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</row>
    <row r="115" spans="1:62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</row>
    <row r="116" spans="1:62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</row>
    <row r="117" spans="1:62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</row>
    <row r="118" spans="1:62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</row>
    <row r="119" spans="1:62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</row>
    <row r="120" spans="1:62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</row>
    <row r="121" spans="1:62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</row>
    <row r="122" spans="1:6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</row>
    <row r="123" spans="1:62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</row>
    <row r="124" spans="1:62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</row>
    <row r="125" spans="1:62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</row>
    <row r="126" spans="1:62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</row>
    <row r="127" spans="1:62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</row>
    <row r="128" spans="1:62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</row>
    <row r="129" spans="1:62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</row>
    <row r="130" spans="1:62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</row>
    <row r="131" spans="1:62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</row>
    <row r="132" spans="1:6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</row>
    <row r="133" spans="1:62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</row>
    <row r="134" spans="1:62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</row>
    <row r="135" spans="1:62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</row>
    <row r="136" spans="1:62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</row>
    <row r="137" spans="1:62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</row>
    <row r="138" spans="1:62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</row>
    <row r="139" spans="1:62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</row>
    <row r="140" spans="1:62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</row>
    <row r="141" spans="1:62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</row>
    <row r="142" spans="1:6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</row>
    <row r="143" spans="1:62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</row>
    <row r="144" spans="1:62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</row>
    <row r="145" spans="1:62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</row>
    <row r="146" spans="1:62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</row>
    <row r="147" spans="1:62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</row>
    <row r="148" spans="1:62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</row>
    <row r="149" spans="1:62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</row>
    <row r="150" spans="1:62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</row>
    <row r="151" spans="1:62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</row>
    <row r="152" spans="1:6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</row>
    <row r="153" spans="1:62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</row>
    <row r="154" spans="1:62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</row>
    <row r="155" spans="1:62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</row>
    <row r="156" spans="1:62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</row>
    <row r="157" spans="1:62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</row>
    <row r="158" spans="1:62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</row>
    <row r="159" spans="1:62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</row>
    <row r="160" spans="1:62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</row>
    <row r="161" spans="1:62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</row>
    <row r="162" spans="1: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</row>
    <row r="163" spans="1:62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</row>
    <row r="164" spans="1:62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</row>
    <row r="165" spans="1:62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</row>
    <row r="166" spans="1:62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</row>
    <row r="167" spans="1:62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</row>
    <row r="168" spans="1:62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</row>
    <row r="169" spans="1:62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</row>
    <row r="170" spans="1:62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</row>
    <row r="171" spans="1:62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</row>
    <row r="172" spans="1:6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</row>
    <row r="173" spans="1:62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</row>
    <row r="174" spans="1:62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</row>
    <row r="175" spans="1:62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</row>
    <row r="176" spans="1:62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</row>
    <row r="177" spans="1:62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</row>
    <row r="178" spans="1:62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</row>
    <row r="179" spans="1:62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</row>
    <row r="180" spans="1:62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</row>
    <row r="181" spans="1:62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</row>
    <row r="182" spans="1:6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</row>
    <row r="183" spans="1:62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</row>
    <row r="184" spans="1:62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</row>
    <row r="185" spans="1:62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</row>
    <row r="186" spans="1:62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</row>
    <row r="187" spans="1:62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</row>
    <row r="188" spans="1:62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</row>
    <row r="189" spans="1:62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</row>
    <row r="190" spans="1:62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</row>
    <row r="191" spans="1:62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</row>
    <row r="192" spans="1:6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</row>
    <row r="193" spans="1:62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</row>
    <row r="194" spans="1:62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</row>
    <row r="195" spans="1:62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</row>
    <row r="196" spans="1:62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</row>
    <row r="197" spans="1:62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</row>
    <row r="198" spans="1:62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</row>
    <row r="199" spans="1:62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</row>
    <row r="200" spans="1:62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</row>
    <row r="201" spans="1:62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</row>
    <row r="202" spans="1:6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</row>
    <row r="203" spans="1:62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</row>
    <row r="204" spans="1:62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</row>
    <row r="205" spans="1:62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</row>
    <row r="206" spans="1:62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</row>
    <row r="207" spans="1:62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</row>
    <row r="208" spans="1:62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</row>
    <row r="209" spans="1:62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</row>
    <row r="210" spans="1:62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</row>
    <row r="211" spans="1:62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</row>
    <row r="212" spans="1:6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</row>
    <row r="213" spans="1:62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</row>
    <row r="214" spans="1:62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</row>
    <row r="215" spans="1:62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</row>
    <row r="216" spans="1:62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</row>
    <row r="217" spans="1:62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</row>
    <row r="218" spans="1:62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</row>
    <row r="219" spans="1:62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</row>
    <row r="220" spans="1:62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</row>
    <row r="221" spans="1:62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</row>
    <row r="222" spans="1:6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</row>
    <row r="223" spans="1:62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</row>
    <row r="224" spans="1:62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</row>
    <row r="225" spans="1:62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</row>
    <row r="226" spans="1:62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</row>
    <row r="227" spans="1:62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</row>
    <row r="228" spans="1:62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</row>
    <row r="229" spans="1:62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</row>
    <row r="230" spans="1:62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</row>
    <row r="231" spans="1:62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</row>
    <row r="232" spans="1:6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</row>
    <row r="233" spans="1:62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</row>
    <row r="234" spans="1:62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</row>
    <row r="235" spans="1:62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</row>
    <row r="236" spans="1:62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</row>
    <row r="237" spans="1:62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</row>
    <row r="238" spans="1:62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</row>
    <row r="239" spans="1:62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</row>
    <row r="240" spans="1:62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</row>
    <row r="241" spans="1:62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</row>
    <row r="242" spans="1:6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</row>
    <row r="243" spans="1:62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</row>
    <row r="244" spans="1:62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</row>
    <row r="245" spans="1:62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</row>
    <row r="246" spans="1:62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</row>
    <row r="247" spans="1:62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</row>
    <row r="248" spans="1:62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</row>
    <row r="249" spans="1:62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</row>
    <row r="250" spans="1:62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</row>
    <row r="251" spans="1:62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</row>
    <row r="252" spans="1:6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</row>
    <row r="253" spans="1:62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</row>
    <row r="254" spans="1:62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</row>
    <row r="255" spans="1:62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</row>
    <row r="256" spans="1:62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</row>
    <row r="257" spans="1:62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</row>
    <row r="258" spans="1:62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</row>
    <row r="259" spans="1:62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</row>
    <row r="260" spans="1:62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</row>
    <row r="261" spans="1:62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</row>
    <row r="262" spans="1: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</row>
    <row r="263" spans="1:62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</row>
    <row r="264" spans="1:62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</row>
    <row r="265" spans="1:62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</row>
    <row r="266" spans="1:62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</row>
    <row r="267" spans="1:62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</row>
    <row r="268" spans="1:62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</row>
    <row r="269" spans="1:62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</row>
    <row r="270" spans="1:62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</row>
    <row r="271" spans="1:62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</row>
    <row r="272" spans="1:6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</row>
    <row r="273" spans="1:62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</row>
    <row r="274" spans="1:62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</row>
    <row r="275" spans="1:62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</row>
    <row r="276" spans="1:62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</row>
    <row r="277" spans="1:62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</row>
    <row r="278" spans="1:62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</row>
    <row r="279" spans="1:62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</row>
    <row r="280" spans="1:62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</row>
    <row r="281" spans="1:62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</row>
    <row r="282" spans="1:6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</row>
    <row r="283" spans="1:62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</row>
    <row r="284" spans="1:62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</row>
    <row r="285" spans="1:62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</row>
    <row r="286" spans="1:62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</row>
    <row r="287" spans="1:62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</row>
    <row r="288" spans="1:62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</row>
    <row r="289" spans="1:62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</row>
    <row r="290" spans="1:62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</row>
    <row r="291" spans="1:62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</row>
    <row r="292" spans="1:6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</row>
    <row r="293" spans="1:62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</row>
    <row r="294" spans="1:62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</row>
    <row r="295" spans="1:62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</row>
    <row r="296" spans="1:62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</row>
    <row r="297" spans="1:62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</row>
    <row r="298" spans="1:62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</row>
    <row r="299" spans="1:62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</row>
    <row r="300" spans="1:62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</row>
    <row r="301" spans="1:62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</row>
    <row r="302" spans="1:6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</row>
    <row r="303" spans="1:62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</row>
    <row r="304" spans="1:62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</row>
    <row r="305" spans="1:62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</row>
    <row r="306" spans="1:62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</row>
    <row r="307" spans="1:62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</row>
    <row r="308" spans="1:62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</row>
    <row r="309" spans="1:62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</row>
    <row r="310" spans="1:62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</row>
    <row r="311" spans="1:62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</row>
    <row r="312" spans="1:6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</row>
    <row r="313" spans="1:62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</row>
    <row r="314" spans="1:62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</row>
    <row r="315" spans="1:62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</row>
    <row r="316" spans="1:62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</row>
    <row r="317" spans="1:62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</row>
    <row r="318" spans="1:62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</row>
    <row r="319" spans="1:62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</row>
    <row r="320" spans="1:62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</row>
    <row r="321" spans="1:62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</row>
    <row r="322" spans="1:6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</row>
    <row r="323" spans="1:62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</row>
    <row r="324" spans="1:62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</row>
    <row r="325" spans="1:62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</row>
    <row r="326" spans="1:62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</row>
    <row r="327" spans="1:62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</row>
    <row r="328" spans="1:62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</row>
    <row r="329" spans="1:62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</row>
    <row r="330" spans="1:62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</row>
    <row r="331" spans="1:62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</row>
    <row r="332" spans="1:6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</row>
    <row r="333" spans="1:62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</row>
    <row r="334" spans="1:62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</row>
    <row r="335" spans="1:62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</row>
    <row r="336" spans="1:62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</row>
    <row r="337" spans="1:62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</row>
    <row r="338" spans="1:62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</row>
    <row r="339" spans="1:62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</row>
    <row r="340" spans="1:62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</row>
    <row r="341" spans="1:62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</row>
    <row r="342" spans="1:6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</row>
    <row r="343" spans="1:62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</row>
    <row r="344" spans="1:62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</row>
    <row r="345" spans="1:62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</row>
    <row r="346" spans="1:62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</row>
    <row r="347" spans="1:62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</row>
    <row r="348" spans="1:62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</row>
    <row r="349" spans="1:62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</row>
    <row r="350" spans="1:62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</row>
    <row r="351" spans="1:62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</row>
    <row r="352" spans="1:6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</row>
    <row r="353" spans="1:62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</row>
    <row r="354" spans="1:62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</row>
    <row r="355" spans="1:62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</row>
    <row r="356" spans="1:62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</row>
    <row r="357" spans="1:62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</row>
    <row r="358" spans="1:62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</row>
    <row r="359" spans="1:62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</row>
    <row r="360" spans="1:62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</row>
    <row r="361" spans="1:62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</row>
    <row r="362" spans="1: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</row>
    <row r="363" spans="1:62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</row>
    <row r="364" spans="1:62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</row>
    <row r="365" spans="1:62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</row>
    <row r="366" spans="1:62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</row>
    <row r="367" spans="1:62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</row>
    <row r="368" spans="1:62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</row>
    <row r="369" spans="1:62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</row>
    <row r="370" spans="1:62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</row>
    <row r="371" spans="1:62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</row>
    <row r="372" spans="1:6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</row>
    <row r="373" spans="1:62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</row>
    <row r="374" spans="1:62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</row>
    <row r="375" spans="1:62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</row>
    <row r="376" spans="1:62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</row>
    <row r="377" spans="1:62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</row>
    <row r="378" spans="1:62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</row>
    <row r="379" spans="1:62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</row>
    <row r="380" spans="1:62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</row>
    <row r="381" spans="1:62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</row>
    <row r="382" spans="1:6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</row>
    <row r="383" spans="1:62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</row>
    <row r="384" spans="1:62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</row>
    <row r="385" spans="1:62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</row>
    <row r="386" spans="1:62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</row>
    <row r="387" spans="1:62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</row>
    <row r="388" spans="1:62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</row>
    <row r="389" spans="1:62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</row>
    <row r="390" spans="1:62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</row>
    <row r="391" spans="1:62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</row>
    <row r="392" spans="1:6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</row>
    <row r="393" spans="1:62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</row>
    <row r="394" spans="1:62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</row>
    <row r="395" spans="1:62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</row>
    <row r="396" spans="1:62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</row>
    <row r="397" spans="1:62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</row>
    <row r="398" spans="1:62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</row>
    <row r="399" spans="1:62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</row>
    <row r="400" spans="1:62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</row>
    <row r="401" spans="1:62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</row>
    <row r="402" spans="1:6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</row>
    <row r="403" spans="1:62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</row>
    <row r="404" spans="1:62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</row>
    <row r="405" spans="1:62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</row>
    <row r="406" spans="1:62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</row>
    <row r="407" spans="1:62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</row>
    <row r="408" spans="1:62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</row>
    <row r="409" spans="1:62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</row>
    <row r="410" spans="1:62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</row>
    <row r="411" spans="1:62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</row>
    <row r="412" spans="1:6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</row>
    <row r="413" spans="1:62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</row>
    <row r="414" spans="1:62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</row>
    <row r="415" spans="1:62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</row>
    <row r="416" spans="1:62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</row>
    <row r="417" spans="1:62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</row>
    <row r="418" spans="1:62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</row>
    <row r="419" spans="1:62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</row>
    <row r="420" spans="1:62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</row>
    <row r="421" spans="1:62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</row>
    <row r="422" spans="1:6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</row>
    <row r="423" spans="1:62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</row>
    <row r="424" spans="1:62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</row>
    <row r="425" spans="1:62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</row>
    <row r="426" spans="1:62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</row>
    <row r="427" spans="1:62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</row>
    <row r="428" spans="1:62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</row>
    <row r="429" spans="1:62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</row>
    <row r="430" spans="1:62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</row>
    <row r="431" spans="1:62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</row>
    <row r="432" spans="1:6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</row>
    <row r="433" spans="1:62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</row>
    <row r="434" spans="1:62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</row>
    <row r="435" spans="1:62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</row>
    <row r="436" spans="1:62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</row>
    <row r="437" spans="1:62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</row>
    <row r="438" spans="1:62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</row>
    <row r="439" spans="1:62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</row>
    <row r="440" spans="1:62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</row>
    <row r="441" spans="1:62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</row>
    <row r="442" spans="1:6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</row>
    <row r="443" spans="1:62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</row>
    <row r="444" spans="1:62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</row>
    <row r="445" spans="1:62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</row>
    <row r="446" spans="1:62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</row>
    <row r="447" spans="1:62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</row>
    <row r="448" spans="1:62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</row>
    <row r="449" spans="1:62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</row>
    <row r="450" spans="1:62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</row>
    <row r="451" spans="1:62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</row>
    <row r="452" spans="1:6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</row>
    <row r="453" spans="1:62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</row>
    <row r="454" spans="1:62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</row>
    <row r="455" spans="1:62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</row>
    <row r="456" spans="1:62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</row>
    <row r="457" spans="1:62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</row>
    <row r="458" spans="1:62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</row>
    <row r="459" spans="1:62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</row>
    <row r="460" spans="1:62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</row>
    <row r="461" spans="1:62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</row>
    <row r="462" spans="1: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</row>
    <row r="463" spans="1:62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</row>
    <row r="464" spans="1:62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</row>
    <row r="465" spans="1:62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</row>
    <row r="466" spans="1:62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</row>
    <row r="467" spans="1:62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</row>
    <row r="468" spans="1:62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</row>
    <row r="469" spans="1:62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</row>
    <row r="470" spans="1:62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</row>
    <row r="471" spans="1:62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</row>
    <row r="472" spans="1:6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</row>
    <row r="473" spans="1:62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</row>
    <row r="474" spans="1:62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</row>
    <row r="475" spans="1:62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</row>
    <row r="476" spans="1:62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</row>
    <row r="477" spans="1:62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</row>
    <row r="478" spans="1:62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</row>
    <row r="479" spans="1:62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</row>
    <row r="480" spans="1:62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</row>
    <row r="481" spans="1:62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</row>
    <row r="482" spans="1:6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</row>
    <row r="483" spans="1:62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</row>
    <row r="484" spans="1:62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</row>
    <row r="485" spans="1:62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</row>
    <row r="486" spans="1:62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</row>
    <row r="487" spans="1:62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</row>
    <row r="488" spans="1:62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</row>
    <row r="489" spans="1:62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</row>
    <row r="490" spans="1:62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</row>
    <row r="491" spans="1:62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</row>
    <row r="492" spans="1:6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</row>
    <row r="493" spans="1:62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</row>
    <row r="494" spans="1:62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</row>
    <row r="495" spans="1:62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</row>
    <row r="496" spans="1:62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</row>
    <row r="497" spans="1:62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</row>
    <row r="498" spans="1:62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</row>
    <row r="499" spans="1:62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</row>
    <row r="500" spans="1:62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</row>
    <row r="501" spans="1:62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</row>
    <row r="502" spans="1:6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</row>
    <row r="503" spans="1:62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</row>
    <row r="504" spans="1:62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</row>
    <row r="505" spans="1:62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</row>
    <row r="506" spans="1:62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</row>
    <row r="507" spans="1:62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</row>
    <row r="508" spans="1:62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</row>
    <row r="509" spans="1:62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</row>
    <row r="510" spans="1:62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</row>
    <row r="511" spans="1:62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</row>
    <row r="512" spans="1:6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</row>
    <row r="513" spans="1:62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</row>
    <row r="514" spans="1:62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</row>
    <row r="515" spans="1:62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</row>
    <row r="516" spans="1:62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</row>
    <row r="517" spans="1:62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</row>
    <row r="518" spans="1:62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</row>
    <row r="519" spans="1:62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</row>
    <row r="520" spans="1:62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</row>
    <row r="521" spans="1:62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</row>
    <row r="522" spans="1:6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</row>
    <row r="523" spans="1:62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</row>
    <row r="524" spans="1:62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</row>
    <row r="525" spans="1:62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</row>
    <row r="526" spans="1:62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</row>
    <row r="527" spans="1:62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</row>
    <row r="528" spans="1:62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</row>
    <row r="529" spans="1:62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</row>
    <row r="530" spans="1:62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</row>
    <row r="531" spans="1:62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</row>
    <row r="532" spans="1:6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</row>
    <row r="533" spans="1:62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</row>
    <row r="534" spans="1:62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</row>
    <row r="535" spans="1:62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</row>
    <row r="536" spans="1:62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</row>
    <row r="537" spans="1:62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</row>
    <row r="538" spans="1:62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</row>
    <row r="539" spans="1:62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</row>
    <row r="540" spans="1:62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</row>
    <row r="541" spans="1:62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</row>
    <row r="542" spans="1:6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</row>
    <row r="543" spans="1:62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</row>
    <row r="544" spans="1:62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</row>
    <row r="545" spans="1:62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</row>
    <row r="546" spans="1:62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</row>
    <row r="547" spans="1:62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</row>
    <row r="548" spans="1:62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</row>
    <row r="549" spans="1:62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</row>
    <row r="550" spans="1:62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</row>
    <row r="551" spans="1:62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</row>
    <row r="552" spans="1:6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</row>
    <row r="553" spans="1:62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</row>
    <row r="554" spans="1:62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</row>
    <row r="555" spans="1:62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</row>
    <row r="556" spans="1:62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</row>
    <row r="557" spans="1:62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</row>
    <row r="558" spans="1:62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</row>
    <row r="559" spans="1:62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</row>
    <row r="560" spans="1:62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</row>
    <row r="561" spans="1:62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</row>
    <row r="562" spans="1: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</row>
    <row r="563" spans="1:62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</row>
    <row r="564" spans="1:62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</row>
    <row r="565" spans="1:62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</row>
    <row r="566" spans="1:62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</row>
    <row r="567" spans="1:62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</row>
    <row r="568" spans="1:62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</row>
    <row r="569" spans="1:62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</row>
    <row r="570" spans="1:62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</row>
    <row r="571" spans="1:62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</row>
    <row r="572" spans="1:6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</row>
    <row r="573" spans="1:62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</row>
    <row r="574" spans="1:62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</row>
    <row r="575" spans="1:62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</row>
    <row r="576" spans="1:62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</row>
    <row r="577" spans="1:62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</row>
    <row r="578" spans="1:62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</row>
    <row r="579" spans="1:62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</row>
    <row r="580" spans="1:62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</row>
    <row r="581" spans="1:62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</row>
    <row r="582" spans="1:6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</row>
    <row r="583" spans="1:62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</row>
    <row r="584" spans="1:62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</row>
    <row r="585" spans="1:62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</row>
    <row r="586" spans="1:62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</row>
    <row r="587" spans="1:62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</row>
    <row r="588" spans="1:62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</row>
    <row r="589" spans="1:62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</row>
    <row r="590" spans="1:62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</row>
    <row r="591" spans="1:62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</row>
    <row r="592" spans="1:6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</row>
    <row r="593" spans="1:62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</row>
    <row r="594" spans="1:62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</row>
    <row r="595" spans="1:62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</row>
    <row r="596" spans="1:62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</row>
    <row r="597" spans="1:62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</row>
    <row r="598" spans="1:62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</row>
    <row r="599" spans="1:62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</row>
    <row r="600" spans="1:62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</row>
    <row r="601" spans="1:62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</row>
    <row r="602" spans="1:6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</row>
    <row r="603" spans="1:62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</row>
    <row r="604" spans="1:62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</row>
    <row r="605" spans="1:62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</row>
    <row r="606" spans="1:62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</row>
    <row r="607" spans="1:62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</row>
    <row r="608" spans="1:62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</row>
    <row r="609" spans="1:62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</row>
    <row r="610" spans="1:62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</row>
    <row r="611" spans="1:62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</row>
    <row r="612" spans="1:6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</row>
    <row r="613" spans="1:62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</row>
    <row r="614" spans="1:62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</row>
    <row r="615" spans="1:62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</row>
    <row r="616" spans="1:62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</row>
    <row r="617" spans="1:62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</row>
    <row r="618" spans="1:62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</row>
    <row r="619" spans="1:62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</row>
    <row r="620" spans="1:62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</row>
    <row r="621" spans="1:62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</row>
    <row r="622" spans="1:6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</row>
    <row r="623" spans="1:62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</row>
    <row r="624" spans="1:62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</row>
    <row r="625" spans="1:62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</row>
    <row r="626" spans="1:62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</row>
    <row r="627" spans="1:62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</row>
    <row r="628" spans="1:62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</row>
    <row r="629" spans="1:62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</row>
    <row r="630" spans="1:62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</row>
    <row r="631" spans="1:62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</row>
    <row r="632" spans="1:6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</row>
    <row r="633" spans="1:62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</row>
    <row r="634" spans="1:62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</row>
    <row r="635" spans="1:62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</row>
    <row r="636" spans="1:62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</row>
    <row r="637" spans="1:62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</row>
    <row r="638" spans="1:62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</row>
    <row r="639" spans="1:62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</row>
    <row r="640" spans="1:62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</row>
    <row r="641" spans="1:62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</row>
    <row r="642" spans="1:6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</row>
    <row r="643" spans="1:62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</row>
    <row r="644" spans="1:62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</row>
    <row r="645" spans="1:62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</row>
    <row r="646" spans="1:62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</row>
    <row r="647" spans="1:62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</row>
    <row r="648" spans="1:62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</row>
    <row r="649" spans="1:62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</row>
    <row r="650" spans="1:62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</row>
    <row r="651" spans="1:62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</row>
    <row r="652" spans="1:6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</row>
    <row r="653" spans="1:62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</row>
    <row r="654" spans="1:62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</row>
    <row r="655" spans="1:62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</row>
    <row r="656" spans="1:62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</row>
    <row r="657" spans="1:62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</row>
    <row r="658" spans="1:62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</row>
    <row r="659" spans="1:62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</row>
    <row r="660" spans="1:62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</row>
    <row r="661" spans="1:62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</row>
    <row r="662" spans="1: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</row>
    <row r="663" spans="1:62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</row>
    <row r="664" spans="1:62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</row>
    <row r="665" spans="1:62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</row>
    <row r="666" spans="1:62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</row>
    <row r="667" spans="1:62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</row>
    <row r="668" spans="1:62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</row>
    <row r="669" spans="1:62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</row>
    <row r="670" spans="1:62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</row>
    <row r="671" spans="1:62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</row>
    <row r="672" spans="1:6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</row>
    <row r="673" spans="1:62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</row>
    <row r="674" spans="1:62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</row>
    <row r="675" spans="1:62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</row>
    <row r="676" spans="1:62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</row>
    <row r="677" spans="1:62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</row>
    <row r="678" spans="1:62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</row>
    <row r="679" spans="1:62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</row>
    <row r="680" spans="1:62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</row>
    <row r="681" spans="1:62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</row>
    <row r="682" spans="1:6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</row>
    <row r="683" spans="1:62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</row>
    <row r="684" spans="1:62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</row>
    <row r="685" spans="1:62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</row>
    <row r="686" spans="1:62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</row>
    <row r="687" spans="1:62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</row>
    <row r="688" spans="1:62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</row>
    <row r="689" spans="1:62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</row>
    <row r="690" spans="1:62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</row>
    <row r="691" spans="1:62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</row>
    <row r="692" spans="1:6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</row>
    <row r="693" spans="1:62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</row>
    <row r="694" spans="1:62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</row>
    <row r="695" spans="1:62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</row>
    <row r="696" spans="1:62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</row>
    <row r="697" spans="1:62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</row>
    <row r="698" spans="1:62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</row>
    <row r="699" spans="1:62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</row>
    <row r="700" spans="1:62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</row>
    <row r="701" spans="1:62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</row>
    <row r="702" spans="1:6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</row>
    <row r="703" spans="1:62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</row>
    <row r="704" spans="1:62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</row>
    <row r="705" spans="1:62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</row>
    <row r="706" spans="1:62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</row>
    <row r="707" spans="1:62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</row>
    <row r="708" spans="1:62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</row>
    <row r="709" spans="1:62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</row>
    <row r="710" spans="1:62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</row>
    <row r="711" spans="1:62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</row>
    <row r="712" spans="1:6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</row>
    <row r="713" spans="1:62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</row>
    <row r="714" spans="1:62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</row>
    <row r="715" spans="1:62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</row>
    <row r="716" spans="1:62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</row>
    <row r="717" spans="1:62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</row>
    <row r="718" spans="1:62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</row>
    <row r="719" spans="1:62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</row>
    <row r="720" spans="1:62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</row>
    <row r="721" spans="1:62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</row>
    <row r="722" spans="1:6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</row>
    <row r="723" spans="1:62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</row>
    <row r="724" spans="1:62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</row>
    <row r="725" spans="1:62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</row>
    <row r="726" spans="1:62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</row>
    <row r="727" spans="1:62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</row>
    <row r="728" spans="1:62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</row>
    <row r="729" spans="1:62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</row>
    <row r="730" spans="1:62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</row>
    <row r="731" spans="1:62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</row>
    <row r="732" spans="1:6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</row>
    <row r="733" spans="1:62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</row>
    <row r="734" spans="1:62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</row>
    <row r="735" spans="1:62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</row>
    <row r="736" spans="1:62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</row>
    <row r="737" spans="1:62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</row>
    <row r="738" spans="1:62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</row>
    <row r="739" spans="1:62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</row>
    <row r="740" spans="1:62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</row>
    <row r="741" spans="1:62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</row>
    <row r="742" spans="1:6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</row>
    <row r="743" spans="1:62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</row>
    <row r="744" spans="1:62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</row>
    <row r="745" spans="1:62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</row>
    <row r="746" spans="1:62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</row>
    <row r="747" spans="1:62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</row>
    <row r="748" spans="1:62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</row>
    <row r="749" spans="1:62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</row>
    <row r="750" spans="1:62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</row>
    <row r="751" spans="1:62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</row>
    <row r="752" spans="1:6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</row>
    <row r="753" spans="1:62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</row>
    <row r="754" spans="1:62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</row>
    <row r="755" spans="1:62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</row>
    <row r="756" spans="1:62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</row>
    <row r="757" spans="1:62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</row>
    <row r="758" spans="1:62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</row>
    <row r="759" spans="1:62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</row>
    <row r="760" spans="1:62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</row>
    <row r="761" spans="1:62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</row>
    <row r="762" spans="1: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</row>
    <row r="763" spans="1:62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</row>
    <row r="764" spans="1:62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</row>
    <row r="765" spans="1:62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</row>
    <row r="766" spans="1:62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</row>
    <row r="767" spans="1:62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</row>
    <row r="768" spans="1:62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</row>
    <row r="769" spans="1:62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</row>
    <row r="770" spans="1:62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</row>
    <row r="771" spans="1:62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</row>
    <row r="772" spans="1:6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</row>
    <row r="773" spans="1:62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</row>
    <row r="774" spans="1:62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</row>
    <row r="775" spans="1:62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</row>
    <row r="776" spans="1:62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</row>
    <row r="777" spans="1:62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</row>
    <row r="778" spans="1:62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</row>
    <row r="779" spans="1:62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</row>
    <row r="780" spans="1:62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</row>
    <row r="781" spans="1:62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</row>
    <row r="782" spans="1:6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</row>
    <row r="783" spans="1:62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</row>
    <row r="784" spans="1:62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</row>
    <row r="785" spans="1:62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</row>
    <row r="786" spans="1:62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</row>
    <row r="787" spans="1:62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</row>
    <row r="788" spans="1:62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</row>
    <row r="789" spans="1:62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</row>
    <row r="790" spans="1:62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</row>
    <row r="791" spans="1:62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</row>
    <row r="792" spans="1:6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</row>
    <row r="793" spans="1:62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</row>
    <row r="794" spans="1:62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</row>
    <row r="795" spans="1:62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</row>
    <row r="796" spans="1:62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</row>
    <row r="797" spans="1:62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</row>
    <row r="798" spans="1:62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</row>
    <row r="799" spans="1:62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</row>
    <row r="800" spans="1:62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</row>
    <row r="801" spans="1:62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</row>
    <row r="802" spans="1:6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</row>
    <row r="803" spans="1:62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</row>
    <row r="804" spans="1:62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</row>
    <row r="805" spans="1:62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</row>
    <row r="806" spans="1:62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</row>
    <row r="807" spans="1:62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</row>
    <row r="808" spans="1:62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</row>
    <row r="809" spans="1:62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</row>
    <row r="810" spans="1:62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</row>
    <row r="811" spans="1:62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</row>
    <row r="812" spans="1:6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</row>
    <row r="813" spans="1:62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</row>
    <row r="814" spans="1:62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</row>
    <row r="815" spans="1:62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</row>
    <row r="816" spans="1:62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</row>
    <row r="817" spans="1:62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</row>
    <row r="818" spans="1:62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</row>
    <row r="819" spans="1:62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</row>
    <row r="820" spans="1:62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</row>
    <row r="821" spans="1:62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</row>
    <row r="822" spans="1:6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</row>
    <row r="823" spans="1:62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</row>
    <row r="824" spans="1:62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</row>
    <row r="825" spans="1:62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</row>
    <row r="826" spans="1:62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</row>
    <row r="827" spans="1:62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</row>
    <row r="828" spans="1:62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</row>
    <row r="829" spans="1:62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</row>
    <row r="830" spans="1:62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</row>
    <row r="831" spans="1:62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</row>
    <row r="832" spans="1:6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</row>
    <row r="833" spans="1:62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</row>
    <row r="834" spans="1:62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</row>
    <row r="835" spans="1:62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</row>
    <row r="836" spans="1:62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</row>
    <row r="837" spans="1:62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</row>
    <row r="838" spans="1:62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</row>
    <row r="839" spans="1:62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</row>
    <row r="840" spans="1:62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</row>
    <row r="841" spans="1:62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</row>
    <row r="842" spans="1:6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</row>
    <row r="843" spans="1:62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</row>
    <row r="844" spans="1:62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</row>
    <row r="845" spans="1:62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</row>
    <row r="846" spans="1:62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</row>
    <row r="847" spans="1:62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</row>
    <row r="848" spans="1:62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</row>
    <row r="849" spans="1:62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</row>
    <row r="850" spans="1:62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</row>
    <row r="851" spans="1:62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</row>
    <row r="852" spans="1:6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</row>
    <row r="853" spans="1:62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</row>
    <row r="854" spans="1:62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</row>
    <row r="855" spans="1:62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</row>
    <row r="856" spans="1:62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</row>
    <row r="857" spans="1:62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</row>
    <row r="858" spans="1:62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</row>
    <row r="859" spans="1:62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</row>
    <row r="860" spans="1:62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</row>
    <row r="861" spans="1:62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</row>
    <row r="862" spans="1: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</row>
    <row r="863" spans="1:62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</row>
    <row r="864" spans="1:62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</row>
    <row r="865" spans="1:62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</row>
    <row r="866" spans="1:62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</row>
    <row r="867" spans="1:62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</row>
    <row r="868" spans="1:62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</row>
    <row r="869" spans="1:62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</row>
    <row r="870" spans="1:62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</row>
    <row r="871" spans="1:62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</row>
    <row r="872" spans="1:6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</row>
    <row r="873" spans="1:62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</row>
    <row r="874" spans="1:62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</row>
    <row r="875" spans="1:62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</row>
    <row r="876" spans="1:62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</row>
    <row r="877" spans="1:62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</row>
    <row r="878" spans="1:62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</row>
    <row r="879" spans="1:62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</row>
    <row r="880" spans="1:62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</row>
    <row r="881" spans="1:62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</row>
    <row r="882" spans="1:6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</row>
    <row r="883" spans="1:62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</row>
    <row r="884" spans="1:62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</row>
    <row r="885" spans="1:62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</row>
    <row r="886" spans="1:62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</row>
    <row r="887" spans="1:62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</row>
    <row r="888" spans="1:62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</row>
    <row r="889" spans="1:62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</row>
    <row r="890" spans="1:62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</row>
    <row r="891" spans="1:62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</row>
    <row r="892" spans="1:6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</row>
    <row r="893" spans="1:62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</row>
    <row r="894" spans="1:62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</row>
    <row r="895" spans="1:62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</row>
    <row r="896" spans="1:62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</row>
    <row r="897" spans="1:62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</row>
    <row r="898" spans="1:62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</row>
    <row r="899" spans="1:62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</row>
    <row r="900" spans="1:62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</row>
    <row r="901" spans="1:62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</row>
    <row r="902" spans="1:6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</row>
    <row r="903" spans="1:62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</row>
    <row r="904" spans="1:62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</row>
    <row r="905" spans="1:62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</row>
    <row r="906" spans="1:62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</row>
    <row r="907" spans="1:62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</row>
    <row r="908" spans="1:62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</row>
    <row r="909" spans="1:62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</row>
    <row r="910" spans="1:62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</row>
    <row r="911" spans="1:62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</row>
    <row r="912" spans="1:6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</row>
    <row r="913" spans="1:62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</row>
    <row r="914" spans="1:62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</row>
    <row r="915" spans="1:62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</row>
    <row r="916" spans="1:62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</row>
    <row r="917" spans="1:62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</row>
    <row r="918" spans="1:62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</row>
    <row r="919" spans="1:62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</row>
    <row r="920" spans="1:62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</row>
    <row r="921" spans="1:62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</row>
    <row r="922" spans="1:6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</row>
    <row r="923" spans="1:62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</row>
    <row r="924" spans="1:62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</row>
    <row r="925" spans="1:62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</row>
    <row r="926" spans="1:62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</row>
    <row r="927" spans="1:62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</row>
    <row r="928" spans="1:62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</row>
    <row r="929" spans="1:62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</row>
    <row r="930" spans="1:62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</row>
    <row r="931" spans="1:62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</row>
    <row r="932" spans="1:6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</row>
    <row r="933" spans="1:62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</row>
    <row r="934" spans="1:62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</row>
    <row r="935" spans="1:62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</row>
    <row r="936" spans="1:62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</row>
    <row r="937" spans="1:62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</row>
    <row r="938" spans="1:62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</row>
    <row r="939" spans="1:62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</row>
    <row r="940" spans="1:62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</row>
    <row r="941" spans="1:62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</row>
    <row r="942" spans="1:6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</row>
    <row r="943" spans="1:62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</row>
    <row r="944" spans="1:62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</row>
    <row r="945" spans="1:62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</row>
    <row r="946" spans="1:62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</row>
    <row r="947" spans="1:62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</row>
    <row r="948" spans="1:62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</row>
    <row r="949" spans="1:62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</row>
    <row r="950" spans="1:62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</row>
    <row r="951" spans="1:62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</row>
    <row r="952" spans="1:6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</row>
    <row r="953" spans="1:62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</row>
    <row r="954" spans="1:62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</row>
    <row r="955" spans="1:62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</row>
    <row r="956" spans="1:62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</row>
    <row r="957" spans="1:62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</row>
    <row r="958" spans="1:62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</row>
    <row r="959" spans="1:62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</row>
    <row r="960" spans="1:62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</row>
    <row r="961" spans="1:62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</row>
    <row r="962" spans="1: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</row>
    <row r="963" spans="1:62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</row>
    <row r="964" spans="1:62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</row>
    <row r="965" spans="1:62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</row>
    <row r="966" spans="1:62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</row>
    <row r="967" spans="1:62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</row>
    <row r="968" spans="1:62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</row>
    <row r="969" spans="1:62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</row>
    <row r="970" spans="1:62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</row>
    <row r="971" spans="1:62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</row>
    <row r="972" spans="1:6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</row>
    <row r="973" spans="1:62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</row>
    <row r="974" spans="1:62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</row>
    <row r="975" spans="1:62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</row>
    <row r="976" spans="1:62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</row>
    <row r="977" spans="1:62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</row>
    <row r="978" spans="1:62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</row>
    <row r="979" spans="1:62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</row>
    <row r="980" spans="1:62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</row>
    <row r="981" spans="1:62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</row>
    <row r="982" spans="1:6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</row>
    <row r="983" spans="1:62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</row>
    <row r="984" spans="1:62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</row>
    <row r="985" spans="1:62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</row>
    <row r="986" spans="1:62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</row>
    <row r="987" spans="1:62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</row>
    <row r="988" spans="1:62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</row>
    <row r="989" spans="1:62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</row>
    <row r="990" spans="1:62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</row>
    <row r="991" spans="1:62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</row>
    <row r="992" spans="1:6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</row>
    <row r="993" spans="1:62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</row>
    <row r="994" spans="1:62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</row>
    <row r="995" spans="1:62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</row>
    <row r="996" spans="1:62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</row>
    <row r="997" spans="1:62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</row>
    <row r="998" spans="1:62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</row>
    <row r="999" spans="1:62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</row>
    <row r="1000" spans="1:62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</row>
  </sheetData>
  <mergeCells count="217">
    <mergeCell ref="A19:B19"/>
    <mergeCell ref="C19:L19"/>
    <mergeCell ref="M19:T19"/>
    <mergeCell ref="U19:AB19"/>
    <mergeCell ref="AC19:AJ19"/>
    <mergeCell ref="AK19:AN19"/>
    <mergeCell ref="AO19:BH19"/>
    <mergeCell ref="A20:B20"/>
    <mergeCell ref="C20:L20"/>
    <mergeCell ref="M20:T20"/>
    <mergeCell ref="U20:AB20"/>
    <mergeCell ref="AC20:AJ20"/>
    <mergeCell ref="AK20:AN20"/>
    <mergeCell ref="AO20:BH20"/>
    <mergeCell ref="A17:B17"/>
    <mergeCell ref="C17:L17"/>
    <mergeCell ref="M17:T17"/>
    <mergeCell ref="U17:AB17"/>
    <mergeCell ref="AC17:AJ17"/>
    <mergeCell ref="AK17:AN17"/>
    <mergeCell ref="AO17:BH17"/>
    <mergeCell ref="A18:B18"/>
    <mergeCell ref="C18:L18"/>
    <mergeCell ref="M18:T18"/>
    <mergeCell ref="U18:AB18"/>
    <mergeCell ref="AC18:AJ18"/>
    <mergeCell ref="AK18:AN18"/>
    <mergeCell ref="AO18:BH18"/>
    <mergeCell ref="A15:B15"/>
    <mergeCell ref="C15:L15"/>
    <mergeCell ref="M15:T15"/>
    <mergeCell ref="U15:AB15"/>
    <mergeCell ref="AC15:AJ15"/>
    <mergeCell ref="AK15:AN15"/>
    <mergeCell ref="AO15:BH15"/>
    <mergeCell ref="A16:B16"/>
    <mergeCell ref="C16:L16"/>
    <mergeCell ref="M16:T16"/>
    <mergeCell ref="U16:AB16"/>
    <mergeCell ref="AC16:AJ16"/>
    <mergeCell ref="AK16:AN16"/>
    <mergeCell ref="AO16:BH16"/>
    <mergeCell ref="A13:B13"/>
    <mergeCell ref="C13:L13"/>
    <mergeCell ref="M13:T13"/>
    <mergeCell ref="U13:AB13"/>
    <mergeCell ref="AC13:AJ13"/>
    <mergeCell ref="AK13:AN13"/>
    <mergeCell ref="AO13:BH13"/>
    <mergeCell ref="A14:B14"/>
    <mergeCell ref="C14:L14"/>
    <mergeCell ref="M14:T14"/>
    <mergeCell ref="U14:AB14"/>
    <mergeCell ref="AC14:AJ14"/>
    <mergeCell ref="AK14:AN14"/>
    <mergeCell ref="AO14:BH14"/>
    <mergeCell ref="A11:B11"/>
    <mergeCell ref="C11:L11"/>
    <mergeCell ref="M11:T11"/>
    <mergeCell ref="U11:AB11"/>
    <mergeCell ref="AC11:AJ11"/>
    <mergeCell ref="AK11:AN11"/>
    <mergeCell ref="AO11:BH11"/>
    <mergeCell ref="A12:B12"/>
    <mergeCell ref="C12:L12"/>
    <mergeCell ref="M12:T12"/>
    <mergeCell ref="U12:AB12"/>
    <mergeCell ref="AC12:AJ12"/>
    <mergeCell ref="AK12:AN12"/>
    <mergeCell ref="AO12:BH12"/>
    <mergeCell ref="U9:AB9"/>
    <mergeCell ref="AC9:AJ9"/>
    <mergeCell ref="AK9:AN9"/>
    <mergeCell ref="AO9:BH9"/>
    <mergeCell ref="A10:B10"/>
    <mergeCell ref="C10:L10"/>
    <mergeCell ref="M10:T10"/>
    <mergeCell ref="U10:AB10"/>
    <mergeCell ref="AC10:AJ10"/>
    <mergeCell ref="AK10:AN10"/>
    <mergeCell ref="AO10:BH10"/>
    <mergeCell ref="A33:B33"/>
    <mergeCell ref="C33:L33"/>
    <mergeCell ref="M33:T33"/>
    <mergeCell ref="U33:AB33"/>
    <mergeCell ref="AC33:AJ33"/>
    <mergeCell ref="AK33:AN33"/>
    <mergeCell ref="AO33:BH33"/>
    <mergeCell ref="A7:B7"/>
    <mergeCell ref="C7:L7"/>
    <mergeCell ref="M7:T7"/>
    <mergeCell ref="U7:AB7"/>
    <mergeCell ref="AC7:AJ7"/>
    <mergeCell ref="AK7:AN7"/>
    <mergeCell ref="AO7:BH7"/>
    <mergeCell ref="A8:B8"/>
    <mergeCell ref="C8:L8"/>
    <mergeCell ref="M8:T8"/>
    <mergeCell ref="U8:AB8"/>
    <mergeCell ref="AC8:AJ8"/>
    <mergeCell ref="AK8:AN8"/>
    <mergeCell ref="AO8:BH8"/>
    <mergeCell ref="A9:B9"/>
    <mergeCell ref="C9:L9"/>
    <mergeCell ref="M9:T9"/>
    <mergeCell ref="A1:J2"/>
    <mergeCell ref="S1:Z1"/>
    <mergeCell ref="AA1:AJ1"/>
    <mergeCell ref="AK1:AP1"/>
    <mergeCell ref="AQ1:AV1"/>
    <mergeCell ref="AW1:BB1"/>
    <mergeCell ref="BC1:BH1"/>
    <mergeCell ref="M5:T6"/>
    <mergeCell ref="U5:AB6"/>
    <mergeCell ref="AC5:AJ6"/>
    <mergeCell ref="AK5:AN6"/>
    <mergeCell ref="AO5:BH6"/>
    <mergeCell ref="K1:R1"/>
    <mergeCell ref="K2:R2"/>
    <mergeCell ref="A3:D4"/>
    <mergeCell ref="E3:T4"/>
    <mergeCell ref="U3:X4"/>
    <mergeCell ref="A5:B6"/>
    <mergeCell ref="C5:L6"/>
    <mergeCell ref="S2:Z2"/>
    <mergeCell ref="AA2:AJ2"/>
    <mergeCell ref="Y3:AJ4"/>
    <mergeCell ref="AK3:AN4"/>
    <mergeCell ref="AK2:AP2"/>
    <mergeCell ref="AQ2:AV2"/>
    <mergeCell ref="AW2:BB2"/>
    <mergeCell ref="BC2:BH2"/>
    <mergeCell ref="AO3:BH4"/>
    <mergeCell ref="A31:B31"/>
    <mergeCell ref="C31:L31"/>
    <mergeCell ref="M31:T31"/>
    <mergeCell ref="U31:AB31"/>
    <mergeCell ref="AC31:AJ31"/>
    <mergeCell ref="AK31:AN31"/>
    <mergeCell ref="AO31:BH31"/>
    <mergeCell ref="A27:B27"/>
    <mergeCell ref="C27:L27"/>
    <mergeCell ref="M27:T27"/>
    <mergeCell ref="U27:AB27"/>
    <mergeCell ref="AC27:AJ27"/>
    <mergeCell ref="AK27:AN27"/>
    <mergeCell ref="AO27:BH27"/>
    <mergeCell ref="A28:B28"/>
    <mergeCell ref="C28:L28"/>
    <mergeCell ref="M28:T28"/>
    <mergeCell ref="U28:AB28"/>
    <mergeCell ref="AC28:AJ28"/>
    <mergeCell ref="AK28:AN28"/>
    <mergeCell ref="A32:B32"/>
    <mergeCell ref="C32:L32"/>
    <mergeCell ref="M32:T32"/>
    <mergeCell ref="U32:AB32"/>
    <mergeCell ref="AC32:AJ32"/>
    <mergeCell ref="AK32:AN32"/>
    <mergeCell ref="AO32:BH32"/>
    <mergeCell ref="A29:B29"/>
    <mergeCell ref="C29:L29"/>
    <mergeCell ref="M29:T29"/>
    <mergeCell ref="U29:AB29"/>
    <mergeCell ref="AC29:AJ29"/>
    <mergeCell ref="AK29:AN29"/>
    <mergeCell ref="AO29:BH29"/>
    <mergeCell ref="A30:B30"/>
    <mergeCell ref="C30:L30"/>
    <mergeCell ref="M30:T30"/>
    <mergeCell ref="U30:AB30"/>
    <mergeCell ref="AC30:AJ30"/>
    <mergeCell ref="AK30:AN30"/>
    <mergeCell ref="AO30:BH30"/>
    <mergeCell ref="AO28:BH28"/>
    <mergeCell ref="A25:B25"/>
    <mergeCell ref="C25:L25"/>
    <mergeCell ref="M25:T25"/>
    <mergeCell ref="U25:AB25"/>
    <mergeCell ref="AC25:AJ25"/>
    <mergeCell ref="AK25:AN25"/>
    <mergeCell ref="AO25:BH25"/>
    <mergeCell ref="A26:B26"/>
    <mergeCell ref="C26:L26"/>
    <mergeCell ref="M26:T26"/>
    <mergeCell ref="U26:AB26"/>
    <mergeCell ref="AC26:AJ26"/>
    <mergeCell ref="AK26:AN26"/>
    <mergeCell ref="AO26:BH26"/>
    <mergeCell ref="A23:B23"/>
    <mergeCell ref="C23:L23"/>
    <mergeCell ref="M23:T23"/>
    <mergeCell ref="U23:AB23"/>
    <mergeCell ref="AC23:AJ23"/>
    <mergeCell ref="AK23:AN23"/>
    <mergeCell ref="AO23:BH23"/>
    <mergeCell ref="A24:B24"/>
    <mergeCell ref="C24:L24"/>
    <mergeCell ref="M24:T24"/>
    <mergeCell ref="U24:AB24"/>
    <mergeCell ref="AC24:AJ24"/>
    <mergeCell ref="AK24:AN24"/>
    <mergeCell ref="AO24:BH24"/>
    <mergeCell ref="A21:B21"/>
    <mergeCell ref="C21:L21"/>
    <mergeCell ref="M21:T21"/>
    <mergeCell ref="U21:AB21"/>
    <mergeCell ref="AC21:AJ21"/>
    <mergeCell ref="AK21:AN21"/>
    <mergeCell ref="AO21:BH21"/>
    <mergeCell ref="A22:B22"/>
    <mergeCell ref="C22:L22"/>
    <mergeCell ref="M22:T22"/>
    <mergeCell ref="U22:AB22"/>
    <mergeCell ref="AC22:AJ22"/>
    <mergeCell ref="AK22:AN22"/>
    <mergeCell ref="AO22:BH22"/>
  </mergeCells>
  <phoneticPr fontId="6"/>
  <printOptions horizontalCentered="1"/>
  <pageMargins left="0.11811023622047245" right="0.11811023622047245" top="0.74803149606299213" bottom="0.55118110236220474" header="0" footer="0"/>
  <pageSetup paperSize="9" fitToHeight="0" orientation="landscape"/>
  <headerFooter>
    <oddHeader>&amp;CWebダイレクト販売 [&amp;A]&amp;R&amp;D</oddHeader>
    <oddFooter>&amp;L&amp;F&amp;C&amp;P /  ページ&amp;R©2020 Sasuke Financial Lab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24</vt:i4>
      </vt:variant>
    </vt:vector>
  </HeadingPairs>
  <TitlesOfParts>
    <vt:vector size="30" baseType="lpstr">
      <vt:lpstr>作成手順</vt:lpstr>
      <vt:lpstr>テンプレート</vt:lpstr>
      <vt:lpstr>Sheet1</vt:lpstr>
      <vt:lpstr>設定値</vt:lpstr>
      <vt:lpstr>____整理資料</vt:lpstr>
      <vt:lpstr>テーブル編集仕様書</vt:lpstr>
      <vt:lpstr>_03A003_0</vt:lpstr>
      <vt:lpstr>_03A003_1</vt:lpstr>
      <vt:lpstr>_31A005_0</vt:lpstr>
      <vt:lpstr>_31A005_1</vt:lpstr>
      <vt:lpstr>_31C003_0</vt:lpstr>
      <vt:lpstr>_31C003_1</vt:lpstr>
      <vt:lpstr>_31D002_0</vt:lpstr>
      <vt:lpstr>_31D002_1</vt:lpstr>
      <vt:lpstr>_31E002_0</vt:lpstr>
      <vt:lpstr>_31E002_1</vt:lpstr>
      <vt:lpstr>addition</vt:lpstr>
      <vt:lpstr>additionType</vt:lpstr>
      <vt:lpstr>benefit</vt:lpstr>
      <vt:lpstr>benefitFirstPayConvCls</vt:lpstr>
      <vt:lpstr>benefitPayConvCls</vt:lpstr>
      <vt:lpstr>diseaseCoverageType</vt:lpstr>
      <vt:lpstr>disHsptUnlmtDaysSpPrv</vt:lpstr>
      <vt:lpstr>freeOfPremiumRiderCls</vt:lpstr>
      <vt:lpstr>freeOfPRiderFlg</vt:lpstr>
      <vt:lpstr>hosCovPayLimitClass</vt:lpstr>
      <vt:lpstr>insurancePeriod</vt:lpstr>
      <vt:lpstr>insurancePeriodClass</vt:lpstr>
      <vt:lpstr>paymentPeriod</vt:lpstr>
      <vt:lpstr>paymentPeriodClass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小宮孝広</dc:creator>
  <cp:lastModifiedBy>須永 夏子</cp:lastModifiedBy>
  <dcterms:created xsi:type="dcterms:W3CDTF">1997-01-08T22:48:59Z</dcterms:created>
  <dcterms:modified xsi:type="dcterms:W3CDTF">2021-01-25T03:06:30Z</dcterms:modified>
</cp:coreProperties>
</file>